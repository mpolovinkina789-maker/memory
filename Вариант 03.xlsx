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  <sheet name="Задание1" sheetId="3" r:id="rId6"/>
    <sheet name="Задание1.1" sheetId="5" r:id="rId7"/>
    <sheet name="Задание2" sheetId="6" r:id="rId8"/>
    <sheet name="Задание3" sheetId="7" r:id="rId9"/>
    <sheet name="Задача3.1" sheetId="8" r:id="rId10"/>
    <sheet name="Задача3.2" sheetId="9" r:id="rId11"/>
    <sheet name="Задача3.3" sheetId="10" r:id="rId12"/>
  </sheets>
  <calcPr calcId="171027"/>
</workbook>
</file>

<file path=xl/sharedStrings.xml><?xml version="1.0" encoding="utf-8"?>
<sst xmlns="http://schemas.openxmlformats.org/spreadsheetml/2006/main">
  <si>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</si>
  <si>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</si>
  <si>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</si>
  <si>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</si>
  <si>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</si>
  <si>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</si>
  <si>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Орлова Анна Владимировна</t>
  </si>
  <si>
    <t>2023-09-01</t>
  </si>
  <si>
    <t>Кузнецов Дмитрий Львович</t>
  </si>
  <si>
    <t>Иванова Анна Геннадьевна</t>
  </si>
  <si>
    <t>2023-09-04</t>
  </si>
  <si>
    <t>Иванова Анна Сергеевна</t>
  </si>
  <si>
    <t>Егорова Татьяна Ильинична</t>
  </si>
  <si>
    <t>Громова Мария Ильинична</t>
  </si>
  <si>
    <t>Сидоров Алексей Кириллович</t>
  </si>
  <si>
    <t>Сидорова Елена Васильевна</t>
  </si>
  <si>
    <t>Иванов Матвей Юрьевич</t>
  </si>
  <si>
    <t>Новикова Ольга Петровна</t>
  </si>
  <si>
    <t>Васильев Дмитрий Алексеевич</t>
  </si>
  <si>
    <t>Орлова Людмила Артемовна</t>
  </si>
  <si>
    <t>Попова Ксения Никитична</t>
  </si>
  <si>
    <t>Яковлев Артем Игоревич</t>
  </si>
  <si>
    <t>Кузнецов Дмитрий Андреевич</t>
  </si>
  <si>
    <t>2023-09-05</t>
  </si>
  <si>
    <t>Ткаченко Андрей Олегович</t>
  </si>
  <si>
    <t>Павлов Кирилл Иванович</t>
  </si>
  <si>
    <t>Егоров Владимир Артемович</t>
  </si>
  <si>
    <t>2023-09-06</t>
  </si>
  <si>
    <t>Петров Владимир Кириллович</t>
  </si>
  <si>
    <t>Кузнецова Юлия Павловна</t>
  </si>
  <si>
    <t>Семенов Сергей Викторович</t>
  </si>
  <si>
    <t>Смирнова Алиса Артемовна</t>
  </si>
  <si>
    <t>2023-09-07</t>
  </si>
  <si>
    <t>Иванова Виктория Михайловна</t>
  </si>
  <si>
    <t>2023-09-08</t>
  </si>
  <si>
    <t>Новикова Анна Ильинична</t>
  </si>
  <si>
    <t>2023-09-11</t>
  </si>
  <si>
    <t>Николаев Дмитрий Павлович</t>
  </si>
  <si>
    <t>Иванова Валерия Алексеевна</t>
  </si>
  <si>
    <t>Морозов Матвей Романович</t>
  </si>
  <si>
    <t>Кузнецова София Александровна</t>
  </si>
  <si>
    <t>Орлова Дарья Станиславовна</t>
  </si>
  <si>
    <t>Алексеева Наталья Андреевна</t>
  </si>
  <si>
    <t>Орлов Павел Денисович</t>
  </si>
  <si>
    <t>Степанов Георгий Иванович</t>
  </si>
  <si>
    <t>Степанова Ирина Артемовна</t>
  </si>
  <si>
    <t>2023-09-12</t>
  </si>
  <si>
    <t>Белов Алексей Константинович</t>
  </si>
  <si>
    <t>Васильева Юлия Геннадьевна</t>
  </si>
  <si>
    <t>Егоров Никита Станиславович</t>
  </si>
  <si>
    <t>Сидоров Артур Алексеевич</t>
  </si>
  <si>
    <t>2023-09-14</t>
  </si>
  <si>
    <t>Петров Сергей Андреевич</t>
  </si>
  <si>
    <t>2023-09-15</t>
  </si>
  <si>
    <t>2023-09-18</t>
  </si>
  <si>
    <t>Кузнецова Людмила Сергеевна</t>
  </si>
  <si>
    <t>Федоров Дмитрий Сергеевич</t>
  </si>
  <si>
    <t>Семенова Ирина Валерьевна</t>
  </si>
  <si>
    <t>Петров Андрей Алексеевич</t>
  </si>
  <si>
    <t>Иванова Людмила Алексеевна</t>
  </si>
  <si>
    <t>Степанов Алексей Михайлович</t>
  </si>
  <si>
    <t>Кузнецова Ольга Геннадьевна</t>
  </si>
  <si>
    <t>2023-09-19</t>
  </si>
  <si>
    <t>Смирнова Валерия Викторовна</t>
  </si>
  <si>
    <t>Сидоров Матвей Владимирович</t>
  </si>
  <si>
    <t>Морозова Екатерина Олеговна</t>
  </si>
  <si>
    <t>2023-09-20</t>
  </si>
  <si>
    <t>Степанова Алиса Станиславовна</t>
  </si>
  <si>
    <t>Морозова Вероника Олеговна</t>
  </si>
  <si>
    <t>Попова Светлана Дмитриевна</t>
  </si>
  <si>
    <t>Алексеев Иван Иванович</t>
  </si>
  <si>
    <t>Иванов Никита Павлович</t>
  </si>
  <si>
    <t>2023-09-21</t>
  </si>
  <si>
    <t>Николаева Елена Геннадьевна</t>
  </si>
  <si>
    <t>2023-09-22</t>
  </si>
  <si>
    <t>Лебедев Дмитрий Олегович</t>
  </si>
  <si>
    <t>2023-09-25</t>
  </si>
  <si>
    <t>Павлова Виктория Викторовна</t>
  </si>
  <si>
    <t>Павлова Дарья Андреевна</t>
  </si>
  <si>
    <t>Волков Константин Дмитриевич</t>
  </si>
  <si>
    <t>Иванов Павел Павлович</t>
  </si>
  <si>
    <t>Васильев Алексей Андреевич</t>
  </si>
  <si>
    <t>Волкова Дарья Юрьевна</t>
  </si>
  <si>
    <t>Егорова Ольга Юрьевна</t>
  </si>
  <si>
    <t>2023-09-26</t>
  </si>
  <si>
    <t>Егорова Валерия Сергеевна</t>
  </si>
  <si>
    <t>2023-09-27</t>
  </si>
  <si>
    <t>Орлова Дарья Владимировна</t>
  </si>
  <si>
    <t>2023-09-28</t>
  </si>
  <si>
    <t>Петров Сергей Александрович</t>
  </si>
  <si>
    <t>2023-09-29</t>
  </si>
  <si>
    <t>Николаев Георгий Ильич</t>
  </si>
  <si>
    <t>Кузнецова Екатерина Александровна</t>
  </si>
  <si>
    <t>Степанова Юлия Владимировна</t>
  </si>
  <si>
    <t>2023-10-02</t>
  </si>
  <si>
    <t>Волкова Мария Ильинична</t>
  </si>
  <si>
    <t>Алексеева Екатерина Павловна</t>
  </si>
  <si>
    <t>Орлова Дарья Сергеевна</t>
  </si>
  <si>
    <t>Козлов Артур Андреевич</t>
  </si>
  <si>
    <t>Степанова Валерия Романовна</t>
  </si>
  <si>
    <t>Петров Артем Иванович</t>
  </si>
  <si>
    <t>Павлова Анна Ивановна</t>
  </si>
  <si>
    <t>Семенов Константин Артемович</t>
  </si>
  <si>
    <t>Иванов Павел Сергеевич</t>
  </si>
  <si>
    <t>2023-10-03</t>
  </si>
  <si>
    <t>Федоров Максим Дмитриевич</t>
  </si>
  <si>
    <t>Попов Роман Сергеевич</t>
  </si>
  <si>
    <t>2023-10-04</t>
  </si>
  <si>
    <t>Морозова Светлана Сергеевна</t>
  </si>
  <si>
    <t>2023-10-05</t>
  </si>
  <si>
    <t>Кузнецов Алексей Иванович</t>
  </si>
  <si>
    <t>Павлова София Артемовна</t>
  </si>
  <si>
    <t>2023-10-06</t>
  </si>
  <si>
    <t>Попов Матвей Викторович</t>
  </si>
  <si>
    <t>2023-10-09</t>
  </si>
  <si>
    <t>Козлов Андрей Ильич</t>
  </si>
  <si>
    <t>Новикова Людмила Павловна</t>
  </si>
  <si>
    <t>Петров Егор Викторович</t>
  </si>
  <si>
    <t>Иванова Елена Алексеевна</t>
  </si>
  <si>
    <t>Николаева Алиса Ивановна</t>
  </si>
  <si>
    <t>2023-10-10</t>
  </si>
  <si>
    <t>Иванова София Геннадьевна</t>
  </si>
  <si>
    <t>2023-10-11</t>
  </si>
  <si>
    <t>Степанов Кирилл Павлович</t>
  </si>
  <si>
    <t>Попов Артем Егорович</t>
  </si>
  <si>
    <t>2023-10-12</t>
  </si>
  <si>
    <t>2023-10-13</t>
  </si>
  <si>
    <t>2023-10-16</t>
  </si>
  <si>
    <t>Сидоров Сергей Егорович</t>
  </si>
  <si>
    <t>Кузнецов Сергей Артемович</t>
  </si>
  <si>
    <t>Кузнецов Владимир Станиславович</t>
  </si>
  <si>
    <t>Павлов Андрей Викторович</t>
  </si>
  <si>
    <t>Лебедева Александра Станиславовна</t>
  </si>
  <si>
    <t>Лебедев Кирилл Сергеевич</t>
  </si>
  <si>
    <t>2023-10-17</t>
  </si>
  <si>
    <t>Васильева Мария Ивановна</t>
  </si>
  <si>
    <t>2023-10-18</t>
  </si>
  <si>
    <t>Волков Владимир Геннадьевич</t>
  </si>
  <si>
    <t>Морозов Никита Ильич</t>
  </si>
  <si>
    <t>2023-10-19</t>
  </si>
  <si>
    <t>Егорова Ирина Кирилловна</t>
  </si>
  <si>
    <t>2023-10-20</t>
  </si>
  <si>
    <t>Васильева Анна Ильинична</t>
  </si>
  <si>
    <t>Федорова Екатерина Сергеевна</t>
  </si>
  <si>
    <t>Степанов Матвей Михайлович</t>
  </si>
  <si>
    <t>2023-10-23</t>
  </si>
  <si>
    <t>Васильев Дмитрий Михайлович</t>
  </si>
  <si>
    <t>Новикова Ксения Алексеевна</t>
  </si>
  <si>
    <t>Семенова Анна Андреевна</t>
  </si>
  <si>
    <t>Петров Михаил Егорович</t>
  </si>
  <si>
    <t>2023-10-24</t>
  </si>
  <si>
    <t>Николаев Артур Артемович</t>
  </si>
  <si>
    <t>2023-10-25</t>
  </si>
  <si>
    <t>Степанова Людмила Никитична</t>
  </si>
  <si>
    <t>Орлова Алиса Дмитриевна</t>
  </si>
  <si>
    <t>2023-10-26</t>
  </si>
  <si>
    <t>2023-10-27</t>
  </si>
  <si>
    <t>Федорова Анна Михайловна</t>
  </si>
  <si>
    <t>Павлов Илья Артемович</t>
  </si>
  <si>
    <t>2023-10-30</t>
  </si>
  <si>
    <t>Попов Александр Владимирович</t>
  </si>
  <si>
    <t>Волкова Ирина Никитична</t>
  </si>
  <si>
    <t>Кузнецов Егор Геннадьевич</t>
  </si>
  <si>
    <t>Морозова Юлия Геннадьевна</t>
  </si>
  <si>
    <t>2023-10-31</t>
  </si>
  <si>
    <t>Козлов Павел Романович</t>
  </si>
  <si>
    <t>2023-11-01</t>
  </si>
  <si>
    <t>2023-11-02</t>
  </si>
  <si>
    <t>Николаева Алиса Романовна</t>
  </si>
  <si>
    <t>2023-11-03</t>
  </si>
  <si>
    <t>Орлов Дмитрий Иванович</t>
  </si>
  <si>
    <t>Сидорова Вероника Романовна</t>
  </si>
  <si>
    <t>Семенов Михаил Никитич</t>
  </si>
  <si>
    <t>2023-11-06</t>
  </si>
  <si>
    <t>Федоров Алексей Павлович</t>
  </si>
  <si>
    <t>Кузнецов Матвей Олегович</t>
  </si>
  <si>
    <t>2023-11-07</t>
  </si>
  <si>
    <t>Сидорова Ольга Олеговна</t>
  </si>
  <si>
    <t>Федоров Роман Геннадьевич</t>
  </si>
  <si>
    <t>2023-11-09</t>
  </si>
  <si>
    <t>2023-11-10</t>
  </si>
  <si>
    <t>Попов Матвей Александрович</t>
  </si>
  <si>
    <t>Морозова Юлия Егоровна</t>
  </si>
  <si>
    <t>2023-11-13</t>
  </si>
  <si>
    <t>Новиков Дмитрий Иванович</t>
  </si>
  <si>
    <t>Козлова София Олеговна</t>
  </si>
  <si>
    <t>Николаева Александра Кирилловна</t>
  </si>
  <si>
    <t>2023-11-14</t>
  </si>
  <si>
    <t>Волкова Виктория Викторовна</t>
  </si>
  <si>
    <t>Алексеева Ирина Андреевна</t>
  </si>
  <si>
    <t>Николаев Владимир Егорович</t>
  </si>
  <si>
    <t>2023-11-15</t>
  </si>
  <si>
    <t>Попова Полина Романовна</t>
  </si>
  <si>
    <t>2023-11-16</t>
  </si>
  <si>
    <t>2023-11-17</t>
  </si>
  <si>
    <t>2023-11-20</t>
  </si>
  <si>
    <t>Волкова Мария Егоровна</t>
  </si>
  <si>
    <t>Смирнова Ксения Андреевна</t>
  </si>
  <si>
    <t>Иванов Андрей Владимирович</t>
  </si>
  <si>
    <t>2023-11-21</t>
  </si>
  <si>
    <t>Орлова Полина Никитична</t>
  </si>
  <si>
    <t>2023-11-22</t>
  </si>
  <si>
    <t>2023-11-23</t>
  </si>
  <si>
    <t>2023-11-24</t>
  </si>
  <si>
    <t>Федорова Екатерина Михайловна</t>
  </si>
  <si>
    <t>2023-11-27</t>
  </si>
  <si>
    <t>Попова Дарья Сергеевна</t>
  </si>
  <si>
    <t>Морозова Екатерина Ивановна</t>
  </si>
  <si>
    <t>Николаева Ксения Викторовна</t>
  </si>
  <si>
    <t>Морозова Наталья Алексеевна</t>
  </si>
  <si>
    <t>2023-11-28</t>
  </si>
  <si>
    <t>Петров Павел Михайлович</t>
  </si>
  <si>
    <t>Смирнова Екатерина Егоровна</t>
  </si>
  <si>
    <t>2023-11-29</t>
  </si>
  <si>
    <t>Кузнецова Дарья Ильинична</t>
  </si>
  <si>
    <t>Федорова Людмила Дмитриевна</t>
  </si>
  <si>
    <t>2023-11-30</t>
  </si>
  <si>
    <t>Козлова Полина Викторовна</t>
  </si>
  <si>
    <t>Морозова Татьяна Кирилловна</t>
  </si>
  <si>
    <t>2023-12-01</t>
  </si>
  <si>
    <t>Николаев Егор Романович</t>
  </si>
  <si>
    <t>2023-12-04</t>
  </si>
  <si>
    <t>Козлов Дмитрий Сергеевич</t>
  </si>
  <si>
    <t>Волкова Анна Кирилловна</t>
  </si>
  <si>
    <t>2023-12-05</t>
  </si>
  <si>
    <t>Николаева Наталья Сергеевна</t>
  </si>
  <si>
    <t>2023-12-06</t>
  </si>
  <si>
    <t>Николаева Дарья Юрьевна</t>
  </si>
  <si>
    <t>2023-12-07</t>
  </si>
  <si>
    <t>2023-12-08</t>
  </si>
  <si>
    <t>2023-12-11</t>
  </si>
  <si>
    <t>Васильева Ирина Артемовна</t>
  </si>
  <si>
    <t>2023-12-12</t>
  </si>
  <si>
    <t>2023-12-13</t>
  </si>
  <si>
    <t>Петрова Татьяна Дмитриевна</t>
  </si>
  <si>
    <t>2023-12-14</t>
  </si>
  <si>
    <t>2023-12-15</t>
  </si>
  <si>
    <t>Лебедев Владимир Ильич</t>
  </si>
  <si>
    <t>2023-12-18</t>
  </si>
  <si>
    <t>Павлова Валерия Станиславовна</t>
  </si>
  <si>
    <t>Иванов Георгий Иванович</t>
  </si>
  <si>
    <t>Новиков Илья Геннадьевич</t>
  </si>
  <si>
    <t>2023-12-19</t>
  </si>
  <si>
    <t>Попова Вероника Ивановна</t>
  </si>
  <si>
    <t>2023-12-20</t>
  </si>
  <si>
    <t>2023-12-21</t>
  </si>
  <si>
    <t>Орлова Вероника Сергеевна</t>
  </si>
  <si>
    <t>2023-12-22</t>
  </si>
  <si>
    <t>Николаев Артем Александрович</t>
  </si>
  <si>
    <t>2023-12-25</t>
  </si>
  <si>
    <t>Иванов Кирилл Кириллович</t>
  </si>
  <si>
    <t>2023-12-26</t>
  </si>
  <si>
    <t>Николаева Дарья Алексеевна</t>
  </si>
  <si>
    <t>2023-12-27</t>
  </si>
  <si>
    <t>Сидорова София Дмитриевна</t>
  </si>
  <si>
    <t>Смирнова Мария Владимировна</t>
  </si>
  <si>
    <t>Волков Константин Александрович</t>
  </si>
  <si>
    <t>Сидорова Екатерина Романовна</t>
  </si>
  <si>
    <t>Семенов Иван Александрович</t>
  </si>
  <si>
    <t>2023-12-28</t>
  </si>
  <si>
    <t>2023-12-29</t>
  </si>
  <si>
    <t>2024-01-01</t>
  </si>
  <si>
    <t>2024-01-02</t>
  </si>
  <si>
    <t>Степанова Анна Олеговна</t>
  </si>
  <si>
    <t>2024-01-03</t>
  </si>
  <si>
    <t>Иванова Ксения Александровна</t>
  </si>
  <si>
    <t>2024-01-04</t>
  </si>
  <si>
    <t>Николаев Владимир Геннадьевич</t>
  </si>
  <si>
    <t>2024-01-05</t>
  </si>
  <si>
    <t>2024-01-08</t>
  </si>
  <si>
    <t>Николаева Екатерина Никитична</t>
  </si>
  <si>
    <t>2024-01-09</t>
  </si>
  <si>
    <t>Егоров Андрей Дмитриевич</t>
  </si>
  <si>
    <t>Лебедева Полина Никитична</t>
  </si>
  <si>
    <t>2024-01-10</t>
  </si>
  <si>
    <t>2024-01-11</t>
  </si>
  <si>
    <t>Алексеева София Андреевна</t>
  </si>
  <si>
    <t>2024-01-12</t>
  </si>
  <si>
    <t>Кузнецова Вероника Геннадьевна</t>
  </si>
  <si>
    <t>2024-01-15</t>
  </si>
  <si>
    <t>Николаева Александра Александровна</t>
  </si>
  <si>
    <t>2024-01-16</t>
  </si>
  <si>
    <t>2024-01-17</t>
  </si>
  <si>
    <t>2024-01-18</t>
  </si>
  <si>
    <t>Васильев Кирилл Иванович</t>
  </si>
  <si>
    <t>2024-01-19</t>
  </si>
  <si>
    <t>2024-01-22</t>
  </si>
  <si>
    <t>Кузнецова Виктория Ивановна</t>
  </si>
  <si>
    <t>Попова София Никитична</t>
  </si>
  <si>
    <t>2024-01-23</t>
  </si>
  <si>
    <t>2024-01-24</t>
  </si>
  <si>
    <t>Васильев Александр Павлович</t>
  </si>
  <si>
    <t>Павлов Дмитрий Ильич</t>
  </si>
  <si>
    <t>2024-01-25</t>
  </si>
  <si>
    <t>2024-01-26</t>
  </si>
  <si>
    <t>2024-01-29</t>
  </si>
  <si>
    <t>2024-01-30</t>
  </si>
  <si>
    <t>2024-01-31</t>
  </si>
  <si>
    <t>2024-02-01</t>
  </si>
  <si>
    <t>Семенов Алексей Михайлович</t>
  </si>
  <si>
    <t>2024-02-02</t>
  </si>
  <si>
    <t>2024-02-05</t>
  </si>
  <si>
    <t>Степанов Егор Геннадьевич</t>
  </si>
  <si>
    <t>2024-02-06</t>
  </si>
  <si>
    <t>2024-02-07</t>
  </si>
  <si>
    <t>Павлова Елена Викторовна</t>
  </si>
  <si>
    <t>2024-02-08</t>
  </si>
  <si>
    <t>2024-02-09</t>
  </si>
  <si>
    <t>Семенова Ольга Олеговна</t>
  </si>
  <si>
    <t>2024-02-12</t>
  </si>
  <si>
    <t>Степанов Андрей Алексеевич</t>
  </si>
  <si>
    <t>2024-02-13</t>
  </si>
  <si>
    <t>2024-02-14</t>
  </si>
  <si>
    <t>2024-02-15</t>
  </si>
  <si>
    <t>2024-02-16</t>
  </si>
  <si>
    <t>Иванова София Ильинична</t>
  </si>
  <si>
    <t>Смирнов Артем Егорович</t>
  </si>
  <si>
    <t>2024-02-19</t>
  </si>
  <si>
    <t>2024-02-21</t>
  </si>
  <si>
    <t>2024-02-22</t>
  </si>
  <si>
    <t>2024-02-23</t>
  </si>
  <si>
    <t>Волков Матвей Кириллович</t>
  </si>
  <si>
    <t>2024-02-26</t>
  </si>
  <si>
    <t>2024-02-27</t>
  </si>
  <si>
    <t>2024-02-28</t>
  </si>
  <si>
    <t>2024-02-29</t>
  </si>
  <si>
    <t>2024-03-01</t>
  </si>
  <si>
    <t>Смирнов Максим Олегович</t>
  </si>
  <si>
    <t>2024-03-04</t>
  </si>
  <si>
    <t>2024-03-05</t>
  </si>
  <si>
    <t>2024-03-06</t>
  </si>
  <si>
    <t>Смирнова Наталья Артемовна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</si>
  <si>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</si>
  <si>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</si>
  <si>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</si>
  <si>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</si>
  <si>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</si>
  <si>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</si>
  <si>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</si>
  <si>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Алексеева Анна Олеговна</t>
  </si>
  <si>
    <t>2024-03-19</t>
  </si>
  <si>
    <t>2024-03-20</t>
  </si>
  <si>
    <t>Лебедева Светлана Никитична</t>
  </si>
  <si>
    <t>2024-03-21</t>
  </si>
  <si>
    <t>Федорова Мария Ивановна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</si>
  <si>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</si>
  <si>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</si>
  <si>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</si>
  <si>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</si>
  <si>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</si>
  <si>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</si>
  <si>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</si>
  <si>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</si>
  <si>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</si>
  <si>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</si>
  <si>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</si>
  <si>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</si>
  <si>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</si>
  <si>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</si>
  <si>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</si>
  <si>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</si>
  <si>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</si>
  <si>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Семенов Иван Дмитриевич</t>
  </si>
  <si>
    <t>Федорова Анна Кирилловна</t>
  </si>
  <si>
    <t>2024-04-16</t>
  </si>
  <si>
    <t>Егоров Дмитрий Ильич</t>
  </si>
  <si>
    <t>2024-04-17</t>
  </si>
  <si>
    <t>2024-04-18</t>
  </si>
  <si>
    <t>2024-04-19</t>
  </si>
  <si>
    <t>2024-04-22</t>
  </si>
  <si>
    <t>Федоров Георгий Егорович</t>
  </si>
  <si>
    <t>2024-04-23</t>
  </si>
  <si>
    <t>2024-04-24</t>
  </si>
  <si>
    <t>2024-04-25</t>
  </si>
  <si>
    <t>Смирнов Сергей Андреевич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</si>
  <si>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</si>
  <si>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</si>
  <si>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</si>
  <si>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</si>
  <si>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</si>
  <si>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</si>
  <si>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</si>
  <si>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Смирнов Дмитрий Павлович</t>
  </si>
  <si>
    <t>Павлов Максим Владимирович</t>
  </si>
  <si>
    <t>2024-05-07</t>
  </si>
  <si>
    <t>2024-05-08</t>
  </si>
  <si>
    <t>2024-05-09</t>
  </si>
  <si>
    <t>2024-05-10</t>
  </si>
  <si>
    <t>2024-05-13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</si>
  <si>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</si>
  <si>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</si>
  <si>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</si>
  <si>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</si>
  <si>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</si>
  <si>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</si>
  <si>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</si>
  <si>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</si>
  <si>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</si>
  <si>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</si>
  <si>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</si>
  <si>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</si>
  <si>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</si>
  <si>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</si>
  <si>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Смирнов Константин Егорович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</si>
  <si>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</si>
  <si>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</si>
  <si>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</si>
  <si>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</si>
  <si>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</si>
  <si>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</si>
  <si>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</si>
  <si>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</si>
  <si>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</si>
  <si>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</si>
  <si>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</si>
  <si>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</si>
  <si>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</si>
  <si>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</si>
  <si>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</si>
  <si>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</si>
  <si>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</si>
  <si>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</si>
  <si>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</si>
  <si>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</si>
  <si>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</si>
  <si>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</si>
  <si>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</si>
  <si>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</si>
  <si>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</si>
  <si>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</si>
  <si>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</si>
  <si>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</si>
  <si>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</si>
  <si>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</si>
  <si>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</si>
  <si>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</si>
  <si>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</si>
  <si>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</si>
  <si>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</si>
  <si>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</si>
  <si>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</si>
  <si>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</si>
  <si>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</si>
  <si>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</si>
  <si>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</si>
  <si>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</si>
  <si>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</si>
  <si>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</si>
  <si>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</si>
  <si>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</si>
  <si>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</si>
  <si>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</si>
  <si>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</si>
  <si>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</si>
  <si>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</si>
  <si>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</si>
  <si>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</si>
  <si>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</si>
  <si>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2024-08-22</t>
  </si>
  <si>
    <t>2024-08-23</t>
  </si>
  <si>
    <t>2024-08-26</t>
  </si>
  <si>
    <t>2024-08-27</t>
  </si>
  <si>
    <t>Иванов Михаил Никитич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</si>
  <si>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</si>
  <si>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</si>
  <si>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</si>
  <si>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</si>
  <si>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</si>
  <si>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</si>
  <si>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</si>
  <si>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</si>
  <si>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</si>
  <si>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</si>
  <si>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</si>
  <si>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</si>
  <si>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</si>
  <si>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</si>
  <si>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</si>
  <si>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</si>
  <si>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</si>
  <si>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</si>
  <si>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</si>
  <si>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</si>
  <si>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</si>
  <si>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</si>
  <si>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</si>
  <si>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</si>
  <si>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</si>
  <si>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</si>
  <si>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</si>
  <si>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</si>
  <si>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</si>
  <si>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</si>
  <si>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</si>
  <si>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</si>
  <si>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</si>
  <si>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</si>
  <si>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</si>
  <si>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</si>
  <si>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</si>
  <si>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</si>
  <si>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</si>
  <si>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</si>
  <si>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</si>
  <si>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</si>
  <si>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</si>
  <si>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</si>
  <si>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</si>
  <si>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</si>
  <si>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</si>
  <si>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</si>
  <si>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</si>
  <si>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</si>
  <si>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</si>
  <si>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</si>
  <si>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</si>
  <si>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</si>
  <si>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</si>
  <si>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</si>
  <si>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</si>
  <si>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</si>
  <si>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</si>
  <si>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</si>
  <si>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</si>
  <si>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</si>
  <si>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</si>
  <si>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</si>
  <si>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</si>
  <si>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</si>
  <si>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</si>
  <si>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</si>
  <si>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</si>
  <si>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</si>
  <si>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</si>
  <si>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</si>
  <si>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</si>
  <si>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 xml:space="preserve"/>
  </si>
  <si>
    <t>средняя доходность на один проект</t>
  </si>
  <si>
    <t>М?К</t>
  </si>
  <si>
    <t>M&amp;K</t>
  </si>
  <si>
    <t>Первая сделка</t>
  </si>
  <si>
    <t>Последняя сделка</t>
  </si>
  <si>
    <t>первый проект</t>
  </si>
  <si>
    <t>последний проект</t>
  </si>
  <si>
    <t xml:space="preserve">последний проект </t>
  </si>
  <si>
    <t>М&amp;К</t>
  </si>
  <si>
    <t>Менедж+Клиент</t>
  </si>
  <si>
    <t>Дни</t>
  </si>
  <si>
    <t>ФИО менеджера ФИО клиента первый проект последний проект  ДниБелов Алексей Константинович Алексеев Иван Иванович 2023-09-20 2024-07-31 315Белов Алексей Константинович Алексеева Анна Олеговна 2024-03-19 2024-05-29 71Белов Алексей Константинович Алексеева Ирина Андреевна 2024-04-18 2024-04-18 0Белов Алексей Константинович Алексеева Наталья Андреевна 2024-02-05 2024-04-04 59Белов Алексей Константинович Васильев Александр Павлович 2024-05-15 2024-05-15 0Белов Алексей Константинович Васильев Дмитрий Алексеевич 2024-05-30 2024-05-30 0Белов Алексей Константинович Васильев Кирилл Иванович 2024-04-15 2024-04-15 0Белов Алексей Константинович Васильева Юлия Геннадьевна 2023-09-12 2023-09-12 0Белов Алексей Константинович Волков Константин Александрович 2024-04-22 2024-06-07 46Белов Алексей Константинович Волков Константин Дмитриевич 2023-12-25 2023-12-25 0Белов Алексей Константинович Волков Матвей Кириллович 2024-02-23 2024-02-23 0Белов Алексей Константинович Волкова Анна Кирилловна 2024-04-22 2024-04-22 0Белов Алексей Константинович Волкова Ирина Никитична 2023-11-23 2023-11-23 0Белов Алексей Константинович Волкова Мария Ильинична 2024-05-20 2024-05-20 0Белов Алексей Константинович Егоров Владимир Артемович 2024-04-19 2024-04-19 0Белов Алексей Константинович Егорова Ирина Кирилловна 2024-03-28 2024-07-22 116Белов Алексей Константинович Егорова Ольга Юрьевна 2024-01-08 2024-01-08 0Белов Алексей Константинович Егорова Татьяна Ильинична 2024-04-23 2024-04-23 0Белов Алексей Константинович Иванов Матвей Юрьевич 2024-01-29 2024-01-29 0Белов Алексей Константинович Иванов Михаил Никитич 2024-08-27 2024-08-27 0Белов Алексей Константинович Иванов Павел Павлович 2024-01-18 2024-01-18 0Белов Алексей Константинович Иванова Ксения Александровна 2024-05-03 2024-05-03 0Белов Алексей Константинович Козлова София Олеговна 2024-05-03 2024-07-10 68Белов Алексей Константинович Кузнецов Дмитрий Андреевич 2023-09-19 2023-09-20 1Белов Алексей Константинович Кузнецова Екатерина Александровна 2024-05-06 2024-05-06 0Белов Алексей Константинович Лебедева Полина Никитична 2024-07-24 2024-07-24 0Белов Алексей Константинович Морозов Никита Ильич 2023-11-14 2023-11-14 0Белов Алексей Константинович Морозова Екатерина Олеговна 2024-07-08 2024-07-08 0Белов Алексей Константинович Морозова Наталья Алексеевна 2023-12-12 2023-12-12 0Белов Алексей Константинович Морозова Светлана Сергеевна 2024-01-08 2024-01-08 0Белов Алексей Константинович Морозова Татьяна Кирилловна 2023-12-01 2023-12-01 0Белов Алексей Константинович Николаева Александра Александровна 2024-01-15 2024-02-12 28Белов Алексей Константинович Николаева Александра Кирилловна 2024-04-24 2024-04-24 0Белов Алексей Константинович Николаева Алиса Ивановна 2024-03-21 2024-03-21 0Белов Алексей Константинович Николаева Ксения Викторовна 2024-08-01 2024-08-01 0Белов Алексей Константинович Новикова Анна Ильинична 2024-06-17 2024-06-26 9Белов Алексей Константинович Новикова Ксения Алексеевна 2024-05-21 2024-05-21 0Белов Алексей Константинович Орлов Дмитрий Иванович 2023-11-17 2023-11-17 0Белов Алексей Константинович Орлова Анна Владимировна 2023-11-20 2023-11-20 0Белов Алексей Константинович Павлов Андрей Викторович 2024-08-02 2024-08-02 0Белов Алексей Константинович Павлов Дмитрий Ильич 2024-01-24 2024-01-24 0Белов Алексей Константинович Павлов Илья Артемович 2024-05-24 2024-05-24 0Белов Алексей Константинович Павлова Валерия Станиславовна 2023-12-18 2024-01-08 21Белов Алексей Константинович Павлова Дарья Андреевна 2024-06-03 2024-06-03 0Белов Алексей Константинович Павлова Елена Викторовна 2024-02-12 2024-02-12 0Белов Алексей Константинович Павлова София Артемовна 2024-01-18 2024-01-18 0Белов Алексей Константинович Петров Артем Иванович 2023-12-22 2023-12-22 0Белов Алексей Константинович Петров Сергей Александрович 2023-10-26 2023-10-26 0Белов Алексей Константинович Петров Сергей Андреевич 2024-03-01 2024-03-01 0Белов Алексей Константинович Попов Роман Сергеевич 2024-02-15 2024-02-15 0Белов Алексей Константинович Попова Ксения Никитична 2024-03-15 2024-06-24 101Белов Алексей Константинович Попова Полина Романовна 2024-08-12 2024-08-12 0Белов Алексей Константинович Попова Светлана Дмитриевна 2024-07-01 2024-07-01 0Белов Алексей Константинович Попова София Никитична 2024-01-22 2024-03-04 42Белов Алексей Константинович Семенов Константин Артемович 2023-10-10 2023-10-10 0Белов Алексей Константинович Сидоров Сергей Егорович 2023-12-11 2023-12-11 0Белов Алексей Константинович Сидорова Вероника Романовна 2024-04-15 2024-04-15 0Белов Алексей Константинович Смирнова Валерия Викторовна 2024-06-03 2024-07-18 45Белов Алексей Константинович Смирнова Екатерина Егоровна 2024-06-14 2024-06-14 0Белов Алексей Константинович Степанов Алексей Михайлович 2024-08-14 2024-08-14 0Белов Алексей Константинович Степанов Матвей Михайлович 2024-03-04 2024-03-04 0Белов Алексей Константинович Степанова Валерия Романовна 2024-08-15 2024-08-15 0Белов Алексей Константинович Степанова Ирина Артемовна 2024-01-09 2024-03-29 80Белов Алексей Константинович Федоров Георгий Егорович 2024-04-22 2024-04-22 0Белов Алексей Константинович Федорова Анна Кирилловна 2024-04-15 2024-04-15 0Белов Алексей Константинович Федорова Людмила Дмитриевна 2023-12-21 2023-12-21 0Громова Мария Ильинична Алексеев Иван Иванович 2024-01-04 2024-01-04 0Громова Мария Ильинична Алексеева Ирина Андреевна 2024-02-23 2024-02-23 0Громова Мария Ильинична Алексеева Наталья Андреевна 2023-09-11 2023-09-11 0Громова Мария Ильинична Васильев Александр Павлович 2024-05-16 2024-05-16 0Громова Мария Ильинична Васильев Алексей Андреевич 2023-09-25 2023-09-25 0Громова Мария Ильинична Васильев Кирилл Иванович 2024-02-01 2024-05-20 109Громова Мария Ильинична Васильева Ирина Артемовна 2024-06-05 2024-06-05 0Громова Мария Ильинична Волков Константин Александрович 2024-02-14 2024-02-14 0Громова Мария Ильинична Волков Константин Дмитриевич 2023-09-25 2023-09-25 0Громова Мария Ильинична Волков Матвей Кириллович 2024-03-20 2024-03-20 0Громова Мария Ильинична Волкова Анна Кирилловна 2023-12-05 2023-12-05 0Громова Мария Ильинична Волкова Ирина Никитична 2023-10-30 2024-04-23 176Громова Мария Ильинична Егоров Никита Станиславович 2024-04-15 2024-04-15 0Громова Мария Ильинична Егорова Татьяна Ильинична 2023-10-09 2023-10-09 0Громова Мария Ильинична Иванов Георгий Иванович 2024-08-13 2024-08-13 0Громова Мария Ильинична Иванов Никита Павлович 2024-03-04 2024-03-04 0Громова Мария Ильинична Иванов Павел Сергеевич 2024-01-01 2024-01-01 0Громова Мария Ильинична Иванова София Геннадьевна 2023-10-10 2023-10-10 0Громова Мария Ильинична Козлов Дмитрий Сергеевич 2024-03-18 2024-07-08 112Громова Мария Ильинична Кузнецов Егор Геннадьевич 2024-01-26 2024-01-26 0Громова Мария Ильинична Кузнецов Матвей Олегович 2023-11-27 2023-11-27 0Громова Мария Ильинична Кузнецова Дарья Ильинична 2024-08-05 2024-08-05 0Громова Мария Ильинична Кузнецова София Александровна 2024-05-27 2024-05-27 0Громова Мария Ильинична Лебедев Кирилл Сергеевич 2024-02-02 2024-02-02 0Громова Мария Ильинична Морозов Никита Ильич 2024-07-22 2024-07-22 0Громова Мария Ильинична Морозова Вероника Олеговна 2024-07-31 2024-07-31 0Громова Мария Ильинична Морозова Татьяна Кирилловна 2024-06-27 2024-06-27 0Громова Мария Ильинична Николаев Владимир Геннадьевич 2024-07-03 2024-07-03 0Громова Мария Ильинична Николаева Александра Кирилловна 2024-06-14 2024-06-14 0Громова Мария Ильинична Николаева Алиса Романовна 2023-11-03 2023-11-03 0Громова Мария Ильинична Николаева Дарья Алексеевна 2023-12-27 2023-12-27 0Громова Мария Ильинична Николаева Елена Геннадьевна 2024-07-22 2024-07-22 0Громова Мария Ильинична Николаева Ксения Викторовна 2023-11-27 2023-11-27 0Громова Мария Ильинична Новиков Дмитрий Иванович 2024-01-31 2024-01-31 0Громова Мария Ильинична Новикова Ксения Алексеевна 2024-05-13 2024-05-13 0Громова Мария Ильинична Новикова Людмила Павловна 2023-11-13 2024-07-31 261Громова Мария Ильинична Орлова Анна Владимировна 2023-09-18 2023-09-18 0Громова Мария Ильинична Орлова Дарья Владимировна 2023-09-28 2024-08-08 315Громова Мария Ильинична Павлов Андрей Викторович 2024-01-30 2024-01-30 0Громова Мария Ильинична Павлов Илья Артемович 2023-10-30 2023-10-30 0Громова Мария Ильинична Павлова В</t>
  </si>
  <si>
    <t>М+К</t>
  </si>
  <si>
    <t xml:space="preserve">Сумма </t>
  </si>
  <si>
    <t>Менеджеры</t>
  </si>
  <si>
    <t>Год</t>
  </si>
  <si>
    <t>Месяц</t>
  </si>
  <si>
    <t>Год.меесяц</t>
  </si>
  <si>
    <t xml:space="preserve">  - месяц / кол-во проектов на одного менеджера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</si>
</sst>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0.0%"/>
    <numFmt numFmtId="165" formatCode="#,##0.00\ [$₽-419]"/>
    <numFmt numFmtId="166" formatCode="_-* #,##0.00\ [$₽-419]_-;\-* #,##0.00\ [$₽-419]_-;_-* &quot;-&quot;??\ [$₽-419]_-;_-@_-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2"/>
      <name val="Calibri"/>
      <color theme="1"/>
      <family val="2"/>
      <scheme val="minor"/>
    </font>
    <font>
      <b/>
      <sz val="12"/>
      <name val="Calibri"/>
      <color theme="1"/>
      <charset val="204"/>
      <family val="2"/>
      <scheme val="minor"/>
    </font>
    <font>
      <sz val="11"/>
      <name val="Calibri"/>
      <color rgb="FFF79646"/>
      <family val="2"/>
      <scheme val="minor"/>
    </font>
    <font>
      <b/>
      <sz val="11"/>
      <name val="Calibri"/>
      <color theme="1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79646"/>
      </patternFill>
    </fill>
    <fill>
      <patternFill patternType="solid">
        <fgColor rgb="FFFFC000"/>
      </patternFill>
    </fill>
    <fill>
      <patternFill patternType="solid">
        <fgColor rgb="FFFAC090"/>
      </patternFill>
    </fill>
    <fill>
      <patternFill patternType="solid">
        <fgColor rgb="FFFCD5B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  <xf numFmtId="0" applyNumberFormat="1" fontId="7" applyFont="1" fillId="0" applyFill="1" xfId="0"/>
    <xf numFmtId="0" applyNumberFormat="1" fontId="8" applyFont="1" fillId="0" applyFill="1" borderId="2" applyBorder="1" applyAlignment="1" xfId="0">
      <alignment vertical="top" horizontal="center"/>
    </xf>
    <xf numFmtId="0" applyNumberFormat="1" fontId="9" applyFont="1" fillId="0" applyFill="1" xfId="0"/>
    <xf numFmtId="0" applyNumberFormat="1" fontId="0" applyFont="1" fillId="0" applyFill="1" xfId="0"/>
    <xf numFmtId="0" applyNumberFormat="1" fontId="0" applyFont="1" fillId="5" applyFill="1" xfId="0"/>
    <xf numFmtId="0" applyNumberFormat="1" fontId="0" applyFont="1" fillId="6" applyFill="1" xfId="0"/>
    <xf numFmtId="0" applyNumberFormat="1" fontId="0" applyFont="1" fillId="7" applyFill="1" xfId="0"/>
    <xf numFmtId="0" applyNumberFormat="1" fontId="0" applyFont="1" fillId="8" applyFill="1" xfId="0"/>
    <xf numFmtId="9" applyNumberFormat="1" fontId="0" applyFont="1" fillId="3" applyFill="1" borderId="2" applyBorder="1" applyAlignment="1" xfId="0">
      <alignment horizontal="left"/>
    </xf>
    <xf numFmtId="1" applyNumberFormat="1" fontId="0" applyFont="1" fillId="3" applyFill="1" borderId="2" applyBorder="1" applyAlignment="1" xfId="0">
      <alignment horizontal="left"/>
    </xf>
    <xf numFmtId="1" applyNumberFormat="1" fontId="0" applyFont="1" fillId="3" applyFill="1" borderId="2" applyBorder="1" applyAlignment="1" xfId="0">
      <alignment horizontal="left"/>
    </xf>
    <xf numFmtId="0" applyNumberFormat="1" fontId="0" applyFont="1" fillId="8" applyFill="1" borderId="3" applyBorder="1" xfId="0"/>
    <xf numFmtId="0" applyNumberFormat="1" fontId="10" applyFont="1" fillId="0" applyFill="1" xfId="0"/>
    <xf numFmtId="2" applyNumberFormat="1" fontId="0" applyFont="1" fillId="0" applyFill="1" xfId="0"/>
    <xf numFmtId="2" applyNumberFormat="1" fontId="10" applyFont="1" fillId="0" applyFill="1" xfId="0"/>
    <xf numFmtId="49" applyNumberFormat="1" fontId="3" applyFont="1" fillId="0" applyFill="1" borderId="4" applyBorder="1" applyAlignment="1" xfId="0">
      <alignment vertical="top" horizontal="center"/>
    </xf>
    <xf numFmtId="49" applyNumberFormat="1" fontId="10" applyFont="1" fillId="0" applyFill="1" xfId="0"/>
    <xf numFmtId="49" applyNumberFormat="1" fontId="0" applyFont="1" fillId="0" applyFill="1" xfId="0"/>
    <xf numFmtId="1" applyNumberFormat="1" fontId="3" applyFont="1" fillId="0" applyFill="1" borderId="4" applyBorder="1" applyAlignment="1" xfId="0">
      <alignment vertical="top" horizontal="center"/>
    </xf>
    <xf numFmtId="1" applyNumberFormat="1" fontId="10" applyFont="1" fillId="0" applyFill="1" xfId="0"/>
    <xf numFmtId="1" applyNumberFormat="1" fontId="0" applyFont="1" fillId="0" applyFill="1" xfId="0"/>
    <xf numFmtId="1" applyNumberFormat="1" fontId="3" applyFont="1" fillId="0" applyFill="1" borderId="4" applyBorder="1" applyAlignment="1" xfId="0">
      <alignment vertical="top" horizontal="center"/>
    </xf>
    <xf numFmtId="1" applyNumberFormat="1" fontId="10" applyFont="1" fillId="0" applyFill="1" xfId="0"/>
    <xf numFmtId="1" applyNumberFormat="1" fontId="0" applyFont="1" fillId="0" applyFill="1" xfId="0"/>
    <xf numFmtId="43" applyNumberFormat="1" fontId="0" applyFont="1" fillId="0" applyFill="1" xfId="0"/>
    <xf numFmtId="43" applyNumberFormat="1" fontId="10" applyFont="1" fillId="0" applyFill="1" xfId="0"/>
    <xf numFmtId="165" applyNumberFormat="1" fontId="3" applyFont="1" fillId="0" applyFill="1" borderId="4" applyBorder="1" applyAlignment="1" xfId="0">
      <alignment vertical="top" horizontal="center"/>
    </xf>
    <xf numFmtId="165" applyNumberFormat="1" fontId="10" applyFont="1" fillId="0" applyFill="1" xfId="0"/>
    <xf numFmtId="165" applyNumberFormat="1" fontId="0" applyFont="1" fillId="0" applyFill="1" xfId="0"/>
    <xf numFmtId="0" applyNumberFormat="1" fontId="0" applyFont="1" fillId="8" applyFill="1" xfId="0"/>
    <xf numFmtId="0" applyNumberFormat="1" fontId="0" applyFont="1" fillId="8" applyFill="1" borderId="5" applyBorder="1" xfId="0"/>
    <xf numFmtId="0" applyNumberFormat="1" fontId="0" applyFont="1" fillId="0" applyFill="1" applyAlignment="1" xfId="0">
      <alignment horizontal="right"/>
    </xf>
    <xf numFmtId="0" applyNumberFormat="1" fontId="0" applyFont="1" fillId="7" applyFill="1" borderId="5" applyBorder="1" xfId="0"/>
    <xf numFmtId="9" applyNumberFormat="1" fontId="0" applyFont="1" fillId="0" applyFill="1" xfId="0"/>
    <xf numFmtId="164" applyNumberFormat="1" fontId="0" applyFont="1" fillId="0" applyFill="1" xfId="0"/>
    <xf numFmtId="166" applyNumberFormat="1" fontId="0" applyFont="1" fillId="8" applyFill="1" borderId="5" applyBorder="1" xfId="0"/>
    <xf numFmtId="165" applyNumberFormat="1" fontId="0" applyFont="1" fillId="8" applyFill="1" borderId="5" applyBorder="1" xfId="0"/>
    <xf numFmtId="2" applyNumberFormat="1" fontId="0" applyFont="1" fillId="8" applyFill="1" borderId="5" applyBorder="1" xfId="0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95250</xdr:colOff>
      <xdr:row>16</xdr:row>
      <xdr:rowOff>76200</xdr:rowOff>
    </xdr:from>
    <xdr:to>
      <xdr:col>11</xdr:col>
      <xdr:colOff>28575</xdr:colOff>
      <xdr:row>20</xdr:row>
      <xdr:rowOff>38100</xdr:rowOff>
    </xdr:to>
    <xdr:sp>
      <xdr:nvSpPr>
        <xdr:cNvPr id="2" name="TextBox 1"/>
        <xdr:cNvSpPr txBox="1"/>
      </xdr:nvSpPr>
      <xdr:spPr>
        <a:xfrm>
          <a:off x="6372225" y="3314700"/>
          <a:ext cx="8601075" cy="73342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 topLeftCell="A1">
      <selection activeCell="A1" activeCellId="0" sqref="A:E"/>
    </sheetView>
  </sheetViews>
  <sheetFormatPr defaultRowHeight="15" x14ac:dyDescent="0.25" outlineLevelRow="0" outlineLevelCol="0"/>
  <cols>
    <col min="1" max="1" width="33" customWidth="1"/>
    <col min="2" max="2" width="33" customWidth="1"/>
    <col min="3" max="3" width="12" customWidth="1"/>
    <col min="4" max="4" width="15" customWidth="1"/>
    <col min="5" max="5" width="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>
        <v>62110</v>
      </c>
      <c r="E2">
        <v>5</v>
      </c>
    </row>
    <row r="3">
      <c r="A3" t="s">
        <v>8</v>
      </c>
      <c r="B3" t="s">
        <v>9</v>
      </c>
      <c r="C3" t="s">
        <v>10</v>
      </c>
      <c r="D3">
        <v>73955</v>
      </c>
      <c r="E3">
        <v>7</v>
      </c>
    </row>
    <row r="4">
      <c r="A4" t="s">
        <v>11</v>
      </c>
      <c r="B4" t="s">
        <v>12</v>
      </c>
      <c r="C4" t="s">
        <v>10</v>
      </c>
      <c r="D4">
        <v>60135</v>
      </c>
      <c r="E4">
        <v>8</v>
      </c>
    </row>
    <row r="5">
      <c r="A5" t="s">
        <v>13</v>
      </c>
      <c r="B5" t="s">
        <v>14</v>
      </c>
      <c r="C5" t="s">
        <v>10</v>
      </c>
      <c r="D5">
        <v>59782</v>
      </c>
      <c r="E5">
        <v>8</v>
      </c>
    </row>
    <row r="6">
      <c r="A6" t="s">
        <v>15</v>
      </c>
      <c r="B6" t="s">
        <v>16</v>
      </c>
      <c r="C6" t="s">
        <v>10</v>
      </c>
      <c r="D6">
        <v>71041</v>
      </c>
      <c r="E6">
        <v>0</v>
      </c>
    </row>
    <row r="7">
      <c r="A7" t="s">
        <v>17</v>
      </c>
      <c r="B7" t="s">
        <v>18</v>
      </c>
      <c r="C7" t="s">
        <v>10</v>
      </c>
      <c r="D7">
        <v>62764</v>
      </c>
      <c r="E7">
        <v>7</v>
      </c>
    </row>
    <row r="8">
      <c r="A8" t="s">
        <v>8</v>
      </c>
      <c r="B8" t="s">
        <v>19</v>
      </c>
      <c r="C8" t="s">
        <v>10</v>
      </c>
      <c r="D8">
        <v>97781</v>
      </c>
      <c r="E8">
        <v>10</v>
      </c>
    </row>
    <row r="9">
      <c r="A9" t="s">
        <v>11</v>
      </c>
      <c r="B9" t="s">
        <v>20</v>
      </c>
      <c r="C9" t="s">
        <v>10</v>
      </c>
      <c r="D9">
        <v>32384</v>
      </c>
      <c r="E9">
        <v>8</v>
      </c>
    </row>
    <row r="10">
      <c r="A10" t="s">
        <v>21</v>
      </c>
      <c r="B10" t="s">
        <v>22</v>
      </c>
      <c r="C10" t="s">
        <v>23</v>
      </c>
      <c r="D10">
        <v>74878</v>
      </c>
      <c r="E10">
        <v>4</v>
      </c>
    </row>
    <row r="11">
      <c r="A11" t="s">
        <v>24</v>
      </c>
      <c r="B11" t="s">
        <v>25</v>
      </c>
      <c r="C11" t="s">
        <v>23</v>
      </c>
      <c r="D11">
        <v>72619</v>
      </c>
      <c r="E11">
        <v>7</v>
      </c>
    </row>
    <row r="12">
      <c r="A12" t="s">
        <v>17</v>
      </c>
      <c r="B12" t="s">
        <v>26</v>
      </c>
      <c r="C12" t="s">
        <v>27</v>
      </c>
      <c r="D12">
        <v>41496</v>
      </c>
      <c r="E12">
        <v>7</v>
      </c>
    </row>
    <row r="13">
      <c r="A13" t="s">
        <v>28</v>
      </c>
      <c r="B13" t="s">
        <v>29</v>
      </c>
      <c r="C13" t="s">
        <v>27</v>
      </c>
      <c r="D13">
        <v>84622</v>
      </c>
      <c r="E13">
        <v>7</v>
      </c>
    </row>
    <row r="14">
      <c r="A14" t="s">
        <v>11</v>
      </c>
      <c r="B14" t="s">
        <v>30</v>
      </c>
      <c r="C14" t="s">
        <v>27</v>
      </c>
      <c r="D14">
        <v>94800</v>
      </c>
      <c r="E14">
        <v>8</v>
      </c>
    </row>
    <row r="15">
      <c r="A15" t="s">
        <v>8</v>
      </c>
      <c r="B15" t="s">
        <v>31</v>
      </c>
      <c r="C15" t="s">
        <v>32</v>
      </c>
      <c r="D15">
        <v>98546</v>
      </c>
      <c r="E15">
        <v>7</v>
      </c>
    </row>
    <row r="16">
      <c r="A16" t="s">
        <v>17</v>
      </c>
      <c r="B16" t="s">
        <v>33</v>
      </c>
      <c r="C16" t="s">
        <v>34</v>
      </c>
      <c r="D16">
        <v>79908</v>
      </c>
      <c r="E16">
        <v>10</v>
      </c>
    </row>
    <row r="17">
      <c r="A17" t="s">
        <v>24</v>
      </c>
      <c r="B17" t="s">
        <v>35</v>
      </c>
      <c r="C17" t="s">
        <v>34</v>
      </c>
      <c r="D17">
        <v>84706</v>
      </c>
      <c r="E17">
        <v>5</v>
      </c>
    </row>
    <row r="18">
      <c r="A18" t="s">
        <v>28</v>
      </c>
      <c r="B18" t="s">
        <v>22</v>
      </c>
      <c r="C18" t="s">
        <v>36</v>
      </c>
      <c r="D18">
        <v>85122</v>
      </c>
      <c r="E18">
        <v>2</v>
      </c>
    </row>
    <row r="19">
      <c r="A19" t="s">
        <v>28</v>
      </c>
      <c r="B19" t="s">
        <v>37</v>
      </c>
      <c r="C19" t="s">
        <v>36</v>
      </c>
      <c r="D19">
        <v>13267</v>
      </c>
      <c r="E19">
        <v>2</v>
      </c>
    </row>
    <row r="20">
      <c r="A20" t="s">
        <v>15</v>
      </c>
      <c r="B20" t="s">
        <v>38</v>
      </c>
      <c r="C20" t="s">
        <v>36</v>
      </c>
      <c r="D20">
        <v>41359</v>
      </c>
      <c r="E20">
        <v>2</v>
      </c>
    </row>
    <row r="21">
      <c r="A21" t="s">
        <v>21</v>
      </c>
      <c r="B21" t="s">
        <v>39</v>
      </c>
      <c r="C21" t="s">
        <v>36</v>
      </c>
      <c r="D21">
        <v>39440</v>
      </c>
      <c r="E21">
        <v>8</v>
      </c>
    </row>
    <row r="22">
      <c r="A22" t="s">
        <v>8</v>
      </c>
      <c r="B22" t="s">
        <v>40</v>
      </c>
      <c r="C22" t="s">
        <v>36</v>
      </c>
      <c r="D22">
        <v>17235</v>
      </c>
      <c r="E22">
        <v>5</v>
      </c>
    </row>
    <row r="23">
      <c r="A23" t="s">
        <v>15</v>
      </c>
      <c r="B23" t="s">
        <v>41</v>
      </c>
      <c r="C23" t="s">
        <v>36</v>
      </c>
      <c r="D23">
        <v>60871</v>
      </c>
      <c r="E23">
        <v>7</v>
      </c>
    </row>
    <row r="24">
      <c r="A24" t="s">
        <v>13</v>
      </c>
      <c r="B24" t="s">
        <v>42</v>
      </c>
      <c r="C24" t="s">
        <v>36</v>
      </c>
      <c r="D24">
        <v>46289</v>
      </c>
      <c r="E24">
        <v>3</v>
      </c>
    </row>
    <row r="25">
      <c r="A25" t="s">
        <v>5</v>
      </c>
      <c r="B25" t="s">
        <v>14</v>
      </c>
      <c r="C25" t="s">
        <v>36</v>
      </c>
      <c r="D25">
        <v>27397</v>
      </c>
      <c r="E25">
        <v>3</v>
      </c>
    </row>
    <row r="26">
      <c r="A26" t="s">
        <v>43</v>
      </c>
      <c r="B26" t="s">
        <v>44</v>
      </c>
      <c r="C26" t="s">
        <v>36</v>
      </c>
      <c r="D26">
        <v>69460</v>
      </c>
      <c r="E26">
        <v>5</v>
      </c>
    </row>
    <row r="27">
      <c r="A27" t="s">
        <v>8</v>
      </c>
      <c r="B27" t="s">
        <v>45</v>
      </c>
      <c r="C27" t="s">
        <v>36</v>
      </c>
      <c r="D27">
        <v>45249</v>
      </c>
      <c r="E27">
        <v>5</v>
      </c>
    </row>
    <row r="28">
      <c r="A28" t="s">
        <v>8</v>
      </c>
      <c r="B28" t="s">
        <v>14</v>
      </c>
      <c r="C28" t="s">
        <v>46</v>
      </c>
      <c r="D28">
        <v>97292</v>
      </c>
      <c r="E28">
        <v>8</v>
      </c>
    </row>
    <row r="29">
      <c r="A29" t="s">
        <v>47</v>
      </c>
      <c r="B29" t="s">
        <v>48</v>
      </c>
      <c r="C29" t="s">
        <v>46</v>
      </c>
      <c r="D29">
        <v>46609</v>
      </c>
      <c r="E29">
        <v>8</v>
      </c>
    </row>
    <row r="30">
      <c r="A30" t="s">
        <v>8</v>
      </c>
      <c r="B30" t="s">
        <v>38</v>
      </c>
      <c r="C30" t="s">
        <v>46</v>
      </c>
      <c r="D30">
        <v>64436</v>
      </c>
      <c r="E30">
        <v>7</v>
      </c>
    </row>
    <row r="31">
      <c r="A31" t="s">
        <v>43</v>
      </c>
      <c r="B31" t="s">
        <v>49</v>
      </c>
      <c r="C31" t="s">
        <v>46</v>
      </c>
      <c r="D31">
        <v>94418</v>
      </c>
      <c r="E31">
        <v>5</v>
      </c>
    </row>
    <row r="32">
      <c r="A32" t="s">
        <v>21</v>
      </c>
      <c r="B32" t="s">
        <v>50</v>
      </c>
      <c r="C32" t="s">
        <v>51</v>
      </c>
      <c r="D32">
        <v>89753</v>
      </c>
      <c r="E32">
        <v>8</v>
      </c>
    </row>
    <row r="33">
      <c r="A33" t="s">
        <v>8</v>
      </c>
      <c r="B33" t="s">
        <v>52</v>
      </c>
      <c r="C33" t="s">
        <v>51</v>
      </c>
      <c r="D33">
        <v>48055</v>
      </c>
      <c r="E33">
        <v>9</v>
      </c>
    </row>
    <row r="34">
      <c r="A34" t="s">
        <v>8</v>
      </c>
      <c r="B34" t="s">
        <v>50</v>
      </c>
      <c r="C34" t="s">
        <v>53</v>
      </c>
      <c r="D34">
        <v>20944</v>
      </c>
      <c r="E34">
        <v>9</v>
      </c>
    </row>
    <row r="35">
      <c r="A35" t="s">
        <v>8</v>
      </c>
      <c r="B35" t="s">
        <v>40</v>
      </c>
      <c r="C35" t="s">
        <v>54</v>
      </c>
      <c r="D35">
        <v>62314</v>
      </c>
      <c r="E35">
        <v>10</v>
      </c>
    </row>
    <row r="36">
      <c r="A36" t="s">
        <v>17</v>
      </c>
      <c r="B36" t="s">
        <v>55</v>
      </c>
      <c r="C36" t="s">
        <v>54</v>
      </c>
      <c r="D36">
        <v>69894</v>
      </c>
      <c r="E36">
        <v>8</v>
      </c>
    </row>
    <row r="37">
      <c r="A37" t="s">
        <v>15</v>
      </c>
      <c r="B37" t="s">
        <v>56</v>
      </c>
      <c r="C37" t="s">
        <v>54</v>
      </c>
      <c r="D37">
        <v>97915</v>
      </c>
      <c r="E37">
        <v>7</v>
      </c>
    </row>
    <row r="38">
      <c r="A38" t="s">
        <v>57</v>
      </c>
      <c r="B38" t="s">
        <v>58</v>
      </c>
      <c r="C38" t="s">
        <v>54</v>
      </c>
      <c r="D38">
        <v>99972</v>
      </c>
      <c r="E38">
        <v>6</v>
      </c>
    </row>
    <row r="39">
      <c r="A39" t="s">
        <v>28</v>
      </c>
      <c r="B39" t="s">
        <v>59</v>
      </c>
      <c r="C39" t="s">
        <v>54</v>
      </c>
      <c r="D39">
        <v>38674</v>
      </c>
      <c r="E39">
        <v>9</v>
      </c>
    </row>
    <row r="40">
      <c r="A40" t="s">
        <v>13</v>
      </c>
      <c r="B40" t="s">
        <v>6</v>
      </c>
      <c r="C40" t="s">
        <v>54</v>
      </c>
      <c r="D40">
        <v>68702</v>
      </c>
      <c r="E40">
        <v>0</v>
      </c>
    </row>
    <row r="41">
      <c r="A41" t="s">
        <v>17</v>
      </c>
      <c r="B41" t="s">
        <v>60</v>
      </c>
      <c r="C41" t="s">
        <v>54</v>
      </c>
      <c r="D41">
        <v>50615</v>
      </c>
      <c r="E41">
        <v>8</v>
      </c>
    </row>
    <row r="42">
      <c r="A42" t="s">
        <v>8</v>
      </c>
      <c r="B42" t="s">
        <v>61</v>
      </c>
      <c r="C42" t="s">
        <v>62</v>
      </c>
      <c r="D42">
        <v>32198</v>
      </c>
      <c r="E42">
        <v>9</v>
      </c>
    </row>
    <row r="43">
      <c r="A43" t="s">
        <v>47</v>
      </c>
      <c r="B43" t="s">
        <v>22</v>
      </c>
      <c r="C43" t="s">
        <v>62</v>
      </c>
      <c r="D43">
        <v>75290</v>
      </c>
      <c r="E43">
        <v>9</v>
      </c>
    </row>
    <row r="44">
      <c r="A44" t="s">
        <v>43</v>
      </c>
      <c r="B44" t="s">
        <v>63</v>
      </c>
      <c r="C44" t="s">
        <v>62</v>
      </c>
      <c r="D44">
        <v>75210</v>
      </c>
      <c r="E44">
        <v>7</v>
      </c>
    </row>
    <row r="45">
      <c r="A45" t="s">
        <v>24</v>
      </c>
      <c r="B45" t="s">
        <v>64</v>
      </c>
      <c r="C45" t="s">
        <v>62</v>
      </c>
      <c r="D45">
        <v>39751</v>
      </c>
      <c r="E45">
        <v>8</v>
      </c>
    </row>
    <row r="46">
      <c r="A46" t="s">
        <v>15</v>
      </c>
      <c r="B46" t="s">
        <v>65</v>
      </c>
      <c r="C46" t="s">
        <v>62</v>
      </c>
      <c r="D46">
        <v>82247</v>
      </c>
      <c r="E46">
        <v>7</v>
      </c>
    </row>
    <row r="47">
      <c r="A47" t="s">
        <v>47</v>
      </c>
      <c r="B47" t="s">
        <v>22</v>
      </c>
      <c r="C47" t="s">
        <v>66</v>
      </c>
      <c r="D47">
        <v>68487</v>
      </c>
      <c r="E47">
        <v>7</v>
      </c>
    </row>
    <row r="48">
      <c r="A48" t="s">
        <v>5</v>
      </c>
      <c r="B48" t="s">
        <v>67</v>
      </c>
      <c r="C48" t="s">
        <v>66</v>
      </c>
      <c r="D48">
        <v>78668</v>
      </c>
      <c r="E48">
        <v>7</v>
      </c>
    </row>
    <row r="49">
      <c r="A49" t="s">
        <v>28</v>
      </c>
      <c r="B49" t="s">
        <v>68</v>
      </c>
      <c r="C49" t="s">
        <v>66</v>
      </c>
      <c r="D49">
        <v>33825</v>
      </c>
      <c r="E49">
        <v>8</v>
      </c>
    </row>
    <row r="50">
      <c r="A50" t="s">
        <v>8</v>
      </c>
      <c r="B50" t="s">
        <v>69</v>
      </c>
      <c r="C50" t="s">
        <v>66</v>
      </c>
      <c r="D50">
        <v>98617</v>
      </c>
      <c r="E50">
        <v>9</v>
      </c>
    </row>
    <row r="51">
      <c r="A51" t="s">
        <v>47</v>
      </c>
      <c r="B51" t="s">
        <v>70</v>
      </c>
      <c r="C51" t="s">
        <v>66</v>
      </c>
      <c r="D51">
        <v>53316</v>
      </c>
      <c r="E51">
        <v>8</v>
      </c>
    </row>
    <row r="52">
      <c r="A52" t="s">
        <v>5</v>
      </c>
      <c r="B52" t="s">
        <v>71</v>
      </c>
      <c r="C52" t="s">
        <v>72</v>
      </c>
      <c r="D52">
        <v>24530</v>
      </c>
      <c r="E52">
        <v>8</v>
      </c>
    </row>
    <row r="53">
      <c r="A53" t="s">
        <v>8</v>
      </c>
      <c r="B53" t="s">
        <v>44</v>
      </c>
      <c r="C53" t="s">
        <v>72</v>
      </c>
      <c r="D53">
        <v>70387</v>
      </c>
      <c r="E53">
        <v>4</v>
      </c>
    </row>
    <row r="54">
      <c r="A54" t="s">
        <v>5</v>
      </c>
      <c r="B54" t="s">
        <v>73</v>
      </c>
      <c r="C54" t="s">
        <v>74</v>
      </c>
      <c r="D54">
        <v>65551</v>
      </c>
      <c r="E54">
        <v>7</v>
      </c>
    </row>
    <row r="55">
      <c r="A55" t="s">
        <v>24</v>
      </c>
      <c r="B55" t="s">
        <v>75</v>
      </c>
      <c r="C55" t="s">
        <v>76</v>
      </c>
      <c r="D55">
        <v>20825</v>
      </c>
      <c r="E55">
        <v>8</v>
      </c>
    </row>
    <row r="56">
      <c r="A56" t="s">
        <v>15</v>
      </c>
      <c r="B56" t="s">
        <v>77</v>
      </c>
      <c r="C56" t="s">
        <v>76</v>
      </c>
      <c r="D56">
        <v>50444</v>
      </c>
      <c r="E56">
        <v>10</v>
      </c>
    </row>
    <row r="57">
      <c r="A57" t="s">
        <v>57</v>
      </c>
      <c r="B57" t="s">
        <v>78</v>
      </c>
      <c r="C57" t="s">
        <v>76</v>
      </c>
      <c r="D57">
        <v>52020</v>
      </c>
      <c r="E57">
        <v>6</v>
      </c>
    </row>
    <row r="58">
      <c r="A58" t="s">
        <v>13</v>
      </c>
      <c r="B58" t="s">
        <v>79</v>
      </c>
      <c r="C58" t="s">
        <v>76</v>
      </c>
      <c r="D58">
        <v>78301</v>
      </c>
      <c r="E58">
        <v>7</v>
      </c>
    </row>
    <row r="59">
      <c r="A59" t="s">
        <v>43</v>
      </c>
      <c r="B59" t="s">
        <v>80</v>
      </c>
      <c r="C59" t="s">
        <v>76</v>
      </c>
      <c r="D59">
        <v>15549</v>
      </c>
      <c r="E59">
        <v>4</v>
      </c>
    </row>
    <row r="60">
      <c r="A60" t="s">
        <v>13</v>
      </c>
      <c r="B60" t="s">
        <v>81</v>
      </c>
      <c r="C60" t="s">
        <v>76</v>
      </c>
      <c r="D60">
        <v>75959</v>
      </c>
      <c r="E60">
        <v>5</v>
      </c>
    </row>
    <row r="61">
      <c r="A61" t="s">
        <v>5</v>
      </c>
      <c r="B61" t="s">
        <v>82</v>
      </c>
      <c r="C61" t="s">
        <v>76</v>
      </c>
      <c r="D61">
        <v>56425</v>
      </c>
      <c r="E61">
        <v>7</v>
      </c>
    </row>
    <row r="62">
      <c r="A62" t="s">
        <v>17</v>
      </c>
      <c r="B62" t="s">
        <v>83</v>
      </c>
      <c r="C62" t="s">
        <v>84</v>
      </c>
      <c r="D62">
        <v>28109</v>
      </c>
      <c r="E62">
        <v>7</v>
      </c>
    </row>
    <row r="63">
      <c r="A63" t="s">
        <v>43</v>
      </c>
      <c r="B63" t="s">
        <v>6</v>
      </c>
      <c r="C63" t="s">
        <v>84</v>
      </c>
      <c r="D63">
        <v>82016</v>
      </c>
      <c r="E63">
        <v>5</v>
      </c>
    </row>
    <row r="64">
      <c r="A64" t="s">
        <v>21</v>
      </c>
      <c r="B64" t="s">
        <v>60</v>
      </c>
      <c r="C64" t="s">
        <v>84</v>
      </c>
      <c r="D64">
        <v>62923</v>
      </c>
      <c r="E64">
        <v>9</v>
      </c>
    </row>
    <row r="65">
      <c r="A65" t="s">
        <v>17</v>
      </c>
      <c r="B65" t="s">
        <v>61</v>
      </c>
      <c r="C65" t="s">
        <v>84</v>
      </c>
      <c r="D65">
        <v>26443</v>
      </c>
      <c r="E65">
        <v>8</v>
      </c>
    </row>
    <row r="66">
      <c r="A66" t="s">
        <v>8</v>
      </c>
      <c r="B66" t="s">
        <v>85</v>
      </c>
      <c r="C66" t="s">
        <v>84</v>
      </c>
      <c r="D66">
        <v>87198</v>
      </c>
      <c r="E66">
        <v>7</v>
      </c>
    </row>
    <row r="67">
      <c r="A67" t="s">
        <v>8</v>
      </c>
      <c r="B67" t="s">
        <v>49</v>
      </c>
      <c r="C67" t="s">
        <v>86</v>
      </c>
      <c r="D67">
        <v>54777</v>
      </c>
      <c r="E67">
        <v>9</v>
      </c>
    </row>
    <row r="68">
      <c r="A68" t="s">
        <v>57</v>
      </c>
      <c r="B68" t="s">
        <v>25</v>
      </c>
      <c r="C68" t="s">
        <v>86</v>
      </c>
      <c r="D68">
        <v>32002</v>
      </c>
      <c r="E68">
        <v>4</v>
      </c>
    </row>
    <row r="69">
      <c r="A69" t="s">
        <v>13</v>
      </c>
      <c r="B69" t="s">
        <v>87</v>
      </c>
      <c r="C69" t="s">
        <v>88</v>
      </c>
      <c r="D69">
        <v>20092</v>
      </c>
      <c r="E69">
        <v>6</v>
      </c>
    </row>
    <row r="70">
      <c r="A70" t="s">
        <v>57</v>
      </c>
      <c r="B70" t="s">
        <v>89</v>
      </c>
      <c r="C70" t="s">
        <v>88</v>
      </c>
      <c r="D70">
        <v>55456</v>
      </c>
      <c r="E70">
        <v>5</v>
      </c>
    </row>
    <row r="71">
      <c r="A71" t="s">
        <v>24</v>
      </c>
      <c r="B71" t="s">
        <v>68</v>
      </c>
      <c r="C71" t="s">
        <v>90</v>
      </c>
      <c r="D71">
        <v>86045</v>
      </c>
      <c r="E71">
        <v>6</v>
      </c>
    </row>
    <row r="72">
      <c r="A72" t="s">
        <v>24</v>
      </c>
      <c r="B72" t="s">
        <v>91</v>
      </c>
      <c r="C72" t="s">
        <v>90</v>
      </c>
      <c r="D72">
        <v>92089</v>
      </c>
      <c r="E72">
        <v>5</v>
      </c>
    </row>
    <row r="73">
      <c r="A73" t="s">
        <v>17</v>
      </c>
      <c r="B73" t="s">
        <v>92</v>
      </c>
      <c r="C73" t="s">
        <v>90</v>
      </c>
      <c r="D73">
        <v>57619</v>
      </c>
      <c r="E73">
        <v>8</v>
      </c>
    </row>
    <row r="74">
      <c r="A74" t="s">
        <v>28</v>
      </c>
      <c r="B74" t="s">
        <v>93</v>
      </c>
      <c r="C74" t="s">
        <v>94</v>
      </c>
      <c r="D74">
        <v>85770</v>
      </c>
      <c r="E74">
        <v>8</v>
      </c>
    </row>
    <row r="75">
      <c r="A75" t="s">
        <v>11</v>
      </c>
      <c r="B75" t="s">
        <v>95</v>
      </c>
      <c r="C75" t="s">
        <v>94</v>
      </c>
      <c r="D75">
        <v>35335</v>
      </c>
      <c r="E75">
        <v>1</v>
      </c>
    </row>
    <row r="76">
      <c r="A76" t="s">
        <v>21</v>
      </c>
      <c r="B76" t="s">
        <v>96</v>
      </c>
      <c r="C76" t="s">
        <v>94</v>
      </c>
      <c r="D76">
        <v>94317</v>
      </c>
      <c r="E76">
        <v>6</v>
      </c>
    </row>
    <row r="77">
      <c r="A77" t="s">
        <v>11</v>
      </c>
      <c r="B77" t="s">
        <v>97</v>
      </c>
      <c r="C77" t="s">
        <v>94</v>
      </c>
      <c r="D77">
        <v>70959</v>
      </c>
      <c r="E77">
        <v>7</v>
      </c>
    </row>
    <row r="78">
      <c r="A78" t="s">
        <v>57</v>
      </c>
      <c r="B78" t="s">
        <v>98</v>
      </c>
      <c r="C78" t="s">
        <v>94</v>
      </c>
      <c r="D78">
        <v>17611</v>
      </c>
      <c r="E78">
        <v>0</v>
      </c>
    </row>
    <row r="79">
      <c r="A79" t="s">
        <v>24</v>
      </c>
      <c r="B79" t="s">
        <v>99</v>
      </c>
      <c r="C79" t="s">
        <v>94</v>
      </c>
      <c r="D79">
        <v>78224</v>
      </c>
      <c r="E79">
        <v>6</v>
      </c>
    </row>
    <row r="80">
      <c r="A80" t="s">
        <v>24</v>
      </c>
      <c r="B80" t="s">
        <v>100</v>
      </c>
      <c r="C80" t="s">
        <v>94</v>
      </c>
      <c r="D80">
        <v>40753</v>
      </c>
      <c r="E80">
        <v>6</v>
      </c>
    </row>
    <row r="81">
      <c r="A81" t="s">
        <v>21</v>
      </c>
      <c r="B81" t="s">
        <v>101</v>
      </c>
      <c r="C81" t="s">
        <v>94</v>
      </c>
      <c r="D81">
        <v>65725</v>
      </c>
      <c r="E81">
        <v>8</v>
      </c>
    </row>
    <row r="82">
      <c r="A82" t="s">
        <v>28</v>
      </c>
      <c r="B82" t="s">
        <v>102</v>
      </c>
      <c r="C82" t="s">
        <v>94</v>
      </c>
      <c r="D82">
        <v>55413</v>
      </c>
      <c r="E82">
        <v>10</v>
      </c>
    </row>
    <row r="83">
      <c r="A83" t="s">
        <v>5</v>
      </c>
      <c r="B83" t="s">
        <v>103</v>
      </c>
      <c r="C83" t="s">
        <v>104</v>
      </c>
      <c r="D83">
        <v>46585</v>
      </c>
      <c r="E83">
        <v>6</v>
      </c>
    </row>
    <row r="84">
      <c r="A84" t="s">
        <v>15</v>
      </c>
      <c r="B84" t="s">
        <v>105</v>
      </c>
      <c r="C84" t="s">
        <v>104</v>
      </c>
      <c r="D84">
        <v>90278</v>
      </c>
      <c r="E84">
        <v>5</v>
      </c>
    </row>
    <row r="85">
      <c r="A85" t="s">
        <v>28</v>
      </c>
      <c r="B85" t="s">
        <v>106</v>
      </c>
      <c r="C85" t="s">
        <v>107</v>
      </c>
      <c r="D85">
        <v>44476</v>
      </c>
      <c r="E85">
        <v>3</v>
      </c>
    </row>
    <row r="86">
      <c r="A86" t="s">
        <v>43</v>
      </c>
      <c r="B86" t="s">
        <v>108</v>
      </c>
      <c r="C86" t="s">
        <v>109</v>
      </c>
      <c r="D86">
        <v>40087</v>
      </c>
      <c r="E86">
        <v>5</v>
      </c>
    </row>
    <row r="87">
      <c r="A87" t="s">
        <v>28</v>
      </c>
      <c r="B87" t="s">
        <v>110</v>
      </c>
      <c r="C87" t="s">
        <v>109</v>
      </c>
      <c r="D87">
        <v>47050</v>
      </c>
      <c r="E87">
        <v>5</v>
      </c>
    </row>
    <row r="88">
      <c r="A88" t="s">
        <v>15</v>
      </c>
      <c r="B88" t="s">
        <v>111</v>
      </c>
      <c r="C88" t="s">
        <v>112</v>
      </c>
      <c r="D88">
        <v>42994</v>
      </c>
      <c r="E88">
        <v>7</v>
      </c>
    </row>
    <row r="89">
      <c r="A89" t="s">
        <v>11</v>
      </c>
      <c r="B89" t="s">
        <v>113</v>
      </c>
      <c r="C89" t="s">
        <v>114</v>
      </c>
      <c r="D89">
        <v>40658</v>
      </c>
      <c r="E89">
        <v>7</v>
      </c>
    </row>
    <row r="90">
      <c r="A90" t="s">
        <v>17</v>
      </c>
      <c r="B90" t="s">
        <v>115</v>
      </c>
      <c r="C90" t="s">
        <v>114</v>
      </c>
      <c r="D90">
        <v>83205</v>
      </c>
      <c r="E90">
        <v>10</v>
      </c>
    </row>
    <row r="91">
      <c r="A91" t="s">
        <v>13</v>
      </c>
      <c r="B91" t="s">
        <v>12</v>
      </c>
      <c r="C91" t="s">
        <v>114</v>
      </c>
      <c r="D91">
        <v>39127</v>
      </c>
      <c r="E91">
        <v>6</v>
      </c>
    </row>
    <row r="92">
      <c r="A92" t="s">
        <v>43</v>
      </c>
      <c r="B92" t="s">
        <v>116</v>
      </c>
      <c r="C92" t="s">
        <v>114</v>
      </c>
      <c r="D92">
        <v>55019</v>
      </c>
      <c r="E92">
        <v>6</v>
      </c>
    </row>
    <row r="93">
      <c r="A93" t="s">
        <v>11</v>
      </c>
      <c r="B93" t="s">
        <v>117</v>
      </c>
      <c r="C93" t="s">
        <v>114</v>
      </c>
      <c r="D93">
        <v>79621</v>
      </c>
      <c r="E93">
        <v>5</v>
      </c>
    </row>
    <row r="94">
      <c r="A94" t="s">
        <v>57</v>
      </c>
      <c r="B94" t="s">
        <v>118</v>
      </c>
      <c r="C94" t="s">
        <v>114</v>
      </c>
      <c r="D94">
        <v>13893</v>
      </c>
      <c r="E94">
        <v>2</v>
      </c>
    </row>
    <row r="95">
      <c r="A95" t="s">
        <v>15</v>
      </c>
      <c r="B95" t="s">
        <v>33</v>
      </c>
      <c r="C95" t="s">
        <v>114</v>
      </c>
      <c r="D95">
        <v>13478</v>
      </c>
      <c r="E95">
        <v>9</v>
      </c>
    </row>
    <row r="96">
      <c r="A96" t="s">
        <v>11</v>
      </c>
      <c r="B96" t="s">
        <v>119</v>
      </c>
      <c r="C96" t="s">
        <v>120</v>
      </c>
      <c r="D96">
        <v>64227</v>
      </c>
      <c r="E96">
        <v>4</v>
      </c>
    </row>
    <row r="97">
      <c r="A97" t="s">
        <v>13</v>
      </c>
      <c r="B97" t="s">
        <v>121</v>
      </c>
      <c r="C97" t="s">
        <v>120</v>
      </c>
      <c r="D97">
        <v>51486</v>
      </c>
      <c r="E97">
        <v>8</v>
      </c>
    </row>
    <row r="98">
      <c r="A98" t="s">
        <v>47</v>
      </c>
      <c r="B98" t="s">
        <v>102</v>
      </c>
      <c r="C98" t="s">
        <v>120</v>
      </c>
      <c r="D98">
        <v>67538</v>
      </c>
      <c r="E98">
        <v>9</v>
      </c>
    </row>
    <row r="99">
      <c r="A99" t="s">
        <v>5</v>
      </c>
      <c r="B99" t="s">
        <v>96</v>
      </c>
      <c r="C99" t="s">
        <v>120</v>
      </c>
      <c r="D99">
        <v>54785</v>
      </c>
      <c r="E99">
        <v>9</v>
      </c>
    </row>
    <row r="100">
      <c r="A100" t="s">
        <v>8</v>
      </c>
      <c r="B100" t="s">
        <v>83</v>
      </c>
      <c r="C100" t="s">
        <v>122</v>
      </c>
      <c r="D100">
        <v>29679</v>
      </c>
      <c r="E100">
        <v>5</v>
      </c>
    </row>
    <row r="101">
      <c r="A101" t="s">
        <v>57</v>
      </c>
      <c r="B101" t="s">
        <v>123</v>
      </c>
      <c r="C101" t="s">
        <v>122</v>
      </c>
      <c r="D101">
        <v>84441</v>
      </c>
      <c r="E101">
        <v>6</v>
      </c>
    </row>
    <row r="102">
      <c r="A102" t="s">
        <v>15</v>
      </c>
      <c r="B102" t="s">
        <v>124</v>
      </c>
      <c r="C102" t="s">
        <v>125</v>
      </c>
      <c r="D102">
        <v>42180</v>
      </c>
      <c r="E102">
        <v>9</v>
      </c>
    </row>
    <row r="103">
      <c r="A103" t="s">
        <v>17</v>
      </c>
      <c r="B103" t="s">
        <v>91</v>
      </c>
      <c r="C103" t="s">
        <v>126</v>
      </c>
      <c r="D103">
        <v>39340</v>
      </c>
      <c r="E103">
        <v>8</v>
      </c>
    </row>
    <row r="104">
      <c r="A104" t="s">
        <v>15</v>
      </c>
      <c r="B104" t="s">
        <v>91</v>
      </c>
      <c r="C104" t="s">
        <v>127</v>
      </c>
      <c r="D104">
        <v>22950</v>
      </c>
      <c r="E104">
        <v>7</v>
      </c>
    </row>
    <row r="105">
      <c r="A105" t="s">
        <v>28</v>
      </c>
      <c r="B105" t="s">
        <v>80</v>
      </c>
      <c r="C105" t="s">
        <v>127</v>
      </c>
      <c r="D105">
        <v>20920</v>
      </c>
      <c r="E105">
        <v>6</v>
      </c>
    </row>
    <row r="106">
      <c r="A106" t="s">
        <v>24</v>
      </c>
      <c r="B106" t="s">
        <v>128</v>
      </c>
      <c r="C106" t="s">
        <v>127</v>
      </c>
      <c r="D106">
        <v>99525</v>
      </c>
      <c r="E106">
        <v>5</v>
      </c>
    </row>
    <row r="107">
      <c r="A107" t="s">
        <v>8</v>
      </c>
      <c r="B107" t="s">
        <v>129</v>
      </c>
      <c r="C107" t="s">
        <v>127</v>
      </c>
      <c r="D107">
        <v>48433</v>
      </c>
      <c r="E107">
        <v>9</v>
      </c>
    </row>
    <row r="108">
      <c r="A108" t="s">
        <v>5</v>
      </c>
      <c r="B108" t="s">
        <v>93</v>
      </c>
      <c r="C108" t="s">
        <v>127</v>
      </c>
      <c r="D108">
        <v>52149</v>
      </c>
      <c r="E108">
        <v>6</v>
      </c>
    </row>
    <row r="109">
      <c r="A109" t="s">
        <v>11</v>
      </c>
      <c r="B109" t="s">
        <v>130</v>
      </c>
      <c r="C109" t="s">
        <v>127</v>
      </c>
      <c r="D109">
        <v>36573</v>
      </c>
      <c r="E109">
        <v>2</v>
      </c>
    </row>
    <row r="110">
      <c r="A110" t="s">
        <v>24</v>
      </c>
      <c r="B110" t="s">
        <v>87</v>
      </c>
      <c r="C110" t="s">
        <v>127</v>
      </c>
      <c r="D110">
        <v>98763</v>
      </c>
      <c r="E110">
        <v>4</v>
      </c>
    </row>
    <row r="111">
      <c r="A111" t="s">
        <v>5</v>
      </c>
      <c r="B111" t="s">
        <v>131</v>
      </c>
      <c r="C111" t="s">
        <v>127</v>
      </c>
      <c r="D111">
        <v>35853</v>
      </c>
      <c r="E111">
        <v>7</v>
      </c>
    </row>
    <row r="112">
      <c r="A112" t="s">
        <v>11</v>
      </c>
      <c r="B112" t="s">
        <v>110</v>
      </c>
      <c r="C112" t="s">
        <v>127</v>
      </c>
      <c r="D112">
        <v>60043</v>
      </c>
      <c r="E112">
        <v>5</v>
      </c>
    </row>
    <row r="113">
      <c r="A113" t="s">
        <v>5</v>
      </c>
      <c r="B113" t="s">
        <v>132</v>
      </c>
      <c r="C113" t="s">
        <v>127</v>
      </c>
      <c r="D113">
        <v>62014</v>
      </c>
      <c r="E113">
        <v>5</v>
      </c>
    </row>
    <row r="114">
      <c r="A114" t="s">
        <v>43</v>
      </c>
      <c r="B114" t="s">
        <v>118</v>
      </c>
      <c r="C114" t="s">
        <v>127</v>
      </c>
      <c r="D114">
        <v>10515</v>
      </c>
      <c r="E114">
        <v>8</v>
      </c>
    </row>
    <row r="115">
      <c r="A115" t="s">
        <v>17</v>
      </c>
      <c r="B115" t="s">
        <v>133</v>
      </c>
      <c r="C115" t="s">
        <v>127</v>
      </c>
      <c r="D115">
        <v>59074</v>
      </c>
      <c r="E115">
        <v>7</v>
      </c>
    </row>
    <row r="116">
      <c r="A116" t="s">
        <v>57</v>
      </c>
      <c r="B116" t="s">
        <v>42</v>
      </c>
      <c r="C116" t="s">
        <v>134</v>
      </c>
      <c r="D116">
        <v>88278</v>
      </c>
      <c r="E116">
        <v>9</v>
      </c>
    </row>
    <row r="117">
      <c r="A117" t="s">
        <v>15</v>
      </c>
      <c r="B117" t="s">
        <v>135</v>
      </c>
      <c r="C117" t="s">
        <v>136</v>
      </c>
      <c r="D117">
        <v>42960</v>
      </c>
      <c r="E117">
        <v>8</v>
      </c>
    </row>
    <row r="118">
      <c r="A118" t="s">
        <v>5</v>
      </c>
      <c r="B118" t="s">
        <v>137</v>
      </c>
      <c r="C118" t="s">
        <v>136</v>
      </c>
      <c r="D118">
        <v>57306</v>
      </c>
      <c r="E118">
        <v>8</v>
      </c>
    </row>
    <row r="119">
      <c r="A119" t="s">
        <v>17</v>
      </c>
      <c r="B119" t="s">
        <v>116</v>
      </c>
      <c r="C119" t="s">
        <v>136</v>
      </c>
      <c r="D119">
        <v>50202</v>
      </c>
      <c r="E119">
        <v>4</v>
      </c>
    </row>
    <row r="120">
      <c r="A120" t="s">
        <v>15</v>
      </c>
      <c r="B120" t="s">
        <v>138</v>
      </c>
      <c r="C120" t="s">
        <v>139</v>
      </c>
      <c r="D120">
        <v>11159</v>
      </c>
      <c r="E120">
        <v>9</v>
      </c>
    </row>
    <row r="121">
      <c r="A121" t="s">
        <v>17</v>
      </c>
      <c r="B121" t="s">
        <v>115</v>
      </c>
      <c r="C121" t="s">
        <v>139</v>
      </c>
      <c r="D121">
        <v>50738</v>
      </c>
      <c r="E121">
        <v>5</v>
      </c>
    </row>
    <row r="122">
      <c r="A122" t="s">
        <v>57</v>
      </c>
      <c r="B122" t="s">
        <v>140</v>
      </c>
      <c r="C122" t="s">
        <v>139</v>
      </c>
      <c r="D122">
        <v>86364</v>
      </c>
      <c r="E122">
        <v>8</v>
      </c>
    </row>
    <row r="123">
      <c r="A123" t="s">
        <v>28</v>
      </c>
      <c r="B123" t="s">
        <v>50</v>
      </c>
      <c r="C123" t="s">
        <v>141</v>
      </c>
      <c r="D123">
        <v>74772</v>
      </c>
      <c r="E123">
        <v>7</v>
      </c>
    </row>
    <row r="124">
      <c r="A124" t="s">
        <v>28</v>
      </c>
      <c r="B124" t="s">
        <v>142</v>
      </c>
      <c r="C124" t="s">
        <v>141</v>
      </c>
      <c r="D124">
        <v>55522</v>
      </c>
      <c r="E124">
        <v>9</v>
      </c>
    </row>
    <row r="125">
      <c r="A125" t="s">
        <v>13</v>
      </c>
      <c r="B125" t="s">
        <v>143</v>
      </c>
      <c r="C125" t="s">
        <v>141</v>
      </c>
      <c r="D125">
        <v>55985</v>
      </c>
      <c r="E125">
        <v>4</v>
      </c>
    </row>
    <row r="126">
      <c r="A126" t="s">
        <v>24</v>
      </c>
      <c r="B126" t="s">
        <v>144</v>
      </c>
      <c r="C126" t="s">
        <v>145</v>
      </c>
      <c r="D126">
        <v>40910</v>
      </c>
      <c r="E126">
        <v>5</v>
      </c>
    </row>
    <row r="127">
      <c r="A127" t="s">
        <v>21</v>
      </c>
      <c r="B127" t="s">
        <v>146</v>
      </c>
      <c r="C127" t="s">
        <v>145</v>
      </c>
      <c r="D127">
        <v>69320</v>
      </c>
      <c r="E127">
        <v>5</v>
      </c>
    </row>
    <row r="128">
      <c r="A128" t="s">
        <v>28</v>
      </c>
      <c r="B128" t="s">
        <v>99</v>
      </c>
      <c r="C128" t="s">
        <v>145</v>
      </c>
      <c r="D128">
        <v>32458</v>
      </c>
      <c r="E128">
        <v>9</v>
      </c>
    </row>
    <row r="129">
      <c r="A129" t="s">
        <v>15</v>
      </c>
      <c r="B129" t="s">
        <v>147</v>
      </c>
      <c r="C129" t="s">
        <v>145</v>
      </c>
      <c r="D129">
        <v>71343</v>
      </c>
      <c r="E129">
        <v>7</v>
      </c>
    </row>
    <row r="130">
      <c r="A130" t="s">
        <v>17</v>
      </c>
      <c r="B130" t="s">
        <v>148</v>
      </c>
      <c r="C130" t="s">
        <v>145</v>
      </c>
      <c r="D130">
        <v>68571</v>
      </c>
      <c r="E130">
        <v>5</v>
      </c>
    </row>
    <row r="131">
      <c r="A131" t="s">
        <v>11</v>
      </c>
      <c r="B131" t="s">
        <v>121</v>
      </c>
      <c r="C131" t="s">
        <v>145</v>
      </c>
      <c r="D131">
        <v>45843</v>
      </c>
      <c r="E131">
        <v>8</v>
      </c>
    </row>
    <row r="132">
      <c r="A132" t="s">
        <v>8</v>
      </c>
      <c r="B132" t="s">
        <v>149</v>
      </c>
      <c r="C132" t="s">
        <v>150</v>
      </c>
      <c r="D132">
        <v>25953</v>
      </c>
      <c r="E132">
        <v>6</v>
      </c>
    </row>
    <row r="133">
      <c r="A133" t="s">
        <v>17</v>
      </c>
      <c r="B133" t="s">
        <v>151</v>
      </c>
      <c r="C133" t="s">
        <v>150</v>
      </c>
      <c r="D133">
        <v>92396</v>
      </c>
      <c r="E133">
        <v>3</v>
      </c>
    </row>
    <row r="134">
      <c r="A134" t="s">
        <v>28</v>
      </c>
      <c r="B134" t="s">
        <v>93</v>
      </c>
      <c r="C134" t="s">
        <v>152</v>
      </c>
      <c r="D134">
        <v>79312</v>
      </c>
      <c r="E134">
        <v>0</v>
      </c>
    </row>
    <row r="135">
      <c r="A135" t="s">
        <v>13</v>
      </c>
      <c r="B135" t="s">
        <v>153</v>
      </c>
      <c r="C135" t="s">
        <v>152</v>
      </c>
      <c r="D135">
        <v>14131</v>
      </c>
      <c r="E135">
        <v>9</v>
      </c>
    </row>
    <row r="136">
      <c r="A136" t="s">
        <v>24</v>
      </c>
      <c r="B136" t="s">
        <v>154</v>
      </c>
      <c r="C136" t="s">
        <v>152</v>
      </c>
      <c r="D136">
        <v>74806</v>
      </c>
      <c r="E136">
        <v>10</v>
      </c>
    </row>
    <row r="137">
      <c r="A137" t="s">
        <v>47</v>
      </c>
      <c r="B137" t="s">
        <v>89</v>
      </c>
      <c r="C137" t="s">
        <v>155</v>
      </c>
      <c r="D137">
        <v>60284</v>
      </c>
      <c r="E137">
        <v>6</v>
      </c>
    </row>
    <row r="138">
      <c r="A138" t="s">
        <v>15</v>
      </c>
      <c r="B138" t="s">
        <v>78</v>
      </c>
      <c r="C138" t="s">
        <v>156</v>
      </c>
      <c r="D138">
        <v>98447</v>
      </c>
      <c r="E138">
        <v>3</v>
      </c>
    </row>
    <row r="139">
      <c r="A139" t="s">
        <v>24</v>
      </c>
      <c r="B139" t="s">
        <v>157</v>
      </c>
      <c r="C139" t="s">
        <v>156</v>
      </c>
      <c r="D139">
        <v>98253</v>
      </c>
      <c r="E139">
        <v>8</v>
      </c>
    </row>
    <row r="140">
      <c r="A140" t="s">
        <v>13</v>
      </c>
      <c r="B140" t="s">
        <v>158</v>
      </c>
      <c r="C140" t="s">
        <v>159</v>
      </c>
      <c r="D140">
        <v>51403</v>
      </c>
      <c r="E140">
        <v>7</v>
      </c>
    </row>
    <row r="141">
      <c r="A141" t="s">
        <v>5</v>
      </c>
      <c r="B141" t="s">
        <v>160</v>
      </c>
      <c r="C141" t="s">
        <v>159</v>
      </c>
      <c r="D141">
        <v>51217</v>
      </c>
      <c r="E141">
        <v>6</v>
      </c>
    </row>
    <row r="142">
      <c r="A142" t="s">
        <v>13</v>
      </c>
      <c r="B142" t="s">
        <v>161</v>
      </c>
      <c r="C142" t="s">
        <v>159</v>
      </c>
      <c r="D142">
        <v>56847</v>
      </c>
      <c r="E142">
        <v>6</v>
      </c>
    </row>
    <row r="143">
      <c r="A143" t="s">
        <v>21</v>
      </c>
      <c r="B143" t="s">
        <v>33</v>
      </c>
      <c r="C143" t="s">
        <v>159</v>
      </c>
      <c r="D143">
        <v>35117</v>
      </c>
      <c r="E143">
        <v>3</v>
      </c>
    </row>
    <row r="144">
      <c r="A144" t="s">
        <v>24</v>
      </c>
      <c r="B144" t="s">
        <v>162</v>
      </c>
      <c r="C144" t="s">
        <v>159</v>
      </c>
      <c r="D144">
        <v>25338</v>
      </c>
      <c r="E144">
        <v>1</v>
      </c>
    </row>
    <row r="145">
      <c r="A145" t="s">
        <v>57</v>
      </c>
      <c r="B145" t="s">
        <v>163</v>
      </c>
      <c r="C145" t="s">
        <v>159</v>
      </c>
      <c r="D145">
        <v>35270</v>
      </c>
      <c r="E145">
        <v>4</v>
      </c>
    </row>
    <row r="146">
      <c r="A146" t="s">
        <v>17</v>
      </c>
      <c r="B146" t="s">
        <v>147</v>
      </c>
      <c r="C146" t="s">
        <v>164</v>
      </c>
      <c r="D146">
        <v>33171</v>
      </c>
      <c r="E146">
        <v>6</v>
      </c>
    </row>
    <row r="147">
      <c r="A147" t="s">
        <v>43</v>
      </c>
      <c r="B147" t="s">
        <v>105</v>
      </c>
      <c r="C147" t="s">
        <v>164</v>
      </c>
      <c r="D147">
        <v>60794</v>
      </c>
      <c r="E147">
        <v>6</v>
      </c>
    </row>
    <row r="148">
      <c r="A148" t="s">
        <v>28</v>
      </c>
      <c r="B148" t="s">
        <v>59</v>
      </c>
      <c r="C148" t="s">
        <v>164</v>
      </c>
      <c r="D148">
        <v>77467</v>
      </c>
      <c r="E148">
        <v>4</v>
      </c>
    </row>
    <row r="149">
      <c r="A149" t="s">
        <v>28</v>
      </c>
      <c r="B149" t="s">
        <v>147</v>
      </c>
      <c r="C149" t="s">
        <v>164</v>
      </c>
      <c r="D149">
        <v>26913</v>
      </c>
      <c r="E149">
        <v>6</v>
      </c>
    </row>
    <row r="150">
      <c r="A150" t="s">
        <v>28</v>
      </c>
      <c r="B150" t="s">
        <v>165</v>
      </c>
      <c r="C150" t="s">
        <v>164</v>
      </c>
      <c r="D150">
        <v>21472</v>
      </c>
      <c r="E150">
        <v>9</v>
      </c>
    </row>
    <row r="151">
      <c r="A151" t="s">
        <v>8</v>
      </c>
      <c r="B151" t="s">
        <v>144</v>
      </c>
      <c r="C151" t="s">
        <v>166</v>
      </c>
      <c r="D151">
        <v>40795</v>
      </c>
      <c r="E151">
        <v>6</v>
      </c>
    </row>
    <row r="152">
      <c r="A152" t="s">
        <v>17</v>
      </c>
      <c r="B152" t="s">
        <v>63</v>
      </c>
      <c r="C152" t="s">
        <v>166</v>
      </c>
      <c r="D152">
        <v>62912</v>
      </c>
      <c r="E152">
        <v>1</v>
      </c>
    </row>
    <row r="153">
      <c r="A153" t="s">
        <v>21</v>
      </c>
      <c r="B153" t="s">
        <v>103</v>
      </c>
      <c r="C153" t="s">
        <v>167</v>
      </c>
      <c r="D153">
        <v>97035</v>
      </c>
      <c r="E153">
        <v>5</v>
      </c>
    </row>
    <row r="154">
      <c r="A154" t="s">
        <v>57</v>
      </c>
      <c r="B154" t="s">
        <v>99</v>
      </c>
      <c r="C154" t="s">
        <v>167</v>
      </c>
      <c r="D154">
        <v>81584</v>
      </c>
      <c r="E154">
        <v>5</v>
      </c>
    </row>
    <row r="155">
      <c r="A155" t="s">
        <v>57</v>
      </c>
      <c r="B155" t="s">
        <v>162</v>
      </c>
      <c r="C155" t="s">
        <v>167</v>
      </c>
      <c r="D155">
        <v>21919</v>
      </c>
      <c r="E155">
        <v>9</v>
      </c>
    </row>
    <row r="156">
      <c r="A156" t="s">
        <v>8</v>
      </c>
      <c r="B156" t="s">
        <v>96</v>
      </c>
      <c r="C156" t="s">
        <v>167</v>
      </c>
      <c r="D156">
        <v>54319</v>
      </c>
      <c r="E156">
        <v>9</v>
      </c>
    </row>
    <row r="157">
      <c r="A157" t="s">
        <v>13</v>
      </c>
      <c r="B157" t="s">
        <v>168</v>
      </c>
      <c r="C157" t="s">
        <v>169</v>
      </c>
      <c r="D157">
        <v>11190</v>
      </c>
      <c r="E157">
        <v>8</v>
      </c>
    </row>
    <row r="158">
      <c r="A158" t="s">
        <v>5</v>
      </c>
      <c r="B158" t="s">
        <v>42</v>
      </c>
      <c r="C158" t="s">
        <v>169</v>
      </c>
      <c r="D158">
        <v>90343</v>
      </c>
      <c r="E158">
        <v>10</v>
      </c>
    </row>
    <row r="159">
      <c r="A159" t="s">
        <v>15</v>
      </c>
      <c r="B159" t="s">
        <v>170</v>
      </c>
      <c r="C159" t="s">
        <v>169</v>
      </c>
      <c r="D159">
        <v>57825</v>
      </c>
      <c r="E159">
        <v>6</v>
      </c>
    </row>
    <row r="160">
      <c r="A160" t="s">
        <v>28</v>
      </c>
      <c r="B160" t="s">
        <v>19</v>
      </c>
      <c r="C160" t="s">
        <v>169</v>
      </c>
      <c r="D160">
        <v>64612</v>
      </c>
      <c r="E160">
        <v>7</v>
      </c>
    </row>
    <row r="161">
      <c r="A161" t="s">
        <v>11</v>
      </c>
      <c r="B161" t="s">
        <v>171</v>
      </c>
      <c r="C161" t="s">
        <v>169</v>
      </c>
      <c r="D161">
        <v>90244</v>
      </c>
      <c r="E161">
        <v>8</v>
      </c>
    </row>
    <row r="162">
      <c r="A162" t="s">
        <v>17</v>
      </c>
      <c r="B162" t="s">
        <v>172</v>
      </c>
      <c r="C162" t="s">
        <v>173</v>
      </c>
      <c r="D162">
        <v>44711</v>
      </c>
      <c r="E162">
        <v>3</v>
      </c>
    </row>
    <row r="163">
      <c r="A163" t="s">
        <v>17</v>
      </c>
      <c r="B163" t="s">
        <v>144</v>
      </c>
      <c r="C163" t="s">
        <v>173</v>
      </c>
      <c r="D163">
        <v>68979</v>
      </c>
      <c r="E163">
        <v>9</v>
      </c>
    </row>
    <row r="164">
      <c r="A164" t="s">
        <v>24</v>
      </c>
      <c r="B164" t="s">
        <v>132</v>
      </c>
      <c r="C164" t="s">
        <v>173</v>
      </c>
      <c r="D164">
        <v>21625</v>
      </c>
      <c r="E164">
        <v>5</v>
      </c>
    </row>
    <row r="165">
      <c r="A165" t="s">
        <v>43</v>
      </c>
      <c r="B165" t="s">
        <v>174</v>
      </c>
      <c r="C165" t="s">
        <v>173</v>
      </c>
      <c r="D165">
        <v>27157</v>
      </c>
      <c r="E165">
        <v>8</v>
      </c>
    </row>
    <row r="166">
      <c r="A166" t="s">
        <v>24</v>
      </c>
      <c r="B166" t="s">
        <v>149</v>
      </c>
      <c r="C166" t="s">
        <v>173</v>
      </c>
      <c r="D166">
        <v>53577</v>
      </c>
      <c r="E166">
        <v>7</v>
      </c>
    </row>
    <row r="167">
      <c r="A167" t="s">
        <v>17</v>
      </c>
      <c r="B167" t="s">
        <v>175</v>
      </c>
      <c r="C167" t="s">
        <v>173</v>
      </c>
      <c r="D167">
        <v>44201</v>
      </c>
      <c r="E167">
        <v>6</v>
      </c>
    </row>
    <row r="168">
      <c r="A168" t="s">
        <v>5</v>
      </c>
      <c r="B168" t="s">
        <v>25</v>
      </c>
      <c r="C168" t="s">
        <v>173</v>
      </c>
      <c r="D168">
        <v>91359</v>
      </c>
      <c r="E168">
        <v>5</v>
      </c>
    </row>
    <row r="169">
      <c r="A169" t="s">
        <v>57</v>
      </c>
      <c r="B169" t="s">
        <v>103</v>
      </c>
      <c r="C169" t="s">
        <v>173</v>
      </c>
      <c r="D169">
        <v>24977</v>
      </c>
      <c r="E169">
        <v>7</v>
      </c>
    </row>
    <row r="170">
      <c r="A170" t="s">
        <v>15</v>
      </c>
      <c r="B170" t="s">
        <v>80</v>
      </c>
      <c r="C170" t="s">
        <v>173</v>
      </c>
      <c r="D170">
        <v>85090</v>
      </c>
      <c r="E170">
        <v>7</v>
      </c>
    </row>
    <row r="171">
      <c r="A171" t="s">
        <v>21</v>
      </c>
      <c r="B171" t="s">
        <v>144</v>
      </c>
      <c r="C171" t="s">
        <v>176</v>
      </c>
      <c r="D171">
        <v>84992</v>
      </c>
      <c r="E171">
        <v>6</v>
      </c>
    </row>
    <row r="172">
      <c r="A172" t="s">
        <v>13</v>
      </c>
      <c r="B172" t="s">
        <v>177</v>
      </c>
      <c r="C172" t="s">
        <v>176</v>
      </c>
      <c r="D172">
        <v>19323</v>
      </c>
      <c r="E172">
        <v>7</v>
      </c>
    </row>
    <row r="173">
      <c r="A173" t="s">
        <v>24</v>
      </c>
      <c r="B173" t="s">
        <v>178</v>
      </c>
      <c r="C173" t="s">
        <v>179</v>
      </c>
      <c r="D173">
        <v>16732</v>
      </c>
      <c r="E173">
        <v>9</v>
      </c>
    </row>
    <row r="174">
      <c r="A174" t="s">
        <v>43</v>
      </c>
      <c r="B174" t="s">
        <v>37</v>
      </c>
      <c r="C174" t="s">
        <v>179</v>
      </c>
      <c r="D174">
        <v>76777</v>
      </c>
      <c r="E174">
        <v>6</v>
      </c>
    </row>
    <row r="175">
      <c r="A175" t="s">
        <v>8</v>
      </c>
      <c r="B175" t="s">
        <v>19</v>
      </c>
      <c r="C175" t="s">
        <v>179</v>
      </c>
      <c r="D175">
        <v>31147</v>
      </c>
      <c r="E175">
        <v>3</v>
      </c>
    </row>
    <row r="176">
      <c r="A176" t="s">
        <v>5</v>
      </c>
      <c r="B176" t="s">
        <v>103</v>
      </c>
      <c r="C176" t="s">
        <v>179</v>
      </c>
      <c r="D176">
        <v>13042</v>
      </c>
      <c r="E176">
        <v>7</v>
      </c>
    </row>
    <row r="177">
      <c r="A177" t="s">
        <v>24</v>
      </c>
      <c r="B177" t="s">
        <v>41</v>
      </c>
      <c r="C177" t="s">
        <v>179</v>
      </c>
      <c r="D177">
        <v>71514</v>
      </c>
      <c r="E177">
        <v>6</v>
      </c>
    </row>
    <row r="178">
      <c r="A178" t="s">
        <v>15</v>
      </c>
      <c r="B178" t="s">
        <v>123</v>
      </c>
      <c r="C178" t="s">
        <v>180</v>
      </c>
      <c r="D178">
        <v>91163</v>
      </c>
      <c r="E178">
        <v>8</v>
      </c>
    </row>
    <row r="179">
      <c r="A179" t="s">
        <v>24</v>
      </c>
      <c r="B179" t="s">
        <v>111</v>
      </c>
      <c r="C179" t="s">
        <v>180</v>
      </c>
      <c r="D179">
        <v>42791</v>
      </c>
      <c r="E179">
        <v>4</v>
      </c>
    </row>
    <row r="180">
      <c r="A180" t="s">
        <v>5</v>
      </c>
      <c r="B180" t="s">
        <v>181</v>
      </c>
      <c r="C180" t="s">
        <v>180</v>
      </c>
      <c r="D180">
        <v>20345</v>
      </c>
      <c r="E180">
        <v>4</v>
      </c>
    </row>
    <row r="181">
      <c r="A181" t="s">
        <v>57</v>
      </c>
      <c r="B181" t="s">
        <v>182</v>
      </c>
      <c r="C181" t="s">
        <v>180</v>
      </c>
      <c r="D181">
        <v>24770</v>
      </c>
      <c r="E181">
        <v>8</v>
      </c>
    </row>
    <row r="182">
      <c r="A182" t="s">
        <v>28</v>
      </c>
      <c r="B182" t="s">
        <v>118</v>
      </c>
      <c r="C182" t="s">
        <v>183</v>
      </c>
      <c r="D182">
        <v>50923</v>
      </c>
      <c r="E182">
        <v>7</v>
      </c>
    </row>
    <row r="183">
      <c r="A183" t="s">
        <v>5</v>
      </c>
      <c r="B183" t="s">
        <v>184</v>
      </c>
      <c r="C183" t="s">
        <v>183</v>
      </c>
      <c r="D183">
        <v>75622</v>
      </c>
      <c r="E183">
        <v>8</v>
      </c>
    </row>
    <row r="184">
      <c r="A184" t="s">
        <v>43</v>
      </c>
      <c r="B184" t="s">
        <v>147</v>
      </c>
      <c r="C184" t="s">
        <v>183</v>
      </c>
      <c r="D184">
        <v>11652</v>
      </c>
      <c r="E184">
        <v>0</v>
      </c>
    </row>
    <row r="185">
      <c r="A185" t="s">
        <v>15</v>
      </c>
      <c r="B185" t="s">
        <v>185</v>
      </c>
      <c r="C185" t="s">
        <v>183</v>
      </c>
      <c r="D185">
        <v>14892</v>
      </c>
      <c r="E185">
        <v>8</v>
      </c>
    </row>
    <row r="186">
      <c r="A186" t="s">
        <v>24</v>
      </c>
      <c r="B186" t="s">
        <v>113</v>
      </c>
      <c r="C186" t="s">
        <v>183</v>
      </c>
      <c r="D186">
        <v>66129</v>
      </c>
      <c r="E186">
        <v>8</v>
      </c>
    </row>
    <row r="187">
      <c r="A187" t="s">
        <v>13</v>
      </c>
      <c r="B187" t="s">
        <v>116</v>
      </c>
      <c r="C187" t="s">
        <v>183</v>
      </c>
      <c r="D187">
        <v>12810</v>
      </c>
      <c r="E187">
        <v>7</v>
      </c>
    </row>
    <row r="188">
      <c r="A188" t="s">
        <v>17</v>
      </c>
      <c r="B188" t="s">
        <v>45</v>
      </c>
      <c r="C188" t="s">
        <v>183</v>
      </c>
      <c r="D188">
        <v>74484</v>
      </c>
      <c r="E188">
        <v>8</v>
      </c>
    </row>
    <row r="189">
      <c r="A189" t="s">
        <v>17</v>
      </c>
      <c r="B189" t="s">
        <v>98</v>
      </c>
      <c r="C189" t="s">
        <v>183</v>
      </c>
      <c r="D189">
        <v>34093</v>
      </c>
      <c r="E189">
        <v>8</v>
      </c>
    </row>
    <row r="190">
      <c r="A190" t="s">
        <v>5</v>
      </c>
      <c r="B190" t="s">
        <v>186</v>
      </c>
      <c r="C190" t="s">
        <v>183</v>
      </c>
      <c r="D190">
        <v>59398</v>
      </c>
      <c r="E190">
        <v>5</v>
      </c>
    </row>
    <row r="191">
      <c r="A191" t="s">
        <v>47</v>
      </c>
      <c r="B191" t="s">
        <v>138</v>
      </c>
      <c r="C191" t="s">
        <v>187</v>
      </c>
      <c r="D191">
        <v>23155</v>
      </c>
      <c r="E191">
        <v>7</v>
      </c>
    </row>
    <row r="192">
      <c r="A192" t="s">
        <v>57</v>
      </c>
      <c r="B192" t="s">
        <v>97</v>
      </c>
      <c r="C192" t="s">
        <v>187</v>
      </c>
      <c r="D192">
        <v>66858</v>
      </c>
      <c r="E192">
        <v>9</v>
      </c>
    </row>
    <row r="193">
      <c r="A193" t="s">
        <v>24</v>
      </c>
      <c r="B193" t="s">
        <v>188</v>
      </c>
      <c r="C193" t="s">
        <v>187</v>
      </c>
      <c r="D193">
        <v>50052</v>
      </c>
      <c r="E193">
        <v>5</v>
      </c>
    </row>
    <row r="194">
      <c r="A194" t="s">
        <v>57</v>
      </c>
      <c r="B194" t="s">
        <v>189</v>
      </c>
      <c r="C194" t="s">
        <v>187</v>
      </c>
      <c r="D194">
        <v>60965</v>
      </c>
      <c r="E194">
        <v>7</v>
      </c>
    </row>
    <row r="195">
      <c r="A195" t="s">
        <v>11</v>
      </c>
      <c r="B195" t="s">
        <v>190</v>
      </c>
      <c r="C195" t="s">
        <v>191</v>
      </c>
      <c r="D195">
        <v>15304</v>
      </c>
      <c r="E195">
        <v>10</v>
      </c>
    </row>
    <row r="196">
      <c r="A196" t="s">
        <v>8</v>
      </c>
      <c r="B196" t="s">
        <v>192</v>
      </c>
      <c r="C196" t="s">
        <v>191</v>
      </c>
      <c r="D196">
        <v>33212</v>
      </c>
      <c r="E196">
        <v>9</v>
      </c>
    </row>
    <row r="197">
      <c r="A197" t="s">
        <v>28</v>
      </c>
      <c r="B197" t="s">
        <v>49</v>
      </c>
      <c r="C197" t="s">
        <v>191</v>
      </c>
      <c r="D197">
        <v>50443</v>
      </c>
      <c r="E197">
        <v>7</v>
      </c>
    </row>
    <row r="198">
      <c r="A198" t="s">
        <v>17</v>
      </c>
      <c r="B198" t="s">
        <v>192</v>
      </c>
      <c r="C198" t="s">
        <v>193</v>
      </c>
      <c r="D198">
        <v>51995</v>
      </c>
      <c r="E198">
        <v>6</v>
      </c>
    </row>
    <row r="199">
      <c r="A199" t="s">
        <v>15</v>
      </c>
      <c r="B199" t="s">
        <v>131</v>
      </c>
      <c r="C199" t="s">
        <v>194</v>
      </c>
      <c r="D199">
        <v>81987</v>
      </c>
      <c r="E199">
        <v>7</v>
      </c>
    </row>
    <row r="200">
      <c r="A200" t="s">
        <v>47</v>
      </c>
      <c r="B200" t="s">
        <v>170</v>
      </c>
      <c r="C200" t="s">
        <v>194</v>
      </c>
      <c r="D200">
        <v>16052</v>
      </c>
      <c r="E200">
        <v>2</v>
      </c>
    </row>
    <row r="201">
      <c r="A201" t="s">
        <v>43</v>
      </c>
      <c r="B201" t="s">
        <v>89</v>
      </c>
      <c r="C201" t="s">
        <v>194</v>
      </c>
      <c r="D201">
        <v>33236</v>
      </c>
      <c r="E201">
        <v>8</v>
      </c>
    </row>
    <row r="202">
      <c r="A202" t="s">
        <v>28</v>
      </c>
      <c r="B202" t="s">
        <v>161</v>
      </c>
      <c r="C202" t="s">
        <v>195</v>
      </c>
      <c r="D202">
        <v>32594</v>
      </c>
      <c r="E202">
        <v>8</v>
      </c>
    </row>
    <row r="203">
      <c r="A203" t="s">
        <v>8</v>
      </c>
      <c r="B203" t="s">
        <v>196</v>
      </c>
      <c r="C203" t="s">
        <v>195</v>
      </c>
      <c r="D203">
        <v>91413</v>
      </c>
      <c r="E203">
        <v>8</v>
      </c>
    </row>
    <row r="204">
      <c r="A204" t="s">
        <v>43</v>
      </c>
      <c r="B204" t="s">
        <v>129</v>
      </c>
      <c r="C204" t="s">
        <v>195</v>
      </c>
      <c r="D204">
        <v>77296</v>
      </c>
      <c r="E204">
        <v>9</v>
      </c>
    </row>
    <row r="205">
      <c r="A205" t="s">
        <v>47</v>
      </c>
      <c r="B205" t="s">
        <v>6</v>
      </c>
      <c r="C205" t="s">
        <v>195</v>
      </c>
      <c r="D205">
        <v>96589</v>
      </c>
      <c r="E205">
        <v>9</v>
      </c>
    </row>
    <row r="206">
      <c r="A206" t="s">
        <v>5</v>
      </c>
      <c r="B206" t="s">
        <v>197</v>
      </c>
      <c r="C206" t="s">
        <v>195</v>
      </c>
      <c r="D206">
        <v>31773</v>
      </c>
      <c r="E206">
        <v>6</v>
      </c>
    </row>
    <row r="207">
      <c r="A207" t="s">
        <v>17</v>
      </c>
      <c r="B207" t="s">
        <v>99</v>
      </c>
      <c r="C207" t="s">
        <v>195</v>
      </c>
      <c r="D207">
        <v>79936</v>
      </c>
      <c r="E207">
        <v>9</v>
      </c>
    </row>
    <row r="208">
      <c r="A208" t="s">
        <v>17</v>
      </c>
      <c r="B208" t="s">
        <v>174</v>
      </c>
      <c r="C208" t="s">
        <v>195</v>
      </c>
      <c r="D208">
        <v>63743</v>
      </c>
      <c r="E208">
        <v>8</v>
      </c>
    </row>
    <row r="209">
      <c r="A209" t="s">
        <v>15</v>
      </c>
      <c r="B209" t="s">
        <v>75</v>
      </c>
      <c r="C209" t="s">
        <v>195</v>
      </c>
      <c r="D209">
        <v>58987</v>
      </c>
      <c r="E209">
        <v>8</v>
      </c>
    </row>
    <row r="210">
      <c r="A210" t="s">
        <v>21</v>
      </c>
      <c r="B210" t="s">
        <v>147</v>
      </c>
      <c r="C210" t="s">
        <v>195</v>
      </c>
      <c r="D210">
        <v>26607</v>
      </c>
      <c r="E210">
        <v>10</v>
      </c>
    </row>
    <row r="211">
      <c r="A211" t="s">
        <v>24</v>
      </c>
      <c r="B211" t="s">
        <v>198</v>
      </c>
      <c r="C211" t="s">
        <v>195</v>
      </c>
      <c r="D211">
        <v>72407</v>
      </c>
      <c r="E211">
        <v>9</v>
      </c>
    </row>
    <row r="212">
      <c r="A212" t="s">
        <v>43</v>
      </c>
      <c r="B212" t="s">
        <v>87</v>
      </c>
      <c r="C212" t="s">
        <v>199</v>
      </c>
      <c r="D212">
        <v>76225</v>
      </c>
      <c r="E212">
        <v>2</v>
      </c>
    </row>
    <row r="213">
      <c r="A213" t="s">
        <v>21</v>
      </c>
      <c r="B213" t="s">
        <v>12</v>
      </c>
      <c r="C213" t="s">
        <v>199</v>
      </c>
      <c r="D213">
        <v>79314</v>
      </c>
      <c r="E213">
        <v>6</v>
      </c>
    </row>
    <row r="214">
      <c r="A214" t="s">
        <v>21</v>
      </c>
      <c r="B214" t="s">
        <v>132</v>
      </c>
      <c r="C214" t="s">
        <v>199</v>
      </c>
      <c r="D214">
        <v>13054</v>
      </c>
      <c r="E214">
        <v>9</v>
      </c>
    </row>
    <row r="215">
      <c r="A215" t="s">
        <v>5</v>
      </c>
      <c r="B215" t="s">
        <v>144</v>
      </c>
      <c r="C215" t="s">
        <v>199</v>
      </c>
      <c r="D215">
        <v>38589</v>
      </c>
      <c r="E215">
        <v>8</v>
      </c>
    </row>
    <row r="216">
      <c r="A216" t="s">
        <v>57</v>
      </c>
      <c r="B216" t="s">
        <v>200</v>
      </c>
      <c r="C216" t="s">
        <v>199</v>
      </c>
      <c r="D216">
        <v>47397</v>
      </c>
      <c r="E216">
        <v>8</v>
      </c>
    </row>
    <row r="217">
      <c r="A217" t="s">
        <v>5</v>
      </c>
      <c r="B217" t="s">
        <v>190</v>
      </c>
      <c r="C217" t="s">
        <v>199</v>
      </c>
      <c r="D217">
        <v>79164</v>
      </c>
      <c r="E217">
        <v>8</v>
      </c>
    </row>
    <row r="218">
      <c r="A218" t="s">
        <v>21</v>
      </c>
      <c r="B218" t="s">
        <v>49</v>
      </c>
      <c r="C218" t="s">
        <v>199</v>
      </c>
      <c r="D218">
        <v>29229</v>
      </c>
      <c r="E218">
        <v>8</v>
      </c>
    </row>
    <row r="219">
      <c r="A219" t="s">
        <v>28</v>
      </c>
      <c r="B219" t="s">
        <v>37</v>
      </c>
      <c r="C219" t="s">
        <v>201</v>
      </c>
      <c r="D219">
        <v>46709</v>
      </c>
      <c r="E219">
        <v>6</v>
      </c>
    </row>
    <row r="220">
      <c r="A220" t="s">
        <v>43</v>
      </c>
      <c r="B220" t="s">
        <v>85</v>
      </c>
      <c r="C220" t="s">
        <v>202</v>
      </c>
      <c r="D220">
        <v>53832</v>
      </c>
      <c r="E220">
        <v>10</v>
      </c>
    </row>
    <row r="221">
      <c r="A221" t="s">
        <v>47</v>
      </c>
      <c r="B221" t="s">
        <v>161</v>
      </c>
      <c r="C221" t="s">
        <v>202</v>
      </c>
      <c r="D221">
        <v>63684</v>
      </c>
      <c r="E221">
        <v>9</v>
      </c>
    </row>
    <row r="222">
      <c r="A222" t="s">
        <v>17</v>
      </c>
      <c r="B222" t="s">
        <v>181</v>
      </c>
      <c r="C222" t="s">
        <v>202</v>
      </c>
      <c r="D222">
        <v>30170</v>
      </c>
      <c r="E222">
        <v>6</v>
      </c>
    </row>
    <row r="223">
      <c r="A223" t="s">
        <v>11</v>
      </c>
      <c r="B223" t="s">
        <v>61</v>
      </c>
      <c r="C223" t="s">
        <v>202</v>
      </c>
      <c r="D223">
        <v>98493</v>
      </c>
      <c r="E223">
        <v>7</v>
      </c>
    </row>
    <row r="224">
      <c r="A224" t="s">
        <v>21</v>
      </c>
      <c r="B224" t="s">
        <v>115</v>
      </c>
      <c r="C224" t="s">
        <v>203</v>
      </c>
      <c r="D224">
        <v>76999</v>
      </c>
      <c r="E224">
        <v>5</v>
      </c>
    </row>
    <row r="225">
      <c r="A225" t="s">
        <v>15</v>
      </c>
      <c r="B225" t="s">
        <v>172</v>
      </c>
      <c r="C225" t="s">
        <v>203</v>
      </c>
      <c r="D225">
        <v>56050</v>
      </c>
      <c r="E225">
        <v>4</v>
      </c>
    </row>
    <row r="226">
      <c r="A226" t="s">
        <v>43</v>
      </c>
      <c r="B226" t="s">
        <v>204</v>
      </c>
      <c r="C226" t="s">
        <v>203</v>
      </c>
      <c r="D226">
        <v>67681</v>
      </c>
      <c r="E226">
        <v>5</v>
      </c>
    </row>
    <row r="227">
      <c r="A227" t="s">
        <v>24</v>
      </c>
      <c r="B227" t="s">
        <v>108</v>
      </c>
      <c r="C227" t="s">
        <v>203</v>
      </c>
      <c r="D227">
        <v>80176</v>
      </c>
      <c r="E227">
        <v>7</v>
      </c>
    </row>
    <row r="228">
      <c r="A228" t="s">
        <v>8</v>
      </c>
      <c r="B228" t="s">
        <v>18</v>
      </c>
      <c r="C228" t="s">
        <v>205</v>
      </c>
      <c r="D228">
        <v>32463</v>
      </c>
      <c r="E228">
        <v>8</v>
      </c>
    </row>
    <row r="229">
      <c r="A229" t="s">
        <v>8</v>
      </c>
      <c r="B229" t="s">
        <v>121</v>
      </c>
      <c r="C229" t="s">
        <v>205</v>
      </c>
      <c r="D229">
        <v>18786</v>
      </c>
      <c r="E229">
        <v>8</v>
      </c>
    </row>
    <row r="230">
      <c r="A230" t="s">
        <v>5</v>
      </c>
      <c r="B230" t="s">
        <v>198</v>
      </c>
      <c r="C230" t="s">
        <v>205</v>
      </c>
      <c r="D230">
        <v>56660</v>
      </c>
      <c r="E230">
        <v>7</v>
      </c>
    </row>
    <row r="231">
      <c r="A231" t="s">
        <v>21</v>
      </c>
      <c r="B231" t="s">
        <v>38</v>
      </c>
      <c r="C231" t="s">
        <v>205</v>
      </c>
      <c r="D231">
        <v>66441</v>
      </c>
      <c r="E231">
        <v>3</v>
      </c>
    </row>
    <row r="232">
      <c r="A232" t="s">
        <v>43</v>
      </c>
      <c r="B232" t="s">
        <v>137</v>
      </c>
      <c r="C232" t="s">
        <v>205</v>
      </c>
      <c r="D232">
        <v>87614</v>
      </c>
      <c r="E232">
        <v>8</v>
      </c>
    </row>
    <row r="233">
      <c r="A233" t="s">
        <v>17</v>
      </c>
      <c r="B233" t="s">
        <v>20</v>
      </c>
      <c r="C233" t="s">
        <v>205</v>
      </c>
      <c r="D233">
        <v>58379</v>
      </c>
      <c r="E233">
        <v>8</v>
      </c>
    </row>
    <row r="234">
      <c r="A234" t="s">
        <v>8</v>
      </c>
      <c r="B234" t="s">
        <v>148</v>
      </c>
      <c r="C234" t="s">
        <v>205</v>
      </c>
      <c r="D234">
        <v>93940</v>
      </c>
      <c r="E234">
        <v>6</v>
      </c>
    </row>
    <row r="235">
      <c r="A235" t="s">
        <v>17</v>
      </c>
      <c r="B235" t="s">
        <v>206</v>
      </c>
      <c r="C235" t="s">
        <v>205</v>
      </c>
      <c r="D235">
        <v>81193</v>
      </c>
      <c r="E235">
        <v>5</v>
      </c>
    </row>
    <row r="236">
      <c r="A236" t="s">
        <v>11</v>
      </c>
      <c r="B236" t="s">
        <v>204</v>
      </c>
      <c r="C236" t="s">
        <v>205</v>
      </c>
      <c r="D236">
        <v>21109</v>
      </c>
      <c r="E236">
        <v>5</v>
      </c>
    </row>
    <row r="237">
      <c r="A237" t="s">
        <v>13</v>
      </c>
      <c r="B237" t="s">
        <v>175</v>
      </c>
      <c r="C237" t="s">
        <v>205</v>
      </c>
      <c r="D237">
        <v>42761</v>
      </c>
      <c r="E237">
        <v>7</v>
      </c>
    </row>
    <row r="238">
      <c r="A238" t="s">
        <v>28</v>
      </c>
      <c r="B238" t="s">
        <v>207</v>
      </c>
      <c r="C238" t="s">
        <v>205</v>
      </c>
      <c r="D238">
        <v>69145</v>
      </c>
      <c r="E238">
        <v>9</v>
      </c>
    </row>
    <row r="239">
      <c r="A239" t="s">
        <v>57</v>
      </c>
      <c r="B239" t="s">
        <v>196</v>
      </c>
      <c r="C239" t="s">
        <v>205</v>
      </c>
      <c r="D239">
        <v>63482</v>
      </c>
      <c r="E239">
        <v>7</v>
      </c>
    </row>
    <row r="240">
      <c r="A240" t="s">
        <v>24</v>
      </c>
      <c r="B240" t="s">
        <v>83</v>
      </c>
      <c r="C240" t="s">
        <v>205</v>
      </c>
      <c r="D240">
        <v>31302</v>
      </c>
      <c r="E240">
        <v>9</v>
      </c>
    </row>
    <row r="241">
      <c r="A241" t="s">
        <v>24</v>
      </c>
      <c r="B241" t="s">
        <v>128</v>
      </c>
      <c r="C241" t="s">
        <v>205</v>
      </c>
      <c r="D241">
        <v>67950</v>
      </c>
      <c r="E241">
        <v>9</v>
      </c>
    </row>
    <row r="242">
      <c r="A242" t="s">
        <v>13</v>
      </c>
      <c r="B242" t="s">
        <v>208</v>
      </c>
      <c r="C242" t="s">
        <v>205</v>
      </c>
      <c r="D242">
        <v>78229</v>
      </c>
      <c r="E242">
        <v>4</v>
      </c>
    </row>
    <row r="243">
      <c r="A243" t="s">
        <v>24</v>
      </c>
      <c r="B243" t="s">
        <v>209</v>
      </c>
      <c r="C243" t="s">
        <v>205</v>
      </c>
      <c r="D243">
        <v>91588</v>
      </c>
      <c r="E243">
        <v>2</v>
      </c>
    </row>
    <row r="244">
      <c r="A244" t="s">
        <v>28</v>
      </c>
      <c r="B244" t="s">
        <v>177</v>
      </c>
      <c r="C244" t="s">
        <v>210</v>
      </c>
      <c r="D244">
        <v>62620</v>
      </c>
      <c r="E244">
        <v>6</v>
      </c>
    </row>
    <row r="245">
      <c r="A245" t="s">
        <v>17</v>
      </c>
      <c r="B245" t="s">
        <v>211</v>
      </c>
      <c r="C245" t="s">
        <v>210</v>
      </c>
      <c r="D245">
        <v>72941</v>
      </c>
      <c r="E245">
        <v>6</v>
      </c>
    </row>
    <row r="246">
      <c r="A246" t="s">
        <v>43</v>
      </c>
      <c r="B246" t="s">
        <v>158</v>
      </c>
      <c r="C246" t="s">
        <v>210</v>
      </c>
      <c r="D246">
        <v>98108</v>
      </c>
      <c r="E246">
        <v>6</v>
      </c>
    </row>
    <row r="247">
      <c r="A247" t="s">
        <v>17</v>
      </c>
      <c r="B247" t="s">
        <v>212</v>
      </c>
      <c r="C247" t="s">
        <v>213</v>
      </c>
      <c r="D247">
        <v>89224</v>
      </c>
      <c r="E247">
        <v>6</v>
      </c>
    </row>
    <row r="248">
      <c r="A248" t="s">
        <v>15</v>
      </c>
      <c r="B248" t="s">
        <v>151</v>
      </c>
      <c r="C248" t="s">
        <v>213</v>
      </c>
      <c r="D248">
        <v>70930</v>
      </c>
      <c r="E248">
        <v>3</v>
      </c>
    </row>
    <row r="249">
      <c r="A249" t="s">
        <v>13</v>
      </c>
      <c r="B249" t="s">
        <v>211</v>
      </c>
      <c r="C249" t="s">
        <v>213</v>
      </c>
      <c r="D249">
        <v>39367</v>
      </c>
      <c r="E249">
        <v>6</v>
      </c>
    </row>
    <row r="250">
      <c r="A250" t="s">
        <v>21</v>
      </c>
      <c r="B250" t="s">
        <v>214</v>
      </c>
      <c r="C250" t="s">
        <v>213</v>
      </c>
      <c r="D250">
        <v>18046</v>
      </c>
      <c r="E250">
        <v>7</v>
      </c>
    </row>
    <row r="251">
      <c r="A251" t="s">
        <v>13</v>
      </c>
      <c r="B251" t="s">
        <v>215</v>
      </c>
      <c r="C251" t="s">
        <v>213</v>
      </c>
      <c r="D251">
        <v>91916</v>
      </c>
      <c r="E251">
        <v>7</v>
      </c>
    </row>
    <row r="252">
      <c r="A252" t="s">
        <v>57</v>
      </c>
      <c r="B252" t="s">
        <v>14</v>
      </c>
      <c r="C252" t="s">
        <v>213</v>
      </c>
      <c r="D252">
        <v>69884</v>
      </c>
      <c r="E252">
        <v>6</v>
      </c>
    </row>
    <row r="253">
      <c r="A253" t="s">
        <v>11</v>
      </c>
      <c r="B253" t="s">
        <v>184</v>
      </c>
      <c r="C253" t="s">
        <v>216</v>
      </c>
      <c r="D253">
        <v>58359</v>
      </c>
      <c r="E253">
        <v>3</v>
      </c>
    </row>
    <row r="254">
      <c r="A254" t="s">
        <v>43</v>
      </c>
      <c r="B254" t="s">
        <v>44</v>
      </c>
      <c r="C254" t="s">
        <v>216</v>
      </c>
      <c r="D254">
        <v>39436</v>
      </c>
      <c r="E254">
        <v>8</v>
      </c>
    </row>
    <row r="255">
      <c r="A255" t="s">
        <v>57</v>
      </c>
      <c r="B255" t="s">
        <v>217</v>
      </c>
      <c r="C255" t="s">
        <v>216</v>
      </c>
      <c r="D255">
        <v>60740</v>
      </c>
      <c r="E255">
        <v>1</v>
      </c>
    </row>
    <row r="256">
      <c r="A256" t="s">
        <v>17</v>
      </c>
      <c r="B256" t="s">
        <v>149</v>
      </c>
      <c r="C256" t="s">
        <v>216</v>
      </c>
      <c r="D256">
        <v>35901</v>
      </c>
      <c r="E256">
        <v>6</v>
      </c>
    </row>
    <row r="257">
      <c r="A257" t="s">
        <v>47</v>
      </c>
      <c r="B257" t="s">
        <v>218</v>
      </c>
      <c r="C257" t="s">
        <v>219</v>
      </c>
      <c r="D257">
        <v>49013</v>
      </c>
      <c r="E257">
        <v>4</v>
      </c>
    </row>
    <row r="258">
      <c r="A258" t="s">
        <v>17</v>
      </c>
      <c r="B258" t="s">
        <v>220</v>
      </c>
      <c r="C258" t="s">
        <v>221</v>
      </c>
      <c r="D258">
        <v>58326</v>
      </c>
      <c r="E258">
        <v>3</v>
      </c>
    </row>
    <row r="259">
      <c r="A259" t="s">
        <v>24</v>
      </c>
      <c r="B259" t="s">
        <v>26</v>
      </c>
      <c r="C259" t="s">
        <v>221</v>
      </c>
      <c r="D259">
        <v>68737</v>
      </c>
      <c r="E259">
        <v>10</v>
      </c>
    </row>
    <row r="260">
      <c r="A260" t="s">
        <v>47</v>
      </c>
      <c r="B260" t="s">
        <v>70</v>
      </c>
      <c r="C260" t="s">
        <v>221</v>
      </c>
      <c r="D260">
        <v>48515</v>
      </c>
      <c r="E260">
        <v>7</v>
      </c>
    </row>
    <row r="261">
      <c r="A261" t="s">
        <v>11</v>
      </c>
      <c r="B261" t="s">
        <v>69</v>
      </c>
      <c r="C261" t="s">
        <v>221</v>
      </c>
      <c r="D261">
        <v>21329</v>
      </c>
      <c r="E261">
        <v>7</v>
      </c>
    </row>
    <row r="262">
      <c r="A262" t="s">
        <v>57</v>
      </c>
      <c r="B262" t="s">
        <v>110</v>
      </c>
      <c r="C262" t="s">
        <v>221</v>
      </c>
      <c r="D262">
        <v>96414</v>
      </c>
      <c r="E262">
        <v>1</v>
      </c>
    </row>
    <row r="263">
      <c r="A263" t="s">
        <v>15</v>
      </c>
      <c r="B263" t="s">
        <v>222</v>
      </c>
      <c r="C263" t="s">
        <v>221</v>
      </c>
      <c r="D263">
        <v>12270</v>
      </c>
      <c r="E263">
        <v>2</v>
      </c>
    </row>
    <row r="264">
      <c r="A264" t="s">
        <v>24</v>
      </c>
      <c r="B264" t="s">
        <v>151</v>
      </c>
      <c r="C264" t="s">
        <v>221</v>
      </c>
      <c r="D264">
        <v>15358</v>
      </c>
      <c r="E264">
        <v>8</v>
      </c>
    </row>
    <row r="265">
      <c r="A265" t="s">
        <v>13</v>
      </c>
      <c r="B265" t="s">
        <v>223</v>
      </c>
      <c r="C265" t="s">
        <v>224</v>
      </c>
      <c r="D265">
        <v>11770</v>
      </c>
      <c r="E265">
        <v>3</v>
      </c>
    </row>
    <row r="266">
      <c r="A266" t="s">
        <v>5</v>
      </c>
      <c r="B266" t="s">
        <v>63</v>
      </c>
      <c r="C266" t="s">
        <v>224</v>
      </c>
      <c r="D266">
        <v>20243</v>
      </c>
      <c r="E266">
        <v>5</v>
      </c>
    </row>
    <row r="267">
      <c r="A267" t="s">
        <v>28</v>
      </c>
      <c r="B267" t="s">
        <v>16</v>
      </c>
      <c r="C267" t="s">
        <v>224</v>
      </c>
      <c r="D267">
        <v>21960</v>
      </c>
      <c r="E267">
        <v>2</v>
      </c>
    </row>
    <row r="268">
      <c r="A268" t="s">
        <v>15</v>
      </c>
      <c r="B268" t="s">
        <v>225</v>
      </c>
      <c r="C268" t="s">
        <v>226</v>
      </c>
      <c r="D268">
        <v>33900</v>
      </c>
      <c r="E268">
        <v>6</v>
      </c>
    </row>
    <row r="269">
      <c r="A269" t="s">
        <v>28</v>
      </c>
      <c r="B269" t="s">
        <v>227</v>
      </c>
      <c r="C269" t="s">
        <v>228</v>
      </c>
      <c r="D269">
        <v>35209</v>
      </c>
      <c r="E269">
        <v>4</v>
      </c>
    </row>
    <row r="270">
      <c r="A270" t="s">
        <v>15</v>
      </c>
      <c r="B270" t="s">
        <v>77</v>
      </c>
      <c r="C270" t="s">
        <v>229</v>
      </c>
      <c r="D270">
        <v>11387</v>
      </c>
      <c r="E270">
        <v>6</v>
      </c>
    </row>
    <row r="271">
      <c r="A271" t="s">
        <v>5</v>
      </c>
      <c r="B271" t="s">
        <v>168</v>
      </c>
      <c r="C271" t="s">
        <v>230</v>
      </c>
      <c r="D271">
        <v>90816</v>
      </c>
      <c r="E271">
        <v>10</v>
      </c>
    </row>
    <row r="272">
      <c r="A272" t="s">
        <v>8</v>
      </c>
      <c r="B272" t="s">
        <v>14</v>
      </c>
      <c r="C272" t="s">
        <v>230</v>
      </c>
      <c r="D272">
        <v>25228</v>
      </c>
      <c r="E272">
        <v>5</v>
      </c>
    </row>
    <row r="273">
      <c r="A273" t="s">
        <v>15</v>
      </c>
      <c r="B273" t="s">
        <v>231</v>
      </c>
      <c r="C273" t="s">
        <v>230</v>
      </c>
      <c r="D273">
        <v>44174</v>
      </c>
      <c r="E273">
        <v>8</v>
      </c>
    </row>
    <row r="274">
      <c r="A274" t="s">
        <v>21</v>
      </c>
      <c r="B274" t="s">
        <v>14</v>
      </c>
      <c r="C274" t="s">
        <v>230</v>
      </c>
      <c r="D274">
        <v>47705</v>
      </c>
      <c r="E274">
        <v>5</v>
      </c>
    </row>
    <row r="275">
      <c r="A275" t="s">
        <v>43</v>
      </c>
      <c r="B275" t="s">
        <v>108</v>
      </c>
      <c r="C275" t="s">
        <v>230</v>
      </c>
      <c r="D275">
        <v>95098</v>
      </c>
      <c r="E275">
        <v>5</v>
      </c>
    </row>
    <row r="276">
      <c r="A276" t="s">
        <v>47</v>
      </c>
      <c r="B276" t="s">
        <v>128</v>
      </c>
      <c r="C276" t="s">
        <v>230</v>
      </c>
      <c r="D276">
        <v>56204</v>
      </c>
      <c r="E276">
        <v>8</v>
      </c>
    </row>
    <row r="277">
      <c r="A277" t="s">
        <v>5</v>
      </c>
      <c r="B277" t="s">
        <v>49</v>
      </c>
      <c r="C277" t="s">
        <v>230</v>
      </c>
      <c r="D277">
        <v>33722</v>
      </c>
      <c r="E277">
        <v>2</v>
      </c>
    </row>
    <row r="278">
      <c r="A278" t="s">
        <v>15</v>
      </c>
      <c r="B278" t="s">
        <v>178</v>
      </c>
      <c r="C278" t="s">
        <v>232</v>
      </c>
      <c r="D278">
        <v>51570</v>
      </c>
      <c r="E278">
        <v>6</v>
      </c>
    </row>
    <row r="279">
      <c r="A279" t="s">
        <v>57</v>
      </c>
      <c r="B279" t="s">
        <v>71</v>
      </c>
      <c r="C279" t="s">
        <v>232</v>
      </c>
      <c r="D279">
        <v>65207</v>
      </c>
      <c r="E279">
        <v>9</v>
      </c>
    </row>
    <row r="280">
      <c r="A280" t="s">
        <v>47</v>
      </c>
      <c r="B280" t="s">
        <v>209</v>
      </c>
      <c r="C280" t="s">
        <v>232</v>
      </c>
      <c r="D280">
        <v>75387</v>
      </c>
      <c r="E280">
        <v>4</v>
      </c>
    </row>
    <row r="281">
      <c r="A281" t="s">
        <v>5</v>
      </c>
      <c r="B281" t="s">
        <v>217</v>
      </c>
      <c r="C281" t="s">
        <v>233</v>
      </c>
      <c r="D281">
        <v>58377</v>
      </c>
      <c r="E281">
        <v>4</v>
      </c>
    </row>
    <row r="282">
      <c r="A282" t="s">
        <v>24</v>
      </c>
      <c r="B282" t="s">
        <v>160</v>
      </c>
      <c r="C282" t="s">
        <v>233</v>
      </c>
      <c r="D282">
        <v>85241</v>
      </c>
      <c r="E282">
        <v>5</v>
      </c>
    </row>
    <row r="283">
      <c r="A283" t="s">
        <v>15</v>
      </c>
      <c r="B283" t="s">
        <v>117</v>
      </c>
      <c r="C283" t="s">
        <v>233</v>
      </c>
      <c r="D283">
        <v>85747</v>
      </c>
      <c r="E283">
        <v>6</v>
      </c>
    </row>
    <row r="284">
      <c r="A284" t="s">
        <v>8</v>
      </c>
      <c r="B284" t="s">
        <v>234</v>
      </c>
      <c r="C284" t="s">
        <v>235</v>
      </c>
      <c r="D284">
        <v>98885</v>
      </c>
      <c r="E284">
        <v>9</v>
      </c>
    </row>
    <row r="285">
      <c r="A285" t="s">
        <v>43</v>
      </c>
      <c r="B285" t="s">
        <v>89</v>
      </c>
      <c r="C285" t="s">
        <v>235</v>
      </c>
      <c r="D285">
        <v>62705</v>
      </c>
      <c r="E285">
        <v>6</v>
      </c>
    </row>
    <row r="286">
      <c r="A286" t="s">
        <v>8</v>
      </c>
      <c r="B286" t="s">
        <v>222</v>
      </c>
      <c r="C286" t="s">
        <v>236</v>
      </c>
      <c r="D286">
        <v>35591</v>
      </c>
      <c r="E286">
        <v>2</v>
      </c>
    </row>
    <row r="287">
      <c r="A287" t="s">
        <v>11</v>
      </c>
      <c r="B287" t="s">
        <v>197</v>
      </c>
      <c r="C287" t="s">
        <v>236</v>
      </c>
      <c r="D287">
        <v>78548</v>
      </c>
      <c r="E287">
        <v>6</v>
      </c>
    </row>
    <row r="288">
      <c r="A288" t="s">
        <v>8</v>
      </c>
      <c r="B288" t="s">
        <v>77</v>
      </c>
      <c r="C288" t="s">
        <v>236</v>
      </c>
      <c r="D288">
        <v>79454</v>
      </c>
      <c r="E288">
        <v>6</v>
      </c>
    </row>
    <row r="289">
      <c r="A289" t="s">
        <v>57</v>
      </c>
      <c r="B289" t="s">
        <v>237</v>
      </c>
      <c r="C289" t="s">
        <v>238</v>
      </c>
      <c r="D289">
        <v>61956</v>
      </c>
      <c r="E289">
        <v>9</v>
      </c>
    </row>
    <row r="290">
      <c r="A290" t="s">
        <v>47</v>
      </c>
      <c r="B290" t="s">
        <v>239</v>
      </c>
      <c r="C290" t="s">
        <v>238</v>
      </c>
      <c r="D290">
        <v>28357</v>
      </c>
      <c r="E290">
        <v>7</v>
      </c>
    </row>
    <row r="291">
      <c r="A291" t="s">
        <v>43</v>
      </c>
      <c r="B291" t="s">
        <v>211</v>
      </c>
      <c r="C291" t="s">
        <v>238</v>
      </c>
      <c r="D291">
        <v>88234</v>
      </c>
      <c r="E291">
        <v>1</v>
      </c>
    </row>
    <row r="292">
      <c r="A292" t="s">
        <v>13</v>
      </c>
      <c r="B292" t="s">
        <v>161</v>
      </c>
      <c r="C292" t="s">
        <v>238</v>
      </c>
      <c r="D292">
        <v>27625</v>
      </c>
      <c r="E292">
        <v>9</v>
      </c>
    </row>
    <row r="293">
      <c r="A293" t="s">
        <v>28</v>
      </c>
      <c r="B293" t="s">
        <v>49</v>
      </c>
      <c r="C293" t="s">
        <v>238</v>
      </c>
      <c r="D293">
        <v>67225</v>
      </c>
      <c r="E293">
        <v>7</v>
      </c>
    </row>
    <row r="294">
      <c r="A294" t="s">
        <v>17</v>
      </c>
      <c r="B294" t="s">
        <v>99</v>
      </c>
      <c r="C294" t="s">
        <v>238</v>
      </c>
      <c r="D294">
        <v>18420</v>
      </c>
      <c r="E294">
        <v>7</v>
      </c>
    </row>
    <row r="295">
      <c r="A295" t="s">
        <v>28</v>
      </c>
      <c r="B295" t="s">
        <v>240</v>
      </c>
      <c r="C295" t="s">
        <v>238</v>
      </c>
      <c r="D295">
        <v>58687</v>
      </c>
      <c r="E295">
        <v>7</v>
      </c>
    </row>
    <row r="296">
      <c r="A296" t="s">
        <v>43</v>
      </c>
      <c r="B296" t="s">
        <v>20</v>
      </c>
      <c r="C296" t="s">
        <v>238</v>
      </c>
      <c r="D296">
        <v>59288</v>
      </c>
      <c r="E296">
        <v>7</v>
      </c>
    </row>
    <row r="297">
      <c r="A297" t="s">
        <v>5</v>
      </c>
      <c r="B297" t="s">
        <v>9</v>
      </c>
      <c r="C297" t="s">
        <v>238</v>
      </c>
      <c r="D297">
        <v>74906</v>
      </c>
      <c r="E297">
        <v>3</v>
      </c>
    </row>
    <row r="298">
      <c r="A298" t="s">
        <v>21</v>
      </c>
      <c r="B298" t="s">
        <v>44</v>
      </c>
      <c r="C298" t="s">
        <v>238</v>
      </c>
      <c r="D298">
        <v>53252</v>
      </c>
      <c r="E298">
        <v>7</v>
      </c>
    </row>
    <row r="299">
      <c r="A299" t="s">
        <v>13</v>
      </c>
      <c r="B299" t="s">
        <v>44</v>
      </c>
      <c r="C299" t="s">
        <v>238</v>
      </c>
      <c r="D299">
        <v>53120</v>
      </c>
      <c r="E299">
        <v>6</v>
      </c>
    </row>
    <row r="300">
      <c r="A300" t="s">
        <v>15</v>
      </c>
      <c r="B300" t="s">
        <v>241</v>
      </c>
      <c r="C300" t="s">
        <v>238</v>
      </c>
      <c r="D300">
        <v>61787</v>
      </c>
      <c r="E300">
        <v>7</v>
      </c>
    </row>
    <row r="301">
      <c r="A301" t="s">
        <v>15</v>
      </c>
      <c r="B301" t="s">
        <v>38</v>
      </c>
      <c r="C301" t="s">
        <v>242</v>
      </c>
      <c r="D301">
        <v>53462</v>
      </c>
      <c r="E301">
        <v>3</v>
      </c>
    </row>
    <row r="302">
      <c r="A302" t="s">
        <v>11</v>
      </c>
      <c r="B302" t="s">
        <v>48</v>
      </c>
      <c r="C302" t="s">
        <v>242</v>
      </c>
      <c r="D302">
        <v>15385</v>
      </c>
      <c r="E302">
        <v>6</v>
      </c>
    </row>
    <row r="303">
      <c r="A303" t="s">
        <v>11</v>
      </c>
      <c r="B303" t="s">
        <v>243</v>
      </c>
      <c r="C303" t="s">
        <v>244</v>
      </c>
      <c r="D303">
        <v>75650</v>
      </c>
      <c r="E303">
        <v>8</v>
      </c>
    </row>
    <row r="304">
      <c r="A304" t="s">
        <v>57</v>
      </c>
      <c r="B304" t="s">
        <v>42</v>
      </c>
      <c r="C304" t="s">
        <v>244</v>
      </c>
      <c r="D304">
        <v>71081</v>
      </c>
      <c r="E304">
        <v>5</v>
      </c>
    </row>
    <row r="305">
      <c r="A305" t="s">
        <v>15</v>
      </c>
      <c r="B305" t="s">
        <v>69</v>
      </c>
      <c r="C305" t="s">
        <v>245</v>
      </c>
      <c r="D305">
        <v>76084</v>
      </c>
      <c r="E305">
        <v>2</v>
      </c>
    </row>
    <row r="306">
      <c r="A306" t="s">
        <v>15</v>
      </c>
      <c r="B306" t="s">
        <v>60</v>
      </c>
      <c r="C306" t="s">
        <v>245</v>
      </c>
      <c r="D306">
        <v>24325</v>
      </c>
      <c r="E306">
        <v>6</v>
      </c>
    </row>
    <row r="307">
      <c r="A307" t="s">
        <v>47</v>
      </c>
      <c r="B307" t="s">
        <v>215</v>
      </c>
      <c r="C307" t="s">
        <v>245</v>
      </c>
      <c r="D307">
        <v>21122</v>
      </c>
      <c r="E307">
        <v>7</v>
      </c>
    </row>
    <row r="308">
      <c r="A308" t="s">
        <v>15</v>
      </c>
      <c r="B308" t="s">
        <v>246</v>
      </c>
      <c r="C308" t="s">
        <v>245</v>
      </c>
      <c r="D308">
        <v>66674</v>
      </c>
      <c r="E308">
        <v>4</v>
      </c>
    </row>
    <row r="309">
      <c r="A309" t="s">
        <v>11</v>
      </c>
      <c r="B309" t="s">
        <v>217</v>
      </c>
      <c r="C309" t="s">
        <v>245</v>
      </c>
      <c r="D309">
        <v>45060</v>
      </c>
      <c r="E309">
        <v>3</v>
      </c>
    </row>
    <row r="310">
      <c r="A310" t="s">
        <v>15</v>
      </c>
      <c r="B310" t="s">
        <v>67</v>
      </c>
      <c r="C310" t="s">
        <v>247</v>
      </c>
      <c r="D310">
        <v>91050</v>
      </c>
      <c r="E310">
        <v>5</v>
      </c>
    </row>
    <row r="311">
      <c r="A311" t="s">
        <v>47</v>
      </c>
      <c r="B311" t="s">
        <v>100</v>
      </c>
      <c r="C311" t="s">
        <v>247</v>
      </c>
      <c r="D311">
        <v>91848</v>
      </c>
      <c r="E311">
        <v>7</v>
      </c>
    </row>
    <row r="312">
      <c r="A312" t="s">
        <v>28</v>
      </c>
      <c r="B312" t="s">
        <v>248</v>
      </c>
      <c r="C312" t="s">
        <v>247</v>
      </c>
      <c r="D312">
        <v>44528</v>
      </c>
      <c r="E312">
        <v>6</v>
      </c>
    </row>
    <row r="313">
      <c r="A313" t="s">
        <v>17</v>
      </c>
      <c r="B313" t="s">
        <v>103</v>
      </c>
      <c r="C313" t="s">
        <v>249</v>
      </c>
      <c r="D313">
        <v>35025</v>
      </c>
      <c r="E313">
        <v>7</v>
      </c>
    </row>
    <row r="314">
      <c r="A314" t="s">
        <v>8</v>
      </c>
      <c r="B314" t="s">
        <v>250</v>
      </c>
      <c r="C314" t="s">
        <v>249</v>
      </c>
      <c r="D314">
        <v>63858</v>
      </c>
      <c r="E314">
        <v>7</v>
      </c>
    </row>
    <row r="315">
      <c r="A315" t="s">
        <v>43</v>
      </c>
      <c r="B315" t="s">
        <v>35</v>
      </c>
      <c r="C315" t="s">
        <v>249</v>
      </c>
      <c r="D315">
        <v>10401</v>
      </c>
      <c r="E315">
        <v>5</v>
      </c>
    </row>
    <row r="316">
      <c r="A316" t="s">
        <v>11</v>
      </c>
      <c r="B316" t="s">
        <v>119</v>
      </c>
      <c r="C316" t="s">
        <v>249</v>
      </c>
      <c r="D316">
        <v>16984</v>
      </c>
      <c r="E316">
        <v>7</v>
      </c>
    </row>
    <row r="317">
      <c r="A317" t="s">
        <v>43</v>
      </c>
      <c r="B317" t="s">
        <v>222</v>
      </c>
      <c r="C317" t="s">
        <v>249</v>
      </c>
      <c r="D317">
        <v>88198</v>
      </c>
      <c r="E317">
        <v>6</v>
      </c>
    </row>
    <row r="318">
      <c r="A318" t="s">
        <v>47</v>
      </c>
      <c r="B318" t="s">
        <v>79</v>
      </c>
      <c r="C318" t="s">
        <v>249</v>
      </c>
      <c r="D318">
        <v>26904</v>
      </c>
      <c r="E318">
        <v>9</v>
      </c>
    </row>
    <row r="319">
      <c r="A319" t="s">
        <v>17</v>
      </c>
      <c r="B319" t="s">
        <v>108</v>
      </c>
      <c r="C319" t="s">
        <v>251</v>
      </c>
      <c r="D319">
        <v>94378</v>
      </c>
      <c r="E319">
        <v>2</v>
      </c>
    </row>
    <row r="320">
      <c r="A320" t="s">
        <v>21</v>
      </c>
      <c r="B320" t="s">
        <v>113</v>
      </c>
      <c r="C320" t="s">
        <v>251</v>
      </c>
      <c r="D320">
        <v>50929</v>
      </c>
      <c r="E320">
        <v>6</v>
      </c>
    </row>
    <row r="321">
      <c r="A321" t="s">
        <v>13</v>
      </c>
      <c r="B321" t="s">
        <v>252</v>
      </c>
      <c r="C321" t="s">
        <v>253</v>
      </c>
      <c r="D321">
        <v>34405</v>
      </c>
      <c r="E321">
        <v>8</v>
      </c>
    </row>
    <row r="322">
      <c r="A322" t="s">
        <v>57</v>
      </c>
      <c r="B322" t="s">
        <v>254</v>
      </c>
      <c r="C322" t="s">
        <v>253</v>
      </c>
      <c r="D322">
        <v>50835</v>
      </c>
      <c r="E322">
        <v>8</v>
      </c>
    </row>
    <row r="323">
      <c r="A323" t="s">
        <v>13</v>
      </c>
      <c r="B323" t="s">
        <v>106</v>
      </c>
      <c r="C323" t="s">
        <v>253</v>
      </c>
      <c r="D323">
        <v>82426</v>
      </c>
      <c r="E323">
        <v>7</v>
      </c>
    </row>
    <row r="324">
      <c r="A324" t="s">
        <v>11</v>
      </c>
      <c r="B324" t="s">
        <v>255</v>
      </c>
      <c r="C324" t="s">
        <v>253</v>
      </c>
      <c r="D324">
        <v>63365</v>
      </c>
      <c r="E324">
        <v>0</v>
      </c>
    </row>
    <row r="325">
      <c r="A325" t="s">
        <v>43</v>
      </c>
      <c r="B325" t="s">
        <v>160</v>
      </c>
      <c r="C325" t="s">
        <v>253</v>
      </c>
      <c r="D325">
        <v>39197</v>
      </c>
      <c r="E325">
        <v>10</v>
      </c>
    </row>
    <row r="326">
      <c r="A326" t="s">
        <v>5</v>
      </c>
      <c r="B326" t="s">
        <v>256</v>
      </c>
      <c r="C326" t="s">
        <v>253</v>
      </c>
      <c r="D326">
        <v>24438</v>
      </c>
      <c r="E326">
        <v>1</v>
      </c>
    </row>
    <row r="327">
      <c r="A327" t="s">
        <v>8</v>
      </c>
      <c r="B327" t="s">
        <v>257</v>
      </c>
      <c r="C327" t="s">
        <v>253</v>
      </c>
      <c r="D327">
        <v>49753</v>
      </c>
      <c r="E327">
        <v>7</v>
      </c>
    </row>
    <row r="328">
      <c r="A328" t="s">
        <v>43</v>
      </c>
      <c r="B328" t="s">
        <v>258</v>
      </c>
      <c r="C328" t="s">
        <v>259</v>
      </c>
      <c r="D328">
        <v>34098</v>
      </c>
      <c r="E328">
        <v>7</v>
      </c>
    </row>
    <row r="329">
      <c r="A329" t="s">
        <v>8</v>
      </c>
      <c r="B329" t="s">
        <v>218</v>
      </c>
      <c r="C329" t="s">
        <v>260</v>
      </c>
      <c r="D329">
        <v>69102</v>
      </c>
      <c r="E329">
        <v>4</v>
      </c>
    </row>
    <row r="330">
      <c r="A330" t="s">
        <v>17</v>
      </c>
      <c r="B330" t="s">
        <v>170</v>
      </c>
      <c r="C330" t="s">
        <v>260</v>
      </c>
      <c r="D330">
        <v>57181</v>
      </c>
      <c r="E330">
        <v>9</v>
      </c>
    </row>
    <row r="331">
      <c r="A331" t="s">
        <v>24</v>
      </c>
      <c r="B331" t="s">
        <v>14</v>
      </c>
      <c r="C331" t="s">
        <v>260</v>
      </c>
      <c r="D331">
        <v>15869</v>
      </c>
      <c r="E331">
        <v>7</v>
      </c>
    </row>
    <row r="332">
      <c r="A332" t="s">
        <v>17</v>
      </c>
      <c r="B332" t="s">
        <v>31</v>
      </c>
      <c r="C332" t="s">
        <v>261</v>
      </c>
      <c r="D332">
        <v>86322</v>
      </c>
      <c r="E332">
        <v>9</v>
      </c>
    </row>
    <row r="333">
      <c r="A333" t="s">
        <v>5</v>
      </c>
      <c r="B333" t="s">
        <v>198</v>
      </c>
      <c r="C333" t="s">
        <v>261</v>
      </c>
      <c r="D333">
        <v>65531</v>
      </c>
      <c r="E333">
        <v>6</v>
      </c>
    </row>
    <row r="334">
      <c r="A334" t="s">
        <v>13</v>
      </c>
      <c r="B334" t="s">
        <v>103</v>
      </c>
      <c r="C334" t="s">
        <v>261</v>
      </c>
      <c r="D334">
        <v>20602</v>
      </c>
      <c r="E334">
        <v>6</v>
      </c>
    </row>
    <row r="335">
      <c r="A335" t="s">
        <v>5</v>
      </c>
      <c r="B335" t="s">
        <v>252</v>
      </c>
      <c r="C335" t="s">
        <v>261</v>
      </c>
      <c r="D335">
        <v>56704</v>
      </c>
      <c r="E335">
        <v>2</v>
      </c>
    </row>
    <row r="336">
      <c r="A336" t="s">
        <v>21</v>
      </c>
      <c r="B336" t="s">
        <v>181</v>
      </c>
      <c r="C336" t="s">
        <v>261</v>
      </c>
      <c r="D336">
        <v>55441</v>
      </c>
      <c r="E336">
        <v>3</v>
      </c>
    </row>
    <row r="337">
      <c r="A337" t="s">
        <v>57</v>
      </c>
      <c r="B337" t="s">
        <v>138</v>
      </c>
      <c r="C337" t="s">
        <v>261</v>
      </c>
      <c r="D337">
        <v>58554</v>
      </c>
      <c r="E337">
        <v>7</v>
      </c>
    </row>
    <row r="338">
      <c r="A338" t="s">
        <v>13</v>
      </c>
      <c r="B338" t="s">
        <v>99</v>
      </c>
      <c r="C338" t="s">
        <v>261</v>
      </c>
      <c r="D338">
        <v>13034</v>
      </c>
      <c r="E338">
        <v>10</v>
      </c>
    </row>
    <row r="339">
      <c r="A339" t="s">
        <v>24</v>
      </c>
      <c r="B339" t="s">
        <v>211</v>
      </c>
      <c r="C339" t="s">
        <v>261</v>
      </c>
      <c r="D339">
        <v>41433</v>
      </c>
      <c r="E339">
        <v>9</v>
      </c>
    </row>
    <row r="340">
      <c r="A340" t="s">
        <v>8</v>
      </c>
      <c r="B340" t="s">
        <v>240</v>
      </c>
      <c r="C340" t="s">
        <v>262</v>
      </c>
      <c r="D340">
        <v>97490</v>
      </c>
      <c r="E340">
        <v>9</v>
      </c>
    </row>
    <row r="341">
      <c r="A341" t="s">
        <v>17</v>
      </c>
      <c r="B341" t="s">
        <v>103</v>
      </c>
      <c r="C341" t="s">
        <v>262</v>
      </c>
      <c r="D341">
        <v>11874</v>
      </c>
      <c r="E341">
        <v>8</v>
      </c>
    </row>
    <row r="342">
      <c r="A342" t="s">
        <v>5</v>
      </c>
      <c r="B342" t="s">
        <v>263</v>
      </c>
      <c r="C342" t="s">
        <v>262</v>
      </c>
      <c r="D342">
        <v>33361</v>
      </c>
      <c r="E342">
        <v>4</v>
      </c>
    </row>
    <row r="343">
      <c r="A343" t="s">
        <v>13</v>
      </c>
      <c r="B343" t="s">
        <v>111</v>
      </c>
      <c r="C343" t="s">
        <v>262</v>
      </c>
      <c r="D343">
        <v>61653</v>
      </c>
      <c r="E343">
        <v>5</v>
      </c>
    </row>
    <row r="344">
      <c r="A344" t="s">
        <v>21</v>
      </c>
      <c r="B344" t="s">
        <v>44</v>
      </c>
      <c r="C344" t="s">
        <v>262</v>
      </c>
      <c r="D344">
        <v>18078</v>
      </c>
      <c r="E344">
        <v>9</v>
      </c>
    </row>
    <row r="345">
      <c r="A345" t="s">
        <v>11</v>
      </c>
      <c r="B345" t="s">
        <v>217</v>
      </c>
      <c r="C345" t="s">
        <v>262</v>
      </c>
      <c r="D345">
        <v>47408</v>
      </c>
      <c r="E345">
        <v>6</v>
      </c>
    </row>
    <row r="346">
      <c r="A346" t="s">
        <v>8</v>
      </c>
      <c r="B346" t="s">
        <v>192</v>
      </c>
      <c r="C346" t="s">
        <v>264</v>
      </c>
      <c r="D346">
        <v>88443</v>
      </c>
      <c r="E346">
        <v>2</v>
      </c>
    </row>
    <row r="347">
      <c r="A347" t="s">
        <v>11</v>
      </c>
      <c r="B347" t="s">
        <v>265</v>
      </c>
      <c r="C347" t="s">
        <v>264</v>
      </c>
      <c r="D347">
        <v>38474</v>
      </c>
      <c r="E347">
        <v>4</v>
      </c>
    </row>
    <row r="348">
      <c r="A348" t="s">
        <v>43</v>
      </c>
      <c r="B348" t="s">
        <v>196</v>
      </c>
      <c r="C348" t="s">
        <v>264</v>
      </c>
      <c r="D348">
        <v>93774</v>
      </c>
      <c r="E348">
        <v>8</v>
      </c>
    </row>
    <row r="349">
      <c r="A349" t="s">
        <v>13</v>
      </c>
      <c r="B349" t="s">
        <v>212</v>
      </c>
      <c r="C349" t="s">
        <v>266</v>
      </c>
      <c r="D349">
        <v>26139</v>
      </c>
      <c r="E349">
        <v>9</v>
      </c>
    </row>
    <row r="350">
      <c r="A350" t="s">
        <v>13</v>
      </c>
      <c r="B350" t="s">
        <v>70</v>
      </c>
      <c r="C350" t="s">
        <v>266</v>
      </c>
      <c r="D350">
        <v>82079</v>
      </c>
      <c r="E350">
        <v>4</v>
      </c>
    </row>
    <row r="351">
      <c r="A351" t="s">
        <v>17</v>
      </c>
      <c r="B351" t="s">
        <v>267</v>
      </c>
      <c r="C351" t="s">
        <v>266</v>
      </c>
      <c r="D351">
        <v>22567</v>
      </c>
      <c r="E351">
        <v>5</v>
      </c>
    </row>
    <row r="352">
      <c r="A352" t="s">
        <v>43</v>
      </c>
      <c r="B352" t="s">
        <v>98</v>
      </c>
      <c r="C352" t="s">
        <v>268</v>
      </c>
      <c r="D352">
        <v>25566</v>
      </c>
      <c r="E352">
        <v>10</v>
      </c>
    </row>
    <row r="353">
      <c r="A353" t="s">
        <v>8</v>
      </c>
      <c r="B353" t="s">
        <v>254</v>
      </c>
      <c r="C353" t="s">
        <v>269</v>
      </c>
      <c r="D353">
        <v>59657</v>
      </c>
      <c r="E353">
        <v>5</v>
      </c>
    </row>
    <row r="354">
      <c r="A354" t="s">
        <v>47</v>
      </c>
      <c r="B354" t="s">
        <v>83</v>
      </c>
      <c r="C354" t="s">
        <v>269</v>
      </c>
      <c r="D354">
        <v>96270</v>
      </c>
      <c r="E354">
        <v>9</v>
      </c>
    </row>
    <row r="355">
      <c r="A355" t="s">
        <v>24</v>
      </c>
      <c r="B355" t="s">
        <v>248</v>
      </c>
      <c r="C355" t="s">
        <v>269</v>
      </c>
      <c r="D355">
        <v>66024</v>
      </c>
      <c r="E355">
        <v>7</v>
      </c>
    </row>
    <row r="356">
      <c r="A356" t="s">
        <v>47</v>
      </c>
      <c r="B356" t="s">
        <v>239</v>
      </c>
      <c r="C356" t="s">
        <v>269</v>
      </c>
      <c r="D356">
        <v>89184</v>
      </c>
      <c r="E356">
        <v>8</v>
      </c>
    </row>
    <row r="357">
      <c r="A357" t="s">
        <v>17</v>
      </c>
      <c r="B357" t="s">
        <v>58</v>
      </c>
      <c r="C357" t="s">
        <v>269</v>
      </c>
      <c r="D357">
        <v>60118</v>
      </c>
      <c r="E357">
        <v>8</v>
      </c>
    </row>
    <row r="358">
      <c r="A358" t="s">
        <v>43</v>
      </c>
      <c r="B358" t="s">
        <v>174</v>
      </c>
      <c r="C358" t="s">
        <v>269</v>
      </c>
      <c r="D358">
        <v>77082</v>
      </c>
      <c r="E358">
        <v>4</v>
      </c>
    </row>
    <row r="359">
      <c r="A359" t="s">
        <v>15</v>
      </c>
      <c r="B359" t="s">
        <v>92</v>
      </c>
      <c r="C359" t="s">
        <v>269</v>
      </c>
      <c r="D359">
        <v>20710</v>
      </c>
      <c r="E359">
        <v>8</v>
      </c>
    </row>
    <row r="360">
      <c r="A360" t="s">
        <v>47</v>
      </c>
      <c r="B360" t="s">
        <v>108</v>
      </c>
      <c r="C360" t="s">
        <v>269</v>
      </c>
      <c r="D360">
        <v>89596</v>
      </c>
      <c r="E360">
        <v>9</v>
      </c>
    </row>
    <row r="361">
      <c r="A361" t="s">
        <v>17</v>
      </c>
      <c r="B361" t="s">
        <v>270</v>
      </c>
      <c r="C361" t="s">
        <v>271</v>
      </c>
      <c r="D361">
        <v>41743</v>
      </c>
      <c r="E361">
        <v>8</v>
      </c>
    </row>
    <row r="362">
      <c r="A362" t="s">
        <v>28</v>
      </c>
      <c r="B362" t="s">
        <v>272</v>
      </c>
      <c r="C362" t="s">
        <v>271</v>
      </c>
      <c r="D362">
        <v>49779</v>
      </c>
      <c r="E362">
        <v>7</v>
      </c>
    </row>
    <row r="363">
      <c r="A363" t="s">
        <v>47</v>
      </c>
      <c r="B363" t="s">
        <v>45</v>
      </c>
      <c r="C363" t="s">
        <v>271</v>
      </c>
      <c r="D363">
        <v>69827</v>
      </c>
      <c r="E363">
        <v>6</v>
      </c>
    </row>
    <row r="364">
      <c r="A364" t="s">
        <v>57</v>
      </c>
      <c r="B364" t="s">
        <v>273</v>
      </c>
      <c r="C364" t="s">
        <v>274</v>
      </c>
      <c r="D364">
        <v>66556</v>
      </c>
      <c r="E364">
        <v>9</v>
      </c>
    </row>
    <row r="365">
      <c r="A365" t="s">
        <v>8</v>
      </c>
      <c r="B365" t="s">
        <v>185</v>
      </c>
      <c r="C365" t="s">
        <v>275</v>
      </c>
      <c r="D365">
        <v>75564</v>
      </c>
      <c r="E365">
        <v>10</v>
      </c>
    </row>
    <row r="366">
      <c r="A366" t="s">
        <v>8</v>
      </c>
      <c r="B366" t="s">
        <v>102</v>
      </c>
      <c r="C366" t="s">
        <v>275</v>
      </c>
      <c r="D366">
        <v>76077</v>
      </c>
      <c r="E366">
        <v>10</v>
      </c>
    </row>
    <row r="367">
      <c r="A367" t="s">
        <v>43</v>
      </c>
      <c r="B367" t="s">
        <v>276</v>
      </c>
      <c r="C367" t="s">
        <v>277</v>
      </c>
      <c r="D367">
        <v>89745</v>
      </c>
      <c r="E367">
        <v>4</v>
      </c>
    </row>
    <row r="368">
      <c r="A368" t="s">
        <v>11</v>
      </c>
      <c r="B368" t="s">
        <v>158</v>
      </c>
      <c r="C368" t="s">
        <v>277</v>
      </c>
      <c r="D368">
        <v>93004</v>
      </c>
      <c r="E368">
        <v>9</v>
      </c>
    </row>
    <row r="369">
      <c r="A369" t="s">
        <v>15</v>
      </c>
      <c r="B369" t="s">
        <v>16</v>
      </c>
      <c r="C369" t="s">
        <v>277</v>
      </c>
      <c r="D369">
        <v>73539</v>
      </c>
      <c r="E369">
        <v>6</v>
      </c>
    </row>
    <row r="370">
      <c r="A370" t="s">
        <v>8</v>
      </c>
      <c r="B370" t="s">
        <v>278</v>
      </c>
      <c r="C370" t="s">
        <v>277</v>
      </c>
      <c r="D370">
        <v>10722</v>
      </c>
      <c r="E370">
        <v>5</v>
      </c>
    </row>
    <row r="371">
      <c r="A371" t="s">
        <v>15</v>
      </c>
      <c r="B371" t="s">
        <v>142</v>
      </c>
      <c r="C371" t="s">
        <v>279</v>
      </c>
      <c r="D371">
        <v>66672</v>
      </c>
      <c r="E371">
        <v>4</v>
      </c>
    </row>
    <row r="372">
      <c r="A372" t="s">
        <v>24</v>
      </c>
      <c r="B372" t="s">
        <v>123</v>
      </c>
      <c r="C372" t="s">
        <v>279</v>
      </c>
      <c r="D372">
        <v>20541</v>
      </c>
      <c r="E372">
        <v>5</v>
      </c>
    </row>
    <row r="373">
      <c r="A373" t="s">
        <v>47</v>
      </c>
      <c r="B373" t="s">
        <v>280</v>
      </c>
      <c r="C373" t="s">
        <v>279</v>
      </c>
      <c r="D373">
        <v>65622</v>
      </c>
      <c r="E373">
        <v>9</v>
      </c>
    </row>
    <row r="374">
      <c r="A374" t="s">
        <v>17</v>
      </c>
      <c r="B374" t="s">
        <v>119</v>
      </c>
      <c r="C374" t="s">
        <v>279</v>
      </c>
      <c r="D374">
        <v>38621</v>
      </c>
      <c r="E374">
        <v>4</v>
      </c>
    </row>
    <row r="375">
      <c r="A375" t="s">
        <v>43</v>
      </c>
      <c r="B375" t="s">
        <v>119</v>
      </c>
      <c r="C375" t="s">
        <v>279</v>
      </c>
      <c r="D375">
        <v>11433</v>
      </c>
      <c r="E375">
        <v>5</v>
      </c>
    </row>
    <row r="376">
      <c r="A376" t="s">
        <v>57</v>
      </c>
      <c r="B376" t="s">
        <v>142</v>
      </c>
      <c r="C376" t="s">
        <v>279</v>
      </c>
      <c r="D376">
        <v>35025</v>
      </c>
      <c r="E376">
        <v>9</v>
      </c>
    </row>
    <row r="377">
      <c r="A377" t="s">
        <v>8</v>
      </c>
      <c r="B377" t="s">
        <v>83</v>
      </c>
      <c r="C377" t="s">
        <v>279</v>
      </c>
      <c r="D377">
        <v>97111</v>
      </c>
      <c r="E377">
        <v>2</v>
      </c>
    </row>
    <row r="378">
      <c r="A378" t="s">
        <v>15</v>
      </c>
      <c r="B378" t="s">
        <v>137</v>
      </c>
      <c r="C378" t="s">
        <v>279</v>
      </c>
      <c r="D378">
        <v>78874</v>
      </c>
      <c r="E378">
        <v>5</v>
      </c>
    </row>
    <row r="379">
      <c r="A379" t="s">
        <v>57</v>
      </c>
      <c r="B379" t="s">
        <v>102</v>
      </c>
      <c r="C379" t="s">
        <v>281</v>
      </c>
      <c r="D379">
        <v>60481</v>
      </c>
      <c r="E379">
        <v>7</v>
      </c>
    </row>
    <row r="380">
      <c r="A380" t="s">
        <v>11</v>
      </c>
      <c r="B380" t="s">
        <v>77</v>
      </c>
      <c r="C380" t="s">
        <v>281</v>
      </c>
      <c r="D380">
        <v>63026</v>
      </c>
      <c r="E380">
        <v>7</v>
      </c>
    </row>
    <row r="381">
      <c r="A381" t="s">
        <v>28</v>
      </c>
      <c r="B381" t="s">
        <v>87</v>
      </c>
      <c r="C381" t="s">
        <v>282</v>
      </c>
      <c r="D381">
        <v>50497</v>
      </c>
      <c r="E381">
        <v>7</v>
      </c>
    </row>
    <row r="382">
      <c r="A382" t="s">
        <v>57</v>
      </c>
      <c r="B382" t="s">
        <v>147</v>
      </c>
      <c r="C382" t="s">
        <v>282</v>
      </c>
      <c r="D382">
        <v>53806</v>
      </c>
      <c r="E382">
        <v>9</v>
      </c>
    </row>
    <row r="383">
      <c r="A383" t="s">
        <v>15</v>
      </c>
      <c r="B383" t="s">
        <v>184</v>
      </c>
      <c r="C383" t="s">
        <v>283</v>
      </c>
      <c r="D383">
        <v>31960</v>
      </c>
      <c r="E383">
        <v>8</v>
      </c>
    </row>
    <row r="384">
      <c r="A384" t="s">
        <v>8</v>
      </c>
      <c r="B384" t="s">
        <v>284</v>
      </c>
      <c r="C384" t="s">
        <v>283</v>
      </c>
      <c r="D384">
        <v>25632</v>
      </c>
      <c r="E384">
        <v>7</v>
      </c>
    </row>
    <row r="385">
      <c r="A385" t="s">
        <v>11</v>
      </c>
      <c r="B385" t="s">
        <v>212</v>
      </c>
      <c r="C385" t="s">
        <v>283</v>
      </c>
      <c r="D385">
        <v>84575</v>
      </c>
      <c r="E385">
        <v>3</v>
      </c>
    </row>
    <row r="386">
      <c r="A386" t="s">
        <v>47</v>
      </c>
      <c r="B386" t="s">
        <v>80</v>
      </c>
      <c r="C386" t="s">
        <v>283</v>
      </c>
      <c r="D386">
        <v>27755</v>
      </c>
      <c r="E386">
        <v>7</v>
      </c>
    </row>
    <row r="387">
      <c r="A387" t="s">
        <v>47</v>
      </c>
      <c r="B387" t="s">
        <v>111</v>
      </c>
      <c r="C387" t="s">
        <v>283</v>
      </c>
      <c r="D387">
        <v>77143</v>
      </c>
      <c r="E387">
        <v>7</v>
      </c>
    </row>
    <row r="388">
      <c r="A388" t="s">
        <v>8</v>
      </c>
      <c r="B388" t="s">
        <v>96</v>
      </c>
      <c r="C388" t="s">
        <v>283</v>
      </c>
      <c r="D388">
        <v>36180</v>
      </c>
      <c r="E388">
        <v>8</v>
      </c>
    </row>
    <row r="389">
      <c r="A389" t="s">
        <v>17</v>
      </c>
      <c r="B389" t="s">
        <v>192</v>
      </c>
      <c r="C389" t="s">
        <v>285</v>
      </c>
      <c r="D389">
        <v>46229</v>
      </c>
      <c r="E389">
        <v>2</v>
      </c>
    </row>
    <row r="390">
      <c r="A390" t="s">
        <v>11</v>
      </c>
      <c r="B390" t="s">
        <v>151</v>
      </c>
      <c r="C390" t="s">
        <v>285</v>
      </c>
      <c r="D390">
        <v>86876</v>
      </c>
      <c r="E390">
        <v>9</v>
      </c>
    </row>
    <row r="391">
      <c r="A391" t="s">
        <v>21</v>
      </c>
      <c r="B391" t="s">
        <v>65</v>
      </c>
      <c r="C391" t="s">
        <v>286</v>
      </c>
      <c r="D391">
        <v>14155</v>
      </c>
      <c r="E391">
        <v>6</v>
      </c>
    </row>
    <row r="392">
      <c r="A392" t="s">
        <v>11</v>
      </c>
      <c r="B392" t="s">
        <v>160</v>
      </c>
      <c r="C392" t="s">
        <v>286</v>
      </c>
      <c r="D392">
        <v>10090</v>
      </c>
      <c r="E392">
        <v>1</v>
      </c>
    </row>
    <row r="393">
      <c r="A393" t="s">
        <v>28</v>
      </c>
      <c r="B393" t="s">
        <v>287</v>
      </c>
      <c r="C393" t="s">
        <v>286</v>
      </c>
      <c r="D393">
        <v>91095</v>
      </c>
      <c r="E393">
        <v>2</v>
      </c>
    </row>
    <row r="394">
      <c r="A394" t="s">
        <v>57</v>
      </c>
      <c r="B394" t="s">
        <v>186</v>
      </c>
      <c r="C394" t="s">
        <v>286</v>
      </c>
      <c r="D394">
        <v>74880</v>
      </c>
      <c r="E394">
        <v>7</v>
      </c>
    </row>
    <row r="395">
      <c r="A395" t="s">
        <v>43</v>
      </c>
      <c r="B395" t="s">
        <v>39</v>
      </c>
      <c r="C395" t="s">
        <v>286</v>
      </c>
      <c r="D395">
        <v>11305</v>
      </c>
      <c r="E395">
        <v>7</v>
      </c>
    </row>
    <row r="396">
      <c r="A396" t="s">
        <v>57</v>
      </c>
      <c r="B396" t="s">
        <v>59</v>
      </c>
      <c r="C396" t="s">
        <v>286</v>
      </c>
      <c r="D396">
        <v>20086</v>
      </c>
      <c r="E396">
        <v>6</v>
      </c>
    </row>
    <row r="397">
      <c r="A397" t="s">
        <v>15</v>
      </c>
      <c r="B397" t="s">
        <v>287</v>
      </c>
      <c r="C397" t="s">
        <v>286</v>
      </c>
      <c r="D397">
        <v>41966</v>
      </c>
      <c r="E397">
        <v>9</v>
      </c>
    </row>
    <row r="398">
      <c r="A398" t="s">
        <v>47</v>
      </c>
      <c r="B398" t="s">
        <v>288</v>
      </c>
      <c r="C398" t="s">
        <v>286</v>
      </c>
      <c r="D398">
        <v>87558</v>
      </c>
      <c r="E398">
        <v>9</v>
      </c>
    </row>
    <row r="399">
      <c r="A399" t="s">
        <v>17</v>
      </c>
      <c r="B399" t="s">
        <v>42</v>
      </c>
      <c r="C399" t="s">
        <v>289</v>
      </c>
      <c r="D399">
        <v>63128</v>
      </c>
      <c r="E399">
        <v>9</v>
      </c>
    </row>
    <row r="400">
      <c r="A400" t="s">
        <v>24</v>
      </c>
      <c r="B400" t="s">
        <v>67</v>
      </c>
      <c r="C400" t="s">
        <v>290</v>
      </c>
      <c r="D400">
        <v>38643</v>
      </c>
      <c r="E400">
        <v>6</v>
      </c>
    </row>
    <row r="401">
      <c r="A401" t="s">
        <v>28</v>
      </c>
      <c r="B401" t="s">
        <v>102</v>
      </c>
      <c r="C401" t="s">
        <v>290</v>
      </c>
      <c r="D401">
        <v>34828</v>
      </c>
      <c r="E401">
        <v>8</v>
      </c>
    </row>
    <row r="402">
      <c r="A402" t="s">
        <v>28</v>
      </c>
      <c r="B402" t="s">
        <v>291</v>
      </c>
      <c r="C402" t="s">
        <v>290</v>
      </c>
      <c r="D402">
        <v>87762</v>
      </c>
      <c r="E402">
        <v>9</v>
      </c>
    </row>
    <row r="403">
      <c r="A403" t="s">
        <v>47</v>
      </c>
      <c r="B403" t="s">
        <v>292</v>
      </c>
      <c r="C403" t="s">
        <v>290</v>
      </c>
      <c r="D403">
        <v>48351</v>
      </c>
      <c r="E403">
        <v>6</v>
      </c>
    </row>
    <row r="404">
      <c r="A404" t="s">
        <v>5</v>
      </c>
      <c r="B404" t="s">
        <v>82</v>
      </c>
      <c r="C404" t="s">
        <v>290</v>
      </c>
      <c r="D404">
        <v>42294</v>
      </c>
      <c r="E404">
        <v>10</v>
      </c>
    </row>
    <row r="405">
      <c r="A405" t="s">
        <v>13</v>
      </c>
      <c r="B405" t="s">
        <v>87</v>
      </c>
      <c r="C405" t="s">
        <v>293</v>
      </c>
      <c r="D405">
        <v>59865</v>
      </c>
      <c r="E405">
        <v>2</v>
      </c>
    </row>
    <row r="406">
      <c r="A406" t="s">
        <v>28</v>
      </c>
      <c r="B406" t="s">
        <v>272</v>
      </c>
      <c r="C406" t="s">
        <v>293</v>
      </c>
      <c r="D406">
        <v>72906</v>
      </c>
      <c r="E406">
        <v>6</v>
      </c>
    </row>
    <row r="407">
      <c r="A407" t="s">
        <v>28</v>
      </c>
      <c r="B407" t="s">
        <v>55</v>
      </c>
      <c r="C407" t="s">
        <v>293</v>
      </c>
      <c r="D407">
        <v>47116</v>
      </c>
      <c r="E407">
        <v>4</v>
      </c>
    </row>
    <row r="408">
      <c r="A408" t="s">
        <v>17</v>
      </c>
      <c r="B408" t="s">
        <v>254</v>
      </c>
      <c r="C408" t="s">
        <v>293</v>
      </c>
      <c r="D408">
        <v>29717</v>
      </c>
      <c r="E408">
        <v>8</v>
      </c>
    </row>
    <row r="409">
      <c r="A409" t="s">
        <v>11</v>
      </c>
      <c r="B409" t="s">
        <v>185</v>
      </c>
      <c r="C409" t="s">
        <v>294</v>
      </c>
      <c r="D409">
        <v>26516</v>
      </c>
      <c r="E409">
        <v>7</v>
      </c>
    </row>
    <row r="410">
      <c r="A410" t="s">
        <v>13</v>
      </c>
      <c r="B410" t="s">
        <v>162</v>
      </c>
      <c r="C410" t="s">
        <v>294</v>
      </c>
      <c r="D410">
        <v>33594</v>
      </c>
      <c r="E410">
        <v>7</v>
      </c>
    </row>
    <row r="411">
      <c r="A411" t="s">
        <v>8</v>
      </c>
      <c r="B411" t="s">
        <v>142</v>
      </c>
      <c r="C411" t="s">
        <v>295</v>
      </c>
      <c r="D411">
        <v>15347</v>
      </c>
      <c r="E411">
        <v>6</v>
      </c>
    </row>
    <row r="412">
      <c r="A412" t="s">
        <v>47</v>
      </c>
      <c r="B412" t="s">
        <v>16</v>
      </c>
      <c r="C412" t="s">
        <v>295</v>
      </c>
      <c r="D412">
        <v>42327</v>
      </c>
      <c r="E412">
        <v>9</v>
      </c>
    </row>
    <row r="413">
      <c r="A413" t="s">
        <v>24</v>
      </c>
      <c r="B413" t="s">
        <v>50</v>
      </c>
      <c r="C413" t="s">
        <v>295</v>
      </c>
      <c r="D413">
        <v>80316</v>
      </c>
      <c r="E413">
        <v>4</v>
      </c>
    </row>
    <row r="414">
      <c r="A414" t="s">
        <v>43</v>
      </c>
      <c r="B414" t="s">
        <v>267</v>
      </c>
      <c r="C414" t="s">
        <v>295</v>
      </c>
      <c r="D414">
        <v>69884</v>
      </c>
      <c r="E414">
        <v>2</v>
      </c>
    </row>
    <row r="415">
      <c r="A415" t="s">
        <v>28</v>
      </c>
      <c r="B415" t="s">
        <v>25</v>
      </c>
      <c r="C415" t="s">
        <v>295</v>
      </c>
      <c r="D415">
        <v>46693</v>
      </c>
      <c r="E415">
        <v>4</v>
      </c>
    </row>
    <row r="416">
      <c r="A416" t="s">
        <v>11</v>
      </c>
      <c r="B416" t="s">
        <v>270</v>
      </c>
      <c r="C416" t="s">
        <v>295</v>
      </c>
      <c r="D416">
        <v>19301</v>
      </c>
      <c r="E416">
        <v>10</v>
      </c>
    </row>
    <row r="417">
      <c r="A417" t="s">
        <v>8</v>
      </c>
      <c r="B417" t="s">
        <v>78</v>
      </c>
      <c r="C417" t="s">
        <v>296</v>
      </c>
      <c r="D417">
        <v>48221</v>
      </c>
      <c r="E417">
        <v>6</v>
      </c>
    </row>
    <row r="418">
      <c r="A418" t="s">
        <v>13</v>
      </c>
      <c r="B418" t="s">
        <v>131</v>
      </c>
      <c r="C418" t="s">
        <v>296</v>
      </c>
      <c r="D418">
        <v>37124</v>
      </c>
      <c r="E418">
        <v>5</v>
      </c>
    </row>
    <row r="419">
      <c r="A419" t="s">
        <v>15</v>
      </c>
      <c r="B419" t="s">
        <v>82</v>
      </c>
      <c r="C419" t="s">
        <v>296</v>
      </c>
      <c r="D419">
        <v>75864</v>
      </c>
      <c r="E419">
        <v>0</v>
      </c>
    </row>
    <row r="420">
      <c r="A420" t="s">
        <v>5</v>
      </c>
      <c r="B420" t="s">
        <v>270</v>
      </c>
      <c r="C420" t="s">
        <v>296</v>
      </c>
      <c r="D420">
        <v>72258</v>
      </c>
      <c r="E420">
        <v>8</v>
      </c>
    </row>
    <row r="421">
      <c r="A421" t="s">
        <v>13</v>
      </c>
      <c r="B421" t="s">
        <v>184</v>
      </c>
      <c r="C421" t="s">
        <v>297</v>
      </c>
      <c r="D421">
        <v>87800</v>
      </c>
      <c r="E421">
        <v>1</v>
      </c>
    </row>
    <row r="422">
      <c r="A422" t="s">
        <v>5</v>
      </c>
      <c r="B422" t="s">
        <v>190</v>
      </c>
      <c r="C422" t="s">
        <v>297</v>
      </c>
      <c r="D422">
        <v>98482</v>
      </c>
      <c r="E422">
        <v>6</v>
      </c>
    </row>
    <row r="423">
      <c r="A423" t="s">
        <v>13</v>
      </c>
      <c r="B423" t="s">
        <v>284</v>
      </c>
      <c r="C423" t="s">
        <v>298</v>
      </c>
      <c r="D423">
        <v>27809</v>
      </c>
      <c r="E423">
        <v>9</v>
      </c>
    </row>
    <row r="424">
      <c r="A424" t="s">
        <v>13</v>
      </c>
      <c r="B424" t="s">
        <v>299</v>
      </c>
      <c r="C424" t="s">
        <v>300</v>
      </c>
      <c r="D424">
        <v>44025</v>
      </c>
      <c r="E424">
        <v>3</v>
      </c>
    </row>
    <row r="425">
      <c r="A425" t="s">
        <v>17</v>
      </c>
      <c r="B425" t="s">
        <v>248</v>
      </c>
      <c r="C425" t="s">
        <v>300</v>
      </c>
      <c r="D425">
        <v>35446</v>
      </c>
      <c r="E425">
        <v>6</v>
      </c>
    </row>
    <row r="426">
      <c r="A426" t="s">
        <v>13</v>
      </c>
      <c r="B426" t="s">
        <v>133</v>
      </c>
      <c r="C426" t="s">
        <v>300</v>
      </c>
      <c r="D426">
        <v>56989</v>
      </c>
      <c r="E426">
        <v>5</v>
      </c>
    </row>
    <row r="427">
      <c r="A427" t="s">
        <v>24</v>
      </c>
      <c r="B427" t="s">
        <v>49</v>
      </c>
      <c r="C427" t="s">
        <v>301</v>
      </c>
      <c r="D427">
        <v>22897</v>
      </c>
      <c r="E427">
        <v>7</v>
      </c>
    </row>
    <row r="428">
      <c r="A428" t="s">
        <v>47</v>
      </c>
      <c r="B428" t="s">
        <v>42</v>
      </c>
      <c r="C428" t="s">
        <v>301</v>
      </c>
      <c r="D428">
        <v>98433</v>
      </c>
      <c r="E428">
        <v>6</v>
      </c>
    </row>
    <row r="429">
      <c r="A429" t="s">
        <v>15</v>
      </c>
      <c r="B429" t="s">
        <v>234</v>
      </c>
      <c r="C429" t="s">
        <v>301</v>
      </c>
      <c r="D429">
        <v>29964</v>
      </c>
      <c r="E429">
        <v>7</v>
      </c>
    </row>
    <row r="430">
      <c r="A430" t="s">
        <v>13</v>
      </c>
      <c r="B430" t="s">
        <v>89</v>
      </c>
      <c r="C430" t="s">
        <v>301</v>
      </c>
      <c r="D430">
        <v>95355</v>
      </c>
      <c r="E430">
        <v>8</v>
      </c>
    </row>
    <row r="431">
      <c r="A431" t="s">
        <v>43</v>
      </c>
      <c r="B431" t="s">
        <v>192</v>
      </c>
      <c r="C431" t="s">
        <v>301</v>
      </c>
      <c r="D431">
        <v>18726</v>
      </c>
      <c r="E431">
        <v>8</v>
      </c>
    </row>
    <row r="432">
      <c r="A432" t="s">
        <v>5</v>
      </c>
      <c r="B432" t="s">
        <v>302</v>
      </c>
      <c r="C432" t="s">
        <v>303</v>
      </c>
      <c r="D432">
        <v>34639</v>
      </c>
      <c r="E432">
        <v>6</v>
      </c>
    </row>
    <row r="433">
      <c r="A433" t="s">
        <v>57</v>
      </c>
      <c r="B433" t="s">
        <v>177</v>
      </c>
      <c r="C433" t="s">
        <v>303</v>
      </c>
      <c r="D433">
        <v>20384</v>
      </c>
      <c r="E433">
        <v>9</v>
      </c>
    </row>
    <row r="434">
      <c r="A434" t="s">
        <v>28</v>
      </c>
      <c r="B434" t="s">
        <v>163</v>
      </c>
      <c r="C434" t="s">
        <v>303</v>
      </c>
      <c r="D434">
        <v>43251</v>
      </c>
      <c r="E434">
        <v>6</v>
      </c>
    </row>
    <row r="435">
      <c r="A435" t="s">
        <v>24</v>
      </c>
      <c r="B435" t="s">
        <v>174</v>
      </c>
      <c r="C435" t="s">
        <v>303</v>
      </c>
      <c r="D435">
        <v>48250</v>
      </c>
      <c r="E435">
        <v>1</v>
      </c>
    </row>
    <row r="436">
      <c r="A436" t="s">
        <v>15</v>
      </c>
      <c r="B436" t="s">
        <v>248</v>
      </c>
      <c r="C436" t="s">
        <v>304</v>
      </c>
      <c r="D436">
        <v>38343</v>
      </c>
      <c r="E436">
        <v>10</v>
      </c>
    </row>
    <row r="437">
      <c r="A437" t="s">
        <v>24</v>
      </c>
      <c r="B437" t="s">
        <v>93</v>
      </c>
      <c r="C437" t="s">
        <v>304</v>
      </c>
      <c r="D437">
        <v>76414</v>
      </c>
      <c r="E437">
        <v>2</v>
      </c>
    </row>
    <row r="438">
      <c r="A438" t="s">
        <v>13</v>
      </c>
      <c r="B438" t="s">
        <v>305</v>
      </c>
      <c r="C438" t="s">
        <v>304</v>
      </c>
      <c r="D438">
        <v>63841</v>
      </c>
      <c r="E438">
        <v>9</v>
      </c>
    </row>
    <row r="439">
      <c r="A439" t="s">
        <v>5</v>
      </c>
      <c r="B439" t="s">
        <v>128</v>
      </c>
      <c r="C439" t="s">
        <v>306</v>
      </c>
      <c r="D439">
        <v>88537</v>
      </c>
      <c r="E439">
        <v>10</v>
      </c>
    </row>
    <row r="440">
      <c r="A440" t="s">
        <v>15</v>
      </c>
      <c r="B440" t="s">
        <v>83</v>
      </c>
      <c r="C440" t="s">
        <v>307</v>
      </c>
      <c r="D440">
        <v>92555</v>
      </c>
      <c r="E440">
        <v>7</v>
      </c>
    </row>
    <row r="441">
      <c r="A441" t="s">
        <v>24</v>
      </c>
      <c r="B441" t="s">
        <v>165</v>
      </c>
      <c r="C441" t="s">
        <v>307</v>
      </c>
      <c r="D441">
        <v>35749</v>
      </c>
      <c r="E441">
        <v>6</v>
      </c>
    </row>
    <row r="442">
      <c r="A442" t="s">
        <v>5</v>
      </c>
      <c r="B442" t="s">
        <v>186</v>
      </c>
      <c r="C442" t="s">
        <v>307</v>
      </c>
      <c r="D442">
        <v>97544</v>
      </c>
      <c r="E442">
        <v>4</v>
      </c>
    </row>
    <row r="443">
      <c r="A443" t="s">
        <v>5</v>
      </c>
      <c r="B443" t="s">
        <v>308</v>
      </c>
      <c r="C443" t="s">
        <v>307</v>
      </c>
      <c r="D443">
        <v>74117</v>
      </c>
      <c r="E443">
        <v>3</v>
      </c>
    </row>
    <row r="444">
      <c r="A444" t="s">
        <v>17</v>
      </c>
      <c r="B444" t="s">
        <v>39</v>
      </c>
      <c r="C444" t="s">
        <v>309</v>
      </c>
      <c r="D444">
        <v>57400</v>
      </c>
      <c r="E444">
        <v>2</v>
      </c>
    </row>
    <row r="445">
      <c r="A445" t="s">
        <v>57</v>
      </c>
      <c r="B445" t="s">
        <v>108</v>
      </c>
      <c r="C445" t="s">
        <v>309</v>
      </c>
      <c r="D445">
        <v>70156</v>
      </c>
      <c r="E445">
        <v>6</v>
      </c>
    </row>
    <row r="446">
      <c r="A446" t="s">
        <v>24</v>
      </c>
      <c r="B446" t="s">
        <v>209</v>
      </c>
      <c r="C446" t="s">
        <v>309</v>
      </c>
      <c r="D446">
        <v>60138</v>
      </c>
      <c r="E446">
        <v>5</v>
      </c>
    </row>
    <row r="447">
      <c r="A447" t="s">
        <v>24</v>
      </c>
      <c r="B447" t="s">
        <v>310</v>
      </c>
      <c r="C447" t="s">
        <v>309</v>
      </c>
      <c r="D447">
        <v>82599</v>
      </c>
      <c r="E447">
        <v>10</v>
      </c>
    </row>
    <row r="448">
      <c r="A448" t="s">
        <v>28</v>
      </c>
      <c r="B448" t="s">
        <v>151</v>
      </c>
      <c r="C448" t="s">
        <v>309</v>
      </c>
      <c r="D448">
        <v>89242</v>
      </c>
      <c r="E448">
        <v>8</v>
      </c>
    </row>
    <row r="449">
      <c r="A449" t="s">
        <v>28</v>
      </c>
      <c r="B449" t="s">
        <v>284</v>
      </c>
      <c r="C449" t="s">
        <v>309</v>
      </c>
      <c r="D449">
        <v>96187</v>
      </c>
      <c r="E449">
        <v>7</v>
      </c>
    </row>
    <row r="450">
      <c r="A450" t="s">
        <v>47</v>
      </c>
      <c r="B450" t="s">
        <v>280</v>
      </c>
      <c r="C450" t="s">
        <v>309</v>
      </c>
      <c r="D450">
        <v>20942</v>
      </c>
      <c r="E450">
        <v>7</v>
      </c>
    </row>
    <row r="451">
      <c r="A451" t="s">
        <v>21</v>
      </c>
      <c r="B451" t="s">
        <v>118</v>
      </c>
      <c r="C451" t="s">
        <v>309</v>
      </c>
      <c r="D451">
        <v>30584</v>
      </c>
      <c r="E451">
        <v>4</v>
      </c>
    </row>
    <row r="452">
      <c r="A452" t="s">
        <v>47</v>
      </c>
      <c r="B452" t="s">
        <v>305</v>
      </c>
      <c r="C452" t="s">
        <v>309</v>
      </c>
      <c r="D452">
        <v>79099</v>
      </c>
      <c r="E452">
        <v>4</v>
      </c>
    </row>
    <row r="453">
      <c r="A453" t="s">
        <v>43</v>
      </c>
      <c r="B453" t="s">
        <v>58</v>
      </c>
      <c r="C453" t="s">
        <v>311</v>
      </c>
      <c r="D453">
        <v>83664</v>
      </c>
      <c r="E453">
        <v>8</v>
      </c>
    </row>
    <row r="454">
      <c r="A454" t="s">
        <v>43</v>
      </c>
      <c r="B454" t="s">
        <v>227</v>
      </c>
      <c r="C454" t="s">
        <v>311</v>
      </c>
      <c r="D454">
        <v>42746</v>
      </c>
      <c r="E454">
        <v>8</v>
      </c>
    </row>
    <row r="455">
      <c r="A455" t="s">
        <v>11</v>
      </c>
      <c r="B455" t="s">
        <v>189</v>
      </c>
      <c r="C455" t="s">
        <v>312</v>
      </c>
      <c r="D455">
        <v>36423</v>
      </c>
      <c r="E455">
        <v>6</v>
      </c>
    </row>
    <row r="456">
      <c r="A456" t="s">
        <v>11</v>
      </c>
      <c r="B456" t="s">
        <v>38</v>
      </c>
      <c r="C456" t="s">
        <v>312</v>
      </c>
      <c r="D456">
        <v>54500</v>
      </c>
      <c r="E456">
        <v>9</v>
      </c>
    </row>
    <row r="457">
      <c r="A457" t="s">
        <v>11</v>
      </c>
      <c r="B457" t="s">
        <v>177</v>
      </c>
      <c r="C457" t="s">
        <v>312</v>
      </c>
      <c r="D457">
        <v>73860</v>
      </c>
      <c r="E457">
        <v>2</v>
      </c>
    </row>
    <row r="458">
      <c r="A458" t="s">
        <v>17</v>
      </c>
      <c r="B458" t="s">
        <v>270</v>
      </c>
      <c r="C458" t="s">
        <v>312</v>
      </c>
      <c r="D458">
        <v>51176</v>
      </c>
      <c r="E458">
        <v>10</v>
      </c>
    </row>
    <row r="459">
      <c r="A459" t="s">
        <v>43</v>
      </c>
      <c r="B459" t="s">
        <v>49</v>
      </c>
      <c r="C459" t="s">
        <v>312</v>
      </c>
      <c r="D459">
        <v>75469</v>
      </c>
      <c r="E459">
        <v>9</v>
      </c>
    </row>
    <row r="460">
      <c r="A460" t="s">
        <v>13</v>
      </c>
      <c r="B460" t="s">
        <v>256</v>
      </c>
      <c r="C460" t="s">
        <v>312</v>
      </c>
      <c r="D460">
        <v>56516</v>
      </c>
      <c r="E460">
        <v>7</v>
      </c>
    </row>
    <row r="461">
      <c r="A461" t="s">
        <v>21</v>
      </c>
      <c r="B461" t="s">
        <v>258</v>
      </c>
      <c r="C461" t="s">
        <v>313</v>
      </c>
      <c r="D461">
        <v>41253</v>
      </c>
      <c r="E461">
        <v>10</v>
      </c>
    </row>
    <row r="462">
      <c r="A462" t="s">
        <v>17</v>
      </c>
      <c r="B462" t="s">
        <v>142</v>
      </c>
      <c r="C462" t="s">
        <v>313</v>
      </c>
      <c r="D462">
        <v>64728</v>
      </c>
      <c r="E462">
        <v>8</v>
      </c>
    </row>
    <row r="463">
      <c r="A463" t="s">
        <v>24</v>
      </c>
      <c r="B463" t="s">
        <v>129</v>
      </c>
      <c r="C463" t="s">
        <v>313</v>
      </c>
      <c r="D463">
        <v>57149</v>
      </c>
      <c r="E463">
        <v>10</v>
      </c>
    </row>
    <row r="464">
      <c r="A464" t="s">
        <v>47</v>
      </c>
      <c r="B464" t="s">
        <v>106</v>
      </c>
      <c r="C464" t="s">
        <v>313</v>
      </c>
      <c r="D464">
        <v>78529</v>
      </c>
      <c r="E464">
        <v>9</v>
      </c>
    </row>
    <row r="465">
      <c r="A465" t="s">
        <v>17</v>
      </c>
      <c r="B465" t="s">
        <v>197</v>
      </c>
      <c r="C465" t="s">
        <v>314</v>
      </c>
      <c r="D465">
        <v>25545</v>
      </c>
      <c r="E465">
        <v>3</v>
      </c>
    </row>
    <row r="466">
      <c r="A466" t="s">
        <v>8</v>
      </c>
      <c r="B466" t="s">
        <v>163</v>
      </c>
      <c r="C466" t="s">
        <v>314</v>
      </c>
      <c r="D466">
        <v>61710</v>
      </c>
      <c r="E466">
        <v>8</v>
      </c>
    </row>
    <row r="467">
      <c r="A467" t="s">
        <v>5</v>
      </c>
      <c r="B467" t="s">
        <v>151</v>
      </c>
      <c r="C467" t="s">
        <v>314</v>
      </c>
      <c r="D467">
        <v>23883</v>
      </c>
      <c r="E467">
        <v>7</v>
      </c>
    </row>
    <row r="468">
      <c r="A468" t="s">
        <v>21</v>
      </c>
      <c r="B468" t="s">
        <v>147</v>
      </c>
      <c r="C468" t="s">
        <v>314</v>
      </c>
      <c r="D468">
        <v>44382</v>
      </c>
      <c r="E468">
        <v>5</v>
      </c>
    </row>
    <row r="469">
      <c r="A469" t="s">
        <v>43</v>
      </c>
      <c r="B469" t="s">
        <v>315</v>
      </c>
      <c r="C469" t="s">
        <v>314</v>
      </c>
      <c r="D469">
        <v>82618</v>
      </c>
      <c r="E469">
        <v>5</v>
      </c>
    </row>
    <row r="470">
      <c r="A470" t="s">
        <v>15</v>
      </c>
      <c r="B470" t="s">
        <v>190</v>
      </c>
      <c r="C470" t="s">
        <v>314</v>
      </c>
      <c r="D470">
        <v>67294</v>
      </c>
      <c r="E470">
        <v>7</v>
      </c>
    </row>
    <row r="471">
      <c r="A471" t="s">
        <v>24</v>
      </c>
      <c r="B471" t="s">
        <v>316</v>
      </c>
      <c r="C471" t="s">
        <v>317</v>
      </c>
      <c r="D471">
        <v>93316</v>
      </c>
      <c r="E471">
        <v>9</v>
      </c>
    </row>
    <row r="472">
      <c r="A472" t="s">
        <v>28</v>
      </c>
      <c r="B472" t="s">
        <v>207</v>
      </c>
      <c r="C472" t="s">
        <v>317</v>
      </c>
      <c r="D472">
        <v>44546</v>
      </c>
      <c r="E472">
        <v>6</v>
      </c>
    </row>
    <row r="473">
      <c r="A473" t="s">
        <v>28</v>
      </c>
      <c r="B473" t="s">
        <v>190</v>
      </c>
      <c r="C473" t="s">
        <v>317</v>
      </c>
      <c r="D473">
        <v>75282</v>
      </c>
      <c r="E473">
        <v>7</v>
      </c>
    </row>
    <row r="474">
      <c r="A474" t="s">
        <v>13</v>
      </c>
      <c r="B474" t="s">
        <v>181</v>
      </c>
      <c r="C474" t="s">
        <v>317</v>
      </c>
      <c r="D474">
        <v>34624</v>
      </c>
      <c r="E474">
        <v>5</v>
      </c>
    </row>
    <row r="475">
      <c r="A475" t="s">
        <v>8</v>
      </c>
      <c r="B475" t="s">
        <v>138</v>
      </c>
      <c r="C475" t="s">
        <v>317</v>
      </c>
      <c r="D475">
        <v>65937</v>
      </c>
      <c r="E475">
        <v>8</v>
      </c>
    </row>
    <row r="476">
      <c r="A476" t="s">
        <v>5</v>
      </c>
      <c r="B476" t="s">
        <v>55</v>
      </c>
      <c r="C476" t="s">
        <v>317</v>
      </c>
      <c r="D476">
        <v>76175</v>
      </c>
      <c r="E476">
        <v>7</v>
      </c>
    </row>
    <row r="477">
      <c r="A477" t="s">
        <v>21</v>
      </c>
      <c r="B477" t="s">
        <v>252</v>
      </c>
      <c r="C477" t="s">
        <v>317</v>
      </c>
      <c r="D477">
        <v>80073</v>
      </c>
      <c r="E477">
        <v>5</v>
      </c>
    </row>
    <row r="478">
      <c r="A478" t="s">
        <v>43</v>
      </c>
      <c r="B478" t="s">
        <v>267</v>
      </c>
      <c r="C478" t="s">
        <v>317</v>
      </c>
      <c r="D478">
        <v>84911</v>
      </c>
      <c r="E478">
        <v>5</v>
      </c>
    </row>
    <row r="479">
      <c r="A479" t="s">
        <v>8</v>
      </c>
      <c r="B479" t="s">
        <v>31</v>
      </c>
      <c r="C479" t="s">
        <v>317</v>
      </c>
      <c r="D479">
        <v>18065</v>
      </c>
      <c r="E479">
        <v>3</v>
      </c>
    </row>
    <row r="480">
      <c r="A480" t="s">
        <v>43</v>
      </c>
      <c r="B480" t="s">
        <v>302</v>
      </c>
      <c r="C480" t="s">
        <v>318</v>
      </c>
      <c r="D480">
        <v>74508</v>
      </c>
      <c r="E480">
        <v>8</v>
      </c>
    </row>
    <row r="481">
      <c r="A481" t="s">
        <v>57</v>
      </c>
      <c r="B481" t="s">
        <v>6</v>
      </c>
      <c r="C481" t="s">
        <v>318</v>
      </c>
      <c r="D481">
        <v>85953</v>
      </c>
      <c r="E481">
        <v>5</v>
      </c>
    </row>
    <row r="482">
      <c r="A482" t="s">
        <v>17</v>
      </c>
      <c r="B482" t="s">
        <v>302</v>
      </c>
      <c r="C482" t="s">
        <v>319</v>
      </c>
      <c r="D482">
        <v>64779</v>
      </c>
      <c r="E482">
        <v>7</v>
      </c>
    </row>
    <row r="483">
      <c r="A483" t="s">
        <v>11</v>
      </c>
      <c r="B483" t="s">
        <v>85</v>
      </c>
      <c r="C483" t="s">
        <v>319</v>
      </c>
      <c r="D483">
        <v>69468</v>
      </c>
      <c r="E483">
        <v>7</v>
      </c>
    </row>
    <row r="484">
      <c r="A484" t="s">
        <v>11</v>
      </c>
      <c r="B484" t="s">
        <v>91</v>
      </c>
      <c r="C484" t="s">
        <v>320</v>
      </c>
      <c r="D484">
        <v>61066</v>
      </c>
      <c r="E484">
        <v>8</v>
      </c>
    </row>
    <row r="485">
      <c r="A485" t="s">
        <v>57</v>
      </c>
      <c r="B485" t="s">
        <v>129</v>
      </c>
      <c r="C485" t="s">
        <v>320</v>
      </c>
      <c r="D485">
        <v>48053</v>
      </c>
      <c r="E485">
        <v>6</v>
      </c>
    </row>
    <row r="486">
      <c r="A486" t="s">
        <v>24</v>
      </c>
      <c r="B486" t="s">
        <v>35</v>
      </c>
      <c r="C486" t="s">
        <v>320</v>
      </c>
      <c r="D486">
        <v>80981</v>
      </c>
      <c r="E486">
        <v>8</v>
      </c>
    </row>
    <row r="487">
      <c r="A487" t="s">
        <v>47</v>
      </c>
      <c r="B487" t="s">
        <v>321</v>
      </c>
      <c r="C487" t="s">
        <v>320</v>
      </c>
      <c r="D487">
        <v>79445</v>
      </c>
      <c r="E487">
        <v>5</v>
      </c>
    </row>
    <row r="488">
      <c r="A488" t="s">
        <v>13</v>
      </c>
      <c r="B488" t="s">
        <v>189</v>
      </c>
      <c r="C488" t="s">
        <v>320</v>
      </c>
      <c r="D488">
        <v>44458</v>
      </c>
      <c r="E488">
        <v>9</v>
      </c>
    </row>
    <row r="489">
      <c r="A489" t="s">
        <v>8</v>
      </c>
      <c r="B489" t="s">
        <v>316</v>
      </c>
      <c r="C489" t="s">
        <v>322</v>
      </c>
      <c r="D489">
        <v>39089</v>
      </c>
      <c r="E489">
        <v>5</v>
      </c>
    </row>
    <row r="490">
      <c r="A490" t="s">
        <v>15</v>
      </c>
      <c r="B490" t="s">
        <v>267</v>
      </c>
      <c r="C490" t="s">
        <v>322</v>
      </c>
      <c r="D490">
        <v>21985</v>
      </c>
      <c r="E490">
        <v>6</v>
      </c>
    </row>
    <row r="491">
      <c r="A491" t="s">
        <v>21</v>
      </c>
      <c r="B491" t="s">
        <v>284</v>
      </c>
      <c r="C491" t="s">
        <v>322</v>
      </c>
      <c r="D491">
        <v>84755</v>
      </c>
      <c r="E491">
        <v>9</v>
      </c>
    </row>
    <row r="492">
      <c r="A492" t="s">
        <v>15</v>
      </c>
      <c r="B492" t="s">
        <v>123</v>
      </c>
      <c r="C492" t="s">
        <v>322</v>
      </c>
      <c r="D492">
        <v>37852</v>
      </c>
      <c r="E492">
        <v>8</v>
      </c>
    </row>
    <row r="493">
      <c r="A493" t="s">
        <v>5</v>
      </c>
      <c r="B493" t="s">
        <v>143</v>
      </c>
      <c r="C493" t="s">
        <v>322</v>
      </c>
      <c r="D493">
        <v>59101</v>
      </c>
      <c r="E493">
        <v>2</v>
      </c>
    </row>
    <row r="494">
      <c r="A494" t="s">
        <v>28</v>
      </c>
      <c r="B494" t="s">
        <v>69</v>
      </c>
      <c r="C494" t="s">
        <v>323</v>
      </c>
      <c r="D494">
        <v>69028</v>
      </c>
      <c r="E494">
        <v>7</v>
      </c>
    </row>
    <row r="495">
      <c r="A495" t="s">
        <v>15</v>
      </c>
      <c r="B495" t="s">
        <v>92</v>
      </c>
      <c r="C495" t="s">
        <v>323</v>
      </c>
      <c r="D495">
        <v>95453</v>
      </c>
      <c r="E495">
        <v>10</v>
      </c>
    </row>
    <row r="496">
      <c r="A496" t="s">
        <v>15</v>
      </c>
      <c r="B496" t="s">
        <v>308</v>
      </c>
      <c r="C496" t="s">
        <v>324</v>
      </c>
      <c r="D496">
        <v>42798</v>
      </c>
      <c r="E496">
        <v>7</v>
      </c>
    </row>
    <row r="497">
      <c r="A497" t="s">
        <v>11</v>
      </c>
      <c r="B497" t="s">
        <v>257</v>
      </c>
      <c r="C497" t="s">
        <v>324</v>
      </c>
      <c r="D497">
        <v>98474</v>
      </c>
      <c r="E497">
        <v>7</v>
      </c>
    </row>
    <row r="498">
      <c r="A498" t="s">
        <v>15</v>
      </c>
      <c r="B498" t="s">
        <v>223</v>
      </c>
      <c r="C498" t="s">
        <v>325</v>
      </c>
      <c r="D498">
        <v>11844</v>
      </c>
      <c r="E498">
        <v>6</v>
      </c>
    </row>
    <row r="499">
      <c r="A499" t="s">
        <v>43</v>
      </c>
      <c r="B499" t="s">
        <v>158</v>
      </c>
      <c r="C499" t="s">
        <v>325</v>
      </c>
      <c r="D499">
        <v>97897</v>
      </c>
      <c r="E499">
        <v>6</v>
      </c>
    </row>
    <row r="500">
      <c r="A500" t="s">
        <v>11</v>
      </c>
      <c r="B500" t="s">
        <v>192</v>
      </c>
      <c r="C500" t="s">
        <v>325</v>
      </c>
      <c r="D500">
        <v>88363</v>
      </c>
      <c r="E500">
        <v>7</v>
      </c>
    </row>
    <row r="501">
      <c r="A501" t="s">
        <v>47</v>
      </c>
      <c r="B501" t="s">
        <v>52</v>
      </c>
      <c r="C501" t="s">
        <v>326</v>
      </c>
      <c r="D501">
        <v>49577</v>
      </c>
      <c r="E501">
        <v>4</v>
      </c>
    </row>
    <row r="502">
      <c r="A502" t="s">
        <v>24</v>
      </c>
      <c r="B502" t="s">
        <v>327</v>
      </c>
      <c r="C502" t="s">
        <v>326</v>
      </c>
      <c r="D502">
        <v>68581</v>
      </c>
      <c r="E502">
        <v>3</v>
      </c>
    </row>
    <row r="503">
      <c r="A503" t="s">
        <v>47</v>
      </c>
      <c r="B503" t="s">
        <v>144</v>
      </c>
      <c r="C503" t="s">
        <v>328</v>
      </c>
      <c r="D503">
        <v>88545</v>
      </c>
      <c r="E503">
        <v>10</v>
      </c>
    </row>
    <row r="504">
      <c r="A504" t="s">
        <v>15</v>
      </c>
      <c r="B504" t="s">
        <v>37</v>
      </c>
      <c r="C504" t="s">
        <v>328</v>
      </c>
      <c r="D504">
        <v>65306</v>
      </c>
      <c r="E504">
        <v>6</v>
      </c>
    </row>
    <row r="505">
      <c r="A505" t="s">
        <v>57</v>
      </c>
      <c r="B505" t="s">
        <v>256</v>
      </c>
      <c r="C505" t="s">
        <v>328</v>
      </c>
      <c r="D505">
        <v>14323</v>
      </c>
      <c r="E505">
        <v>4</v>
      </c>
    </row>
    <row r="506">
      <c r="A506" t="s">
        <v>57</v>
      </c>
      <c r="B506" t="s">
        <v>18</v>
      </c>
      <c r="C506" t="s">
        <v>328</v>
      </c>
      <c r="D506">
        <v>99142</v>
      </c>
      <c r="E506">
        <v>8</v>
      </c>
    </row>
    <row r="507">
      <c r="A507" t="s">
        <v>43</v>
      </c>
      <c r="B507" t="s">
        <v>291</v>
      </c>
      <c r="C507" t="s">
        <v>328</v>
      </c>
      <c r="D507">
        <v>38484</v>
      </c>
      <c r="E507">
        <v>7</v>
      </c>
    </row>
    <row r="508">
      <c r="A508" t="s">
        <v>13</v>
      </c>
      <c r="B508" t="s">
        <v>71</v>
      </c>
      <c r="C508" t="s">
        <v>328</v>
      </c>
      <c r="D508">
        <v>45827</v>
      </c>
      <c r="E508">
        <v>7</v>
      </c>
    </row>
    <row r="509">
      <c r="A509" t="s">
        <v>17</v>
      </c>
      <c r="B509" t="s">
        <v>14</v>
      </c>
      <c r="C509" t="s">
        <v>328</v>
      </c>
      <c r="D509">
        <v>60086</v>
      </c>
      <c r="E509">
        <v>7</v>
      </c>
    </row>
    <row r="510">
      <c r="A510" t="s">
        <v>43</v>
      </c>
      <c r="B510" t="s">
        <v>327</v>
      </c>
      <c r="C510" t="s">
        <v>328</v>
      </c>
      <c r="D510">
        <v>98848</v>
      </c>
      <c r="E510">
        <v>3</v>
      </c>
    </row>
    <row r="511">
      <c r="A511" t="s">
        <v>24</v>
      </c>
      <c r="B511" t="s">
        <v>160</v>
      </c>
      <c r="C511" t="s">
        <v>328</v>
      </c>
      <c r="D511">
        <v>25032</v>
      </c>
      <c r="E511">
        <v>7</v>
      </c>
    </row>
    <row r="512">
      <c r="A512" t="s">
        <v>24</v>
      </c>
      <c r="B512" t="s">
        <v>163</v>
      </c>
      <c r="C512" t="s">
        <v>328</v>
      </c>
      <c r="D512">
        <v>42372</v>
      </c>
      <c r="E512">
        <v>8</v>
      </c>
    </row>
    <row r="513">
      <c r="A513" t="s">
        <v>15</v>
      </c>
      <c r="B513" t="s">
        <v>39</v>
      </c>
      <c r="C513" t="s">
        <v>328</v>
      </c>
      <c r="D513">
        <v>50257</v>
      </c>
      <c r="E513">
        <v>2</v>
      </c>
    </row>
    <row r="514">
      <c r="A514" t="s">
        <v>47</v>
      </c>
      <c r="B514" t="s">
        <v>288</v>
      </c>
      <c r="C514" t="s">
        <v>328</v>
      </c>
      <c r="D514">
        <v>40576</v>
      </c>
      <c r="E514">
        <v>8</v>
      </c>
    </row>
    <row r="515">
      <c r="A515" t="s">
        <v>57</v>
      </c>
      <c r="B515" t="s">
        <v>174</v>
      </c>
      <c r="C515" t="s">
        <v>329</v>
      </c>
      <c r="D515">
        <v>63364</v>
      </c>
      <c r="E515">
        <v>2</v>
      </c>
    </row>
    <row r="516">
      <c r="A516" t="s">
        <v>43</v>
      </c>
      <c r="B516" t="s">
        <v>113</v>
      </c>
      <c r="C516" t="s">
        <v>329</v>
      </c>
      <c r="D516">
        <v>33499</v>
      </c>
      <c r="E516">
        <v>6</v>
      </c>
    </row>
    <row r="517">
      <c r="A517" t="s">
        <v>8</v>
      </c>
      <c r="B517" t="s">
        <v>89</v>
      </c>
      <c r="C517" t="s">
        <v>330</v>
      </c>
      <c r="D517">
        <v>17772</v>
      </c>
      <c r="E517">
        <v>3</v>
      </c>
    </row>
    <row r="518">
      <c r="A518" t="s">
        <v>17</v>
      </c>
      <c r="B518" t="s">
        <v>18</v>
      </c>
      <c r="C518" t="s">
        <v>330</v>
      </c>
      <c r="D518">
        <v>75874</v>
      </c>
      <c r="E518">
        <v>8</v>
      </c>
    </row>
    <row r="519">
      <c r="A519" t="s">
        <v>5</v>
      </c>
      <c r="B519" t="s">
        <v>331</v>
      </c>
      <c r="C519" t="s">
        <v>330</v>
      </c>
      <c r="D519">
        <v>36358</v>
      </c>
      <c r="E519">
        <v>4</v>
      </c>
    </row>
    <row r="520">
      <c r="A520" t="s">
        <v>21</v>
      </c>
      <c r="B520" t="s">
        <v>33</v>
      </c>
      <c r="C520" t="s">
        <v>332</v>
      </c>
      <c r="D520">
        <v>83978</v>
      </c>
      <c r="E520">
        <v>9</v>
      </c>
    </row>
    <row r="521">
      <c r="A521" t="s">
        <v>5</v>
      </c>
      <c r="B521" t="s">
        <v>50</v>
      </c>
      <c r="C521" t="s">
        <v>332</v>
      </c>
      <c r="D521">
        <v>34167</v>
      </c>
      <c r="E521">
        <v>6</v>
      </c>
    </row>
    <row r="522">
      <c r="A522" t="s">
        <v>11</v>
      </c>
      <c r="B522" t="s">
        <v>40</v>
      </c>
      <c r="C522" t="s">
        <v>333</v>
      </c>
      <c r="D522">
        <v>74761</v>
      </c>
      <c r="E522">
        <v>8</v>
      </c>
    </row>
    <row r="523">
      <c r="A523" t="s">
        <v>57</v>
      </c>
      <c r="B523" t="s">
        <v>248</v>
      </c>
      <c r="C523" t="s">
        <v>333</v>
      </c>
      <c r="D523">
        <v>28695</v>
      </c>
      <c r="E523">
        <v>7</v>
      </c>
    </row>
    <row r="524">
      <c r="A524" t="s">
        <v>15</v>
      </c>
      <c r="B524" t="s">
        <v>64</v>
      </c>
      <c r="C524" t="s">
        <v>333</v>
      </c>
      <c r="D524">
        <v>22252</v>
      </c>
      <c r="E524">
        <v>7</v>
      </c>
    </row>
    <row r="525">
      <c r="A525" t="s">
        <v>13</v>
      </c>
      <c r="B525" t="s">
        <v>78</v>
      </c>
      <c r="C525" t="s">
        <v>334</v>
      </c>
      <c r="D525">
        <v>82585</v>
      </c>
      <c r="E525">
        <v>8</v>
      </c>
    </row>
    <row r="526">
      <c r="A526" t="s">
        <v>15</v>
      </c>
      <c r="B526" t="s">
        <v>113</v>
      </c>
      <c r="C526" t="s">
        <v>334</v>
      </c>
      <c r="D526">
        <v>17138</v>
      </c>
      <c r="E526">
        <v>3</v>
      </c>
    </row>
    <row r="527">
      <c r="A527" t="s">
        <v>8</v>
      </c>
      <c r="B527" t="s">
        <v>71</v>
      </c>
      <c r="C527" t="s">
        <v>334</v>
      </c>
      <c r="D527">
        <v>31259</v>
      </c>
      <c r="E527">
        <v>7</v>
      </c>
    </row>
    <row r="528">
      <c r="A528" t="s">
        <v>5</v>
      </c>
      <c r="B528" t="s">
        <v>273</v>
      </c>
      <c r="C528" t="s">
        <v>335</v>
      </c>
      <c r="D528">
        <v>54217</v>
      </c>
      <c r="E528">
        <v>9</v>
      </c>
    </row>
    <row r="529">
      <c r="A529" t="s">
        <v>57</v>
      </c>
      <c r="B529" t="s">
        <v>284</v>
      </c>
      <c r="C529" t="s">
        <v>335</v>
      </c>
      <c r="D529">
        <v>43040</v>
      </c>
      <c r="E529">
        <v>5</v>
      </c>
    </row>
    <row r="530">
      <c r="A530" t="s">
        <v>43</v>
      </c>
      <c r="B530" t="s">
        <v>119</v>
      </c>
      <c r="C530" t="s">
        <v>336</v>
      </c>
      <c r="D530">
        <v>64257</v>
      </c>
      <c r="E530">
        <v>3</v>
      </c>
    </row>
    <row r="531">
      <c r="A531" t="s">
        <v>43</v>
      </c>
      <c r="B531" t="s">
        <v>185</v>
      </c>
      <c r="C531" t="s">
        <v>336</v>
      </c>
      <c r="D531">
        <v>47147</v>
      </c>
      <c r="E531">
        <v>2</v>
      </c>
    </row>
    <row r="532">
      <c r="A532" t="s">
        <v>24</v>
      </c>
      <c r="B532" t="s">
        <v>204</v>
      </c>
      <c r="C532" t="s">
        <v>336</v>
      </c>
      <c r="D532">
        <v>21455</v>
      </c>
      <c r="E532">
        <v>10</v>
      </c>
    </row>
    <row r="533">
      <c r="A533" t="s">
        <v>57</v>
      </c>
      <c r="B533" t="s">
        <v>243</v>
      </c>
      <c r="C533" t="s">
        <v>336</v>
      </c>
      <c r="D533">
        <v>15668</v>
      </c>
      <c r="E533">
        <v>2</v>
      </c>
    </row>
    <row r="534">
      <c r="A534" t="s">
        <v>24</v>
      </c>
      <c r="B534" t="s">
        <v>70</v>
      </c>
      <c r="C534" t="s">
        <v>336</v>
      </c>
      <c r="D534">
        <v>23639</v>
      </c>
      <c r="E534">
        <v>9</v>
      </c>
    </row>
    <row r="535">
      <c r="A535" t="s">
        <v>8</v>
      </c>
      <c r="B535" t="s">
        <v>255</v>
      </c>
      <c r="C535" t="s">
        <v>336</v>
      </c>
      <c r="D535">
        <v>23173</v>
      </c>
      <c r="E535">
        <v>5</v>
      </c>
    </row>
    <row r="536">
      <c r="A536" t="s">
        <v>11</v>
      </c>
      <c r="B536" t="s">
        <v>252</v>
      </c>
      <c r="C536" t="s">
        <v>337</v>
      </c>
      <c r="D536">
        <v>56909</v>
      </c>
      <c r="E536">
        <v>7</v>
      </c>
    </row>
    <row r="537">
      <c r="A537" t="s">
        <v>57</v>
      </c>
      <c r="B537" t="s">
        <v>181</v>
      </c>
      <c r="C537" t="s">
        <v>337</v>
      </c>
      <c r="D537">
        <v>22503</v>
      </c>
      <c r="E537">
        <v>6</v>
      </c>
    </row>
    <row r="538">
      <c r="A538" t="s">
        <v>5</v>
      </c>
      <c r="B538" t="s">
        <v>170</v>
      </c>
      <c r="C538" t="s">
        <v>337</v>
      </c>
      <c r="D538">
        <v>48296</v>
      </c>
      <c r="E538">
        <v>7</v>
      </c>
    </row>
    <row r="539">
      <c r="A539" t="s">
        <v>13</v>
      </c>
      <c r="B539" t="s">
        <v>30</v>
      </c>
      <c r="C539" t="s">
        <v>337</v>
      </c>
      <c r="D539">
        <v>57213</v>
      </c>
      <c r="E539">
        <v>7</v>
      </c>
    </row>
    <row r="540">
      <c r="A540" t="s">
        <v>47</v>
      </c>
      <c r="B540" t="s">
        <v>20</v>
      </c>
      <c r="C540" t="s">
        <v>337</v>
      </c>
      <c r="D540">
        <v>76989</v>
      </c>
      <c r="E540">
        <v>10</v>
      </c>
    </row>
    <row r="541">
      <c r="A541" t="s">
        <v>21</v>
      </c>
      <c r="B541" t="s">
        <v>181</v>
      </c>
      <c r="C541" t="s">
        <v>337</v>
      </c>
      <c r="D541">
        <v>84333</v>
      </c>
      <c r="E541">
        <v>2</v>
      </c>
    </row>
    <row r="542">
      <c r="A542" t="s">
        <v>11</v>
      </c>
      <c r="B542" t="s">
        <v>161</v>
      </c>
      <c r="C542" t="s">
        <v>337</v>
      </c>
      <c r="D542">
        <v>62359</v>
      </c>
      <c r="E542">
        <v>2</v>
      </c>
    </row>
    <row r="543">
      <c r="A543" t="s">
        <v>13</v>
      </c>
      <c r="B543" t="s">
        <v>222</v>
      </c>
      <c r="C543" t="s">
        <v>338</v>
      </c>
      <c r="D543">
        <v>74412</v>
      </c>
      <c r="E543">
        <v>3</v>
      </c>
    </row>
    <row r="544">
      <c r="A544" t="s">
        <v>24</v>
      </c>
      <c r="B544" t="s">
        <v>35</v>
      </c>
      <c r="C544" t="s">
        <v>338</v>
      </c>
      <c r="D544">
        <v>37468</v>
      </c>
      <c r="E544">
        <v>8</v>
      </c>
    </row>
    <row r="545">
      <c r="A545" t="s">
        <v>15</v>
      </c>
      <c r="B545" t="s">
        <v>79</v>
      </c>
      <c r="C545" t="s">
        <v>338</v>
      </c>
      <c r="D545">
        <v>80024</v>
      </c>
      <c r="E545">
        <v>8</v>
      </c>
    </row>
    <row r="546">
      <c r="A546" t="s">
        <v>21</v>
      </c>
      <c r="B546" t="s">
        <v>174</v>
      </c>
      <c r="C546" t="s">
        <v>338</v>
      </c>
      <c r="D546">
        <v>29277</v>
      </c>
      <c r="E546">
        <v>8</v>
      </c>
    </row>
    <row r="547">
      <c r="A547" t="s">
        <v>57</v>
      </c>
      <c r="B547" t="s">
        <v>299</v>
      </c>
      <c r="C547" t="s">
        <v>338</v>
      </c>
      <c r="D547">
        <v>74637</v>
      </c>
      <c r="E547">
        <v>6</v>
      </c>
    </row>
    <row r="548">
      <c r="A548" t="s">
        <v>8</v>
      </c>
      <c r="B548" t="s">
        <v>143</v>
      </c>
      <c r="C548" t="s">
        <v>338</v>
      </c>
      <c r="D548">
        <v>66287</v>
      </c>
      <c r="E548">
        <v>8</v>
      </c>
    </row>
    <row r="549">
      <c r="A549" t="s">
        <v>21</v>
      </c>
      <c r="B549" t="s">
        <v>257</v>
      </c>
      <c r="C549" t="s">
        <v>338</v>
      </c>
      <c r="D549">
        <v>59604</v>
      </c>
      <c r="E549">
        <v>7</v>
      </c>
    </row>
    <row r="550">
      <c r="A550" t="s">
        <v>47</v>
      </c>
      <c r="B550" t="s">
        <v>339</v>
      </c>
      <c r="C550" t="s">
        <v>340</v>
      </c>
      <c r="D550">
        <v>94982</v>
      </c>
      <c r="E550">
        <v>8</v>
      </c>
    </row>
    <row r="551">
      <c r="A551" t="s">
        <v>15</v>
      </c>
      <c r="B551" t="s">
        <v>160</v>
      </c>
      <c r="C551" t="s">
        <v>341</v>
      </c>
      <c r="D551">
        <v>98992</v>
      </c>
      <c r="E551">
        <v>8</v>
      </c>
    </row>
    <row r="552">
      <c r="A552" t="s">
        <v>13</v>
      </c>
      <c r="B552" t="s">
        <v>321</v>
      </c>
      <c r="C552" t="s">
        <v>341</v>
      </c>
      <c r="D552">
        <v>42491</v>
      </c>
      <c r="E552">
        <v>5</v>
      </c>
    </row>
    <row r="553">
      <c r="A553" t="s">
        <v>11</v>
      </c>
      <c r="B553" t="s">
        <v>65</v>
      </c>
      <c r="C553" t="s">
        <v>341</v>
      </c>
      <c r="D553">
        <v>57368</v>
      </c>
      <c r="E553">
        <v>2</v>
      </c>
    </row>
    <row r="554">
      <c r="A554" t="s">
        <v>5</v>
      </c>
      <c r="B554" t="s">
        <v>342</v>
      </c>
      <c r="C554" t="s">
        <v>343</v>
      </c>
      <c r="D554">
        <v>44529</v>
      </c>
      <c r="E554">
        <v>8</v>
      </c>
    </row>
    <row r="555">
      <c r="A555" t="s">
        <v>47</v>
      </c>
      <c r="B555" t="s">
        <v>119</v>
      </c>
      <c r="C555" t="s">
        <v>343</v>
      </c>
      <c r="D555">
        <v>18123</v>
      </c>
      <c r="E555">
        <v>6</v>
      </c>
    </row>
    <row r="556">
      <c r="A556" t="s">
        <v>5</v>
      </c>
      <c r="B556" t="s">
        <v>344</v>
      </c>
      <c r="C556" t="s">
        <v>345</v>
      </c>
      <c r="D556">
        <v>49419</v>
      </c>
      <c r="E556">
        <v>7</v>
      </c>
    </row>
    <row r="557">
      <c r="A557" t="s">
        <v>5</v>
      </c>
      <c r="B557" t="s">
        <v>116</v>
      </c>
      <c r="C557" t="s">
        <v>345</v>
      </c>
      <c r="D557">
        <v>92064</v>
      </c>
      <c r="E557">
        <v>8</v>
      </c>
    </row>
    <row r="558">
      <c r="A558" t="s">
        <v>17</v>
      </c>
      <c r="B558" t="s">
        <v>299</v>
      </c>
      <c r="C558" t="s">
        <v>346</v>
      </c>
      <c r="D558">
        <v>50386</v>
      </c>
      <c r="E558">
        <v>3</v>
      </c>
    </row>
    <row r="559">
      <c r="A559" t="s">
        <v>24</v>
      </c>
      <c r="B559" t="s">
        <v>108</v>
      </c>
      <c r="C559" t="s">
        <v>346</v>
      </c>
      <c r="D559">
        <v>89294</v>
      </c>
      <c r="E559">
        <v>3</v>
      </c>
    </row>
    <row r="560">
      <c r="A560" t="s">
        <v>15</v>
      </c>
      <c r="B560" t="s">
        <v>132</v>
      </c>
      <c r="C560" t="s">
        <v>346</v>
      </c>
      <c r="D560">
        <v>38213</v>
      </c>
      <c r="E560">
        <v>7</v>
      </c>
    </row>
    <row r="561">
      <c r="A561" t="s">
        <v>28</v>
      </c>
      <c r="B561" t="s">
        <v>158</v>
      </c>
      <c r="C561" t="s">
        <v>346</v>
      </c>
      <c r="D561">
        <v>40601</v>
      </c>
      <c r="E561">
        <v>8</v>
      </c>
    </row>
    <row r="562">
      <c r="A562" t="s">
        <v>11</v>
      </c>
      <c r="B562" t="s">
        <v>6</v>
      </c>
      <c r="C562" t="s">
        <v>346</v>
      </c>
      <c r="D562">
        <v>84358</v>
      </c>
      <c r="E562">
        <v>8</v>
      </c>
    </row>
    <row r="563">
      <c r="A563" t="s">
        <v>43</v>
      </c>
      <c r="B563" t="s">
        <v>49</v>
      </c>
      <c r="C563" t="s">
        <v>346</v>
      </c>
      <c r="D563">
        <v>99333</v>
      </c>
      <c r="E563">
        <v>2</v>
      </c>
    </row>
    <row r="564">
      <c r="A564" t="s">
        <v>28</v>
      </c>
      <c r="B564" t="s">
        <v>316</v>
      </c>
      <c r="C564" t="s">
        <v>346</v>
      </c>
      <c r="D564">
        <v>48533</v>
      </c>
      <c r="E564">
        <v>4</v>
      </c>
    </row>
    <row r="565">
      <c r="A565" t="s">
        <v>11</v>
      </c>
      <c r="B565" t="s">
        <v>96</v>
      </c>
      <c r="C565" t="s">
        <v>346</v>
      </c>
      <c r="D565">
        <v>17898</v>
      </c>
      <c r="E565">
        <v>6</v>
      </c>
    </row>
    <row r="566">
      <c r="A566" t="s">
        <v>57</v>
      </c>
      <c r="B566" t="s">
        <v>29</v>
      </c>
      <c r="C566" t="s">
        <v>347</v>
      </c>
      <c r="D566">
        <v>65234</v>
      </c>
      <c r="E566">
        <v>6</v>
      </c>
    </row>
    <row r="567">
      <c r="A567" t="s">
        <v>5</v>
      </c>
      <c r="B567" t="s">
        <v>189</v>
      </c>
      <c r="C567" t="s">
        <v>348</v>
      </c>
      <c r="D567">
        <v>65295</v>
      </c>
      <c r="E567">
        <v>8</v>
      </c>
    </row>
    <row r="568">
      <c r="A568" t="s">
        <v>15</v>
      </c>
      <c r="B568" t="s">
        <v>255</v>
      </c>
      <c r="C568" t="s">
        <v>348</v>
      </c>
      <c r="D568">
        <v>90081</v>
      </c>
      <c r="E568">
        <v>9</v>
      </c>
    </row>
    <row r="569">
      <c r="A569" t="s">
        <v>8</v>
      </c>
      <c r="B569" t="s">
        <v>225</v>
      </c>
      <c r="C569" t="s">
        <v>348</v>
      </c>
      <c r="D569">
        <v>96662</v>
      </c>
      <c r="E569">
        <v>9</v>
      </c>
    </row>
    <row r="570">
      <c r="A570" t="s">
        <v>47</v>
      </c>
      <c r="B570" t="s">
        <v>140</v>
      </c>
      <c r="C570" t="s">
        <v>349</v>
      </c>
      <c r="D570">
        <v>26682</v>
      </c>
      <c r="E570">
        <v>8</v>
      </c>
    </row>
    <row r="571">
      <c r="A571" t="s">
        <v>5</v>
      </c>
      <c r="B571" t="s">
        <v>98</v>
      </c>
      <c r="C571" t="s">
        <v>349</v>
      </c>
      <c r="D571">
        <v>59010</v>
      </c>
      <c r="E571">
        <v>9</v>
      </c>
    </row>
    <row r="572">
      <c r="A572" t="s">
        <v>47</v>
      </c>
      <c r="B572" t="s">
        <v>45</v>
      </c>
      <c r="C572" t="s">
        <v>350</v>
      </c>
      <c r="D572">
        <v>54974</v>
      </c>
      <c r="E572">
        <v>6</v>
      </c>
    </row>
    <row r="573">
      <c r="A573" t="s">
        <v>21</v>
      </c>
      <c r="B573" t="s">
        <v>44</v>
      </c>
      <c r="C573" t="s">
        <v>350</v>
      </c>
      <c r="D573">
        <v>59547</v>
      </c>
      <c r="E573">
        <v>7</v>
      </c>
    </row>
    <row r="574">
      <c r="A574" t="s">
        <v>43</v>
      </c>
      <c r="B574" t="s">
        <v>71</v>
      </c>
      <c r="C574" t="s">
        <v>350</v>
      </c>
      <c r="D574">
        <v>85480</v>
      </c>
      <c r="E574">
        <v>7</v>
      </c>
    </row>
    <row r="575">
      <c r="A575" t="s">
        <v>43</v>
      </c>
      <c r="B575" t="s">
        <v>103</v>
      </c>
      <c r="C575" t="s">
        <v>350</v>
      </c>
      <c r="D575">
        <v>96401</v>
      </c>
      <c r="E575">
        <v>2</v>
      </c>
    </row>
    <row r="576">
      <c r="A576" t="s">
        <v>8</v>
      </c>
      <c r="B576" t="s">
        <v>69</v>
      </c>
      <c r="C576" t="s">
        <v>350</v>
      </c>
      <c r="D576">
        <v>10102</v>
      </c>
      <c r="E576">
        <v>4</v>
      </c>
    </row>
    <row r="577">
      <c r="A577" t="s">
        <v>43</v>
      </c>
      <c r="B577" t="s">
        <v>56</v>
      </c>
      <c r="C577" t="s">
        <v>351</v>
      </c>
      <c r="D577">
        <v>54385</v>
      </c>
      <c r="E577">
        <v>7</v>
      </c>
    </row>
    <row r="578">
      <c r="A578" t="s">
        <v>28</v>
      </c>
      <c r="B578" t="s">
        <v>292</v>
      </c>
      <c r="C578" t="s">
        <v>351</v>
      </c>
      <c r="D578">
        <v>23577</v>
      </c>
      <c r="E578">
        <v>1</v>
      </c>
    </row>
    <row r="579">
      <c r="A579" t="s">
        <v>17</v>
      </c>
      <c r="B579" t="s">
        <v>151</v>
      </c>
      <c r="C579" t="s">
        <v>351</v>
      </c>
      <c r="D579">
        <v>90768</v>
      </c>
      <c r="E579">
        <v>5</v>
      </c>
    </row>
    <row r="580">
      <c r="A580" t="s">
        <v>57</v>
      </c>
      <c r="B580" t="s">
        <v>65</v>
      </c>
      <c r="C580" t="s">
        <v>351</v>
      </c>
      <c r="D580">
        <v>80559</v>
      </c>
      <c r="E580">
        <v>2</v>
      </c>
    </row>
    <row r="581">
      <c r="A581" t="s">
        <v>15</v>
      </c>
      <c r="B581" t="s">
        <v>185</v>
      </c>
      <c r="C581" t="s">
        <v>351</v>
      </c>
      <c r="D581">
        <v>22034</v>
      </c>
      <c r="E581">
        <v>8</v>
      </c>
    </row>
    <row r="582">
      <c r="A582" t="s">
        <v>5</v>
      </c>
      <c r="B582" t="s">
        <v>35</v>
      </c>
      <c r="C582" t="s">
        <v>351</v>
      </c>
      <c r="D582">
        <v>26156</v>
      </c>
      <c r="E582">
        <v>6</v>
      </c>
    </row>
    <row r="583">
      <c r="A583" t="s">
        <v>24</v>
      </c>
      <c r="B583" t="s">
        <v>265</v>
      </c>
      <c r="C583" t="s">
        <v>351</v>
      </c>
      <c r="D583">
        <v>88127</v>
      </c>
      <c r="E583">
        <v>4</v>
      </c>
    </row>
    <row r="584">
      <c r="A584" t="s">
        <v>8</v>
      </c>
      <c r="B584" t="s">
        <v>59</v>
      </c>
      <c r="C584" t="s">
        <v>351</v>
      </c>
      <c r="D584">
        <v>84215</v>
      </c>
      <c r="E584">
        <v>8</v>
      </c>
    </row>
    <row r="585">
      <c r="A585" t="s">
        <v>21</v>
      </c>
      <c r="B585" t="s">
        <v>218</v>
      </c>
      <c r="C585" t="s">
        <v>351</v>
      </c>
      <c r="D585">
        <v>50112</v>
      </c>
      <c r="E585">
        <v>7</v>
      </c>
    </row>
    <row r="586">
      <c r="A586" t="s">
        <v>5</v>
      </c>
      <c r="B586" t="s">
        <v>99</v>
      </c>
      <c r="C586" t="s">
        <v>351</v>
      </c>
      <c r="D586">
        <v>36775</v>
      </c>
      <c r="E586">
        <v>6</v>
      </c>
    </row>
    <row r="587">
      <c r="A587" t="s">
        <v>21</v>
      </c>
      <c r="B587" t="s">
        <v>321</v>
      </c>
      <c r="C587" t="s">
        <v>352</v>
      </c>
      <c r="D587">
        <v>53684</v>
      </c>
      <c r="E587">
        <v>7</v>
      </c>
    </row>
    <row r="588">
      <c r="A588" t="s">
        <v>21</v>
      </c>
      <c r="B588" t="s">
        <v>98</v>
      </c>
      <c r="C588" t="s">
        <v>353</v>
      </c>
      <c r="D588">
        <v>90115</v>
      </c>
      <c r="E588">
        <v>3</v>
      </c>
    </row>
    <row r="589">
      <c r="A589" t="s">
        <v>43</v>
      </c>
      <c r="B589" t="s">
        <v>186</v>
      </c>
      <c r="C589" t="s">
        <v>353</v>
      </c>
      <c r="D589">
        <v>67380</v>
      </c>
      <c r="E589">
        <v>2</v>
      </c>
    </row>
    <row r="590">
      <c r="A590" t="s">
        <v>21</v>
      </c>
      <c r="B590" t="s">
        <v>151</v>
      </c>
      <c r="C590" t="s">
        <v>353</v>
      </c>
      <c r="D590">
        <v>82034</v>
      </c>
      <c r="E590">
        <v>7</v>
      </c>
    </row>
    <row r="591">
      <c r="A591" t="s">
        <v>15</v>
      </c>
      <c r="B591" t="s">
        <v>186</v>
      </c>
      <c r="C591" t="s">
        <v>353</v>
      </c>
      <c r="D591">
        <v>66579</v>
      </c>
      <c r="E591">
        <v>7</v>
      </c>
    </row>
    <row r="592">
      <c r="A592" t="s">
        <v>21</v>
      </c>
      <c r="B592" t="s">
        <v>30</v>
      </c>
      <c r="C592" t="s">
        <v>353</v>
      </c>
      <c r="D592">
        <v>94057</v>
      </c>
      <c r="E592">
        <v>4</v>
      </c>
    </row>
    <row r="593">
      <c r="A593" t="s">
        <v>47</v>
      </c>
      <c r="B593" t="s">
        <v>42</v>
      </c>
      <c r="C593" t="s">
        <v>354</v>
      </c>
      <c r="D593">
        <v>33711</v>
      </c>
      <c r="E593">
        <v>4</v>
      </c>
    </row>
    <row r="594">
      <c r="A594" t="s">
        <v>11</v>
      </c>
      <c r="B594" t="s">
        <v>77</v>
      </c>
      <c r="C594" t="s">
        <v>355</v>
      </c>
      <c r="D594">
        <v>74564</v>
      </c>
      <c r="E594">
        <v>8</v>
      </c>
    </row>
    <row r="595">
      <c r="A595" t="s">
        <v>5</v>
      </c>
      <c r="B595" t="s">
        <v>92</v>
      </c>
      <c r="C595" t="s">
        <v>355</v>
      </c>
      <c r="D595">
        <v>16608</v>
      </c>
      <c r="E595">
        <v>5</v>
      </c>
    </row>
    <row r="596">
      <c r="A596" t="s">
        <v>15</v>
      </c>
      <c r="B596" t="s">
        <v>25</v>
      </c>
      <c r="C596" t="s">
        <v>356</v>
      </c>
      <c r="D596">
        <v>59556</v>
      </c>
      <c r="E596">
        <v>4</v>
      </c>
    </row>
    <row r="597">
      <c r="A597" t="s">
        <v>24</v>
      </c>
      <c r="B597" t="s">
        <v>265</v>
      </c>
      <c r="C597" t="s">
        <v>356</v>
      </c>
      <c r="D597">
        <v>22828</v>
      </c>
      <c r="E597">
        <v>4</v>
      </c>
    </row>
    <row r="598">
      <c r="A598" t="s">
        <v>28</v>
      </c>
      <c r="B598" t="s">
        <v>222</v>
      </c>
      <c r="C598" t="s">
        <v>356</v>
      </c>
      <c r="D598">
        <v>20133</v>
      </c>
      <c r="E598">
        <v>3</v>
      </c>
    </row>
    <row r="599">
      <c r="A599" t="s">
        <v>24</v>
      </c>
      <c r="B599" t="s">
        <v>250</v>
      </c>
      <c r="C599" t="s">
        <v>356</v>
      </c>
      <c r="D599">
        <v>85434</v>
      </c>
      <c r="E599">
        <v>5</v>
      </c>
    </row>
    <row r="600">
      <c r="A600" t="s">
        <v>8</v>
      </c>
      <c r="B600" t="s">
        <v>215</v>
      </c>
      <c r="C600" t="s">
        <v>356</v>
      </c>
      <c r="D600">
        <v>52095</v>
      </c>
      <c r="E600">
        <v>5</v>
      </c>
    </row>
    <row r="601">
      <c r="A601" t="s">
        <v>5</v>
      </c>
      <c r="B601" t="s">
        <v>189</v>
      </c>
      <c r="C601" t="s">
        <v>357</v>
      </c>
      <c r="D601">
        <v>66976</v>
      </c>
      <c r="E601">
        <v>6</v>
      </c>
    </row>
    <row r="602">
      <c r="A602" t="s">
        <v>43</v>
      </c>
      <c r="B602" t="s">
        <v>185</v>
      </c>
      <c r="C602" t="s">
        <v>358</v>
      </c>
      <c r="D602">
        <v>54784</v>
      </c>
      <c r="E602">
        <v>9</v>
      </c>
    </row>
    <row r="603">
      <c r="A603" t="s">
        <v>57</v>
      </c>
      <c r="B603" t="s">
        <v>273</v>
      </c>
      <c r="C603" t="s">
        <v>358</v>
      </c>
      <c r="D603">
        <v>57091</v>
      </c>
      <c r="E603">
        <v>6</v>
      </c>
    </row>
    <row r="604">
      <c r="A604" t="s">
        <v>57</v>
      </c>
      <c r="B604" t="s">
        <v>92</v>
      </c>
      <c r="C604" t="s">
        <v>358</v>
      </c>
      <c r="D604">
        <v>89404</v>
      </c>
      <c r="E604">
        <v>5</v>
      </c>
    </row>
    <row r="605">
      <c r="A605" t="s">
        <v>17</v>
      </c>
      <c r="B605" t="s">
        <v>172</v>
      </c>
      <c r="C605" t="s">
        <v>359</v>
      </c>
      <c r="D605">
        <v>33248</v>
      </c>
      <c r="E605">
        <v>6</v>
      </c>
    </row>
    <row r="606">
      <c r="A606" t="s">
        <v>15</v>
      </c>
      <c r="B606" t="s">
        <v>147</v>
      </c>
      <c r="C606" t="s">
        <v>360</v>
      </c>
      <c r="D606">
        <v>11032</v>
      </c>
      <c r="E606">
        <v>7</v>
      </c>
    </row>
    <row r="607">
      <c r="A607" t="s">
        <v>8</v>
      </c>
      <c r="B607" t="s">
        <v>339</v>
      </c>
      <c r="C607" t="s">
        <v>360</v>
      </c>
      <c r="D607">
        <v>41716</v>
      </c>
      <c r="E607">
        <v>8</v>
      </c>
    </row>
    <row r="608">
      <c r="A608" t="s">
        <v>17</v>
      </c>
      <c r="B608" t="s">
        <v>151</v>
      </c>
      <c r="C608" t="s">
        <v>360</v>
      </c>
      <c r="D608">
        <v>76398</v>
      </c>
      <c r="E608">
        <v>10</v>
      </c>
    </row>
    <row r="609">
      <c r="A609" t="s">
        <v>8</v>
      </c>
      <c r="B609" t="s">
        <v>106</v>
      </c>
      <c r="C609" t="s">
        <v>361</v>
      </c>
      <c r="D609">
        <v>39547</v>
      </c>
      <c r="E609">
        <v>7</v>
      </c>
    </row>
    <row r="610">
      <c r="A610" t="s">
        <v>47</v>
      </c>
      <c r="B610" t="s">
        <v>171</v>
      </c>
      <c r="C610" t="s">
        <v>361</v>
      </c>
      <c r="D610">
        <v>26753</v>
      </c>
      <c r="E610">
        <v>8</v>
      </c>
    </row>
    <row r="611">
      <c r="A611" t="s">
        <v>24</v>
      </c>
      <c r="B611" t="s">
        <v>362</v>
      </c>
      <c r="C611" t="s">
        <v>361</v>
      </c>
      <c r="D611">
        <v>44999</v>
      </c>
      <c r="E611">
        <v>8</v>
      </c>
    </row>
    <row r="612">
      <c r="A612" t="s">
        <v>5</v>
      </c>
      <c r="B612" t="s">
        <v>99</v>
      </c>
      <c r="C612" t="s">
        <v>361</v>
      </c>
      <c r="D612">
        <v>52558</v>
      </c>
      <c r="E612">
        <v>6</v>
      </c>
    </row>
    <row r="613">
      <c r="A613" t="s">
        <v>21</v>
      </c>
      <c r="B613" t="s">
        <v>215</v>
      </c>
      <c r="C613" t="s">
        <v>361</v>
      </c>
      <c r="D613">
        <v>96408</v>
      </c>
      <c r="E613">
        <v>2</v>
      </c>
    </row>
    <row r="614">
      <c r="A614" t="s">
        <v>17</v>
      </c>
      <c r="B614" t="s">
        <v>344</v>
      </c>
      <c r="C614" t="s">
        <v>361</v>
      </c>
      <c r="D614">
        <v>21375</v>
      </c>
      <c r="E614">
        <v>5</v>
      </c>
    </row>
    <row r="615">
      <c r="A615" t="s">
        <v>28</v>
      </c>
      <c r="B615" t="s">
        <v>135</v>
      </c>
      <c r="C615" t="s">
        <v>361</v>
      </c>
      <c r="D615">
        <v>78633</v>
      </c>
      <c r="E615">
        <v>6</v>
      </c>
    </row>
    <row r="616">
      <c r="A616" t="s">
        <v>47</v>
      </c>
      <c r="B616" t="s">
        <v>284</v>
      </c>
      <c r="C616" t="s">
        <v>361</v>
      </c>
      <c r="D616">
        <v>49459</v>
      </c>
      <c r="E616">
        <v>4</v>
      </c>
    </row>
    <row r="617">
      <c r="A617" t="s">
        <v>47</v>
      </c>
      <c r="B617" t="s">
        <v>363</v>
      </c>
      <c r="C617" t="s">
        <v>361</v>
      </c>
      <c r="D617">
        <v>15284</v>
      </c>
      <c r="E617">
        <v>8</v>
      </c>
    </row>
    <row r="618">
      <c r="A618" t="s">
        <v>13</v>
      </c>
      <c r="B618" t="s">
        <v>49</v>
      </c>
      <c r="C618" t="s">
        <v>361</v>
      </c>
      <c r="D618">
        <v>36473</v>
      </c>
      <c r="E618">
        <v>10</v>
      </c>
    </row>
    <row r="619">
      <c r="A619" t="s">
        <v>28</v>
      </c>
      <c r="B619" t="s">
        <v>19</v>
      </c>
      <c r="C619" t="s">
        <v>364</v>
      </c>
      <c r="D619">
        <v>91661</v>
      </c>
      <c r="E619">
        <v>10</v>
      </c>
    </row>
    <row r="620">
      <c r="A620" t="s">
        <v>21</v>
      </c>
      <c r="B620" t="s">
        <v>365</v>
      </c>
      <c r="C620" t="s">
        <v>364</v>
      </c>
      <c r="D620">
        <v>35725</v>
      </c>
      <c r="E620">
        <v>7</v>
      </c>
    </row>
    <row r="621">
      <c r="A621" t="s">
        <v>15</v>
      </c>
      <c r="B621" t="s">
        <v>98</v>
      </c>
      <c r="C621" t="s">
        <v>364</v>
      </c>
      <c r="D621">
        <v>38808</v>
      </c>
      <c r="E621">
        <v>7</v>
      </c>
    </row>
    <row r="622">
      <c r="A622" t="s">
        <v>11</v>
      </c>
      <c r="B622" t="s">
        <v>137</v>
      </c>
      <c r="C622" t="s">
        <v>366</v>
      </c>
      <c r="D622">
        <v>87746</v>
      </c>
      <c r="E622">
        <v>6</v>
      </c>
    </row>
    <row r="623">
      <c r="A623" t="s">
        <v>11</v>
      </c>
      <c r="B623" t="s">
        <v>140</v>
      </c>
      <c r="C623" t="s">
        <v>366</v>
      </c>
      <c r="D623">
        <v>48556</v>
      </c>
      <c r="E623">
        <v>8</v>
      </c>
    </row>
    <row r="624">
      <c r="A624" t="s">
        <v>28</v>
      </c>
      <c r="B624" t="s">
        <v>123</v>
      </c>
      <c r="C624" t="s">
        <v>367</v>
      </c>
      <c r="D624">
        <v>74459</v>
      </c>
      <c r="E624">
        <v>10</v>
      </c>
    </row>
    <row r="625">
      <c r="A625" t="s">
        <v>47</v>
      </c>
      <c r="B625" t="s">
        <v>189</v>
      </c>
      <c r="C625" t="s">
        <v>367</v>
      </c>
      <c r="D625">
        <v>75182</v>
      </c>
      <c r="E625">
        <v>10</v>
      </c>
    </row>
    <row r="626">
      <c r="A626" t="s">
        <v>24</v>
      </c>
      <c r="B626" t="s">
        <v>223</v>
      </c>
      <c r="C626" t="s">
        <v>367</v>
      </c>
      <c r="D626">
        <v>18893</v>
      </c>
      <c r="E626">
        <v>8</v>
      </c>
    </row>
    <row r="627">
      <c r="A627" t="s">
        <v>57</v>
      </c>
      <c r="B627" t="s">
        <v>78</v>
      </c>
      <c r="C627" t="s">
        <v>367</v>
      </c>
      <c r="D627">
        <v>81450</v>
      </c>
      <c r="E627">
        <v>6</v>
      </c>
    </row>
    <row r="628">
      <c r="A628" t="s">
        <v>47</v>
      </c>
      <c r="B628" t="s">
        <v>26</v>
      </c>
      <c r="C628" t="s">
        <v>368</v>
      </c>
      <c r="D628">
        <v>95163</v>
      </c>
      <c r="E628">
        <v>3</v>
      </c>
    </row>
    <row r="629">
      <c r="A629" t="s">
        <v>15</v>
      </c>
      <c r="B629" t="s">
        <v>116</v>
      </c>
      <c r="C629" t="s">
        <v>368</v>
      </c>
      <c r="D629">
        <v>83253</v>
      </c>
      <c r="E629">
        <v>8</v>
      </c>
    </row>
    <row r="630">
      <c r="A630" t="s">
        <v>17</v>
      </c>
      <c r="B630" t="s">
        <v>148</v>
      </c>
      <c r="C630" t="s">
        <v>368</v>
      </c>
      <c r="D630">
        <v>82945</v>
      </c>
      <c r="E630">
        <v>7</v>
      </c>
    </row>
    <row r="631">
      <c r="A631" t="s">
        <v>24</v>
      </c>
      <c r="B631" t="s">
        <v>56</v>
      </c>
      <c r="C631" t="s">
        <v>368</v>
      </c>
      <c r="D631">
        <v>80642</v>
      </c>
      <c r="E631">
        <v>2</v>
      </c>
    </row>
    <row r="632">
      <c r="A632" t="s">
        <v>47</v>
      </c>
      <c r="B632" t="s">
        <v>256</v>
      </c>
      <c r="C632" t="s">
        <v>369</v>
      </c>
      <c r="D632">
        <v>27806</v>
      </c>
      <c r="E632">
        <v>6</v>
      </c>
    </row>
    <row r="633">
      <c r="A633" t="s">
        <v>13</v>
      </c>
      <c r="B633" t="s">
        <v>102</v>
      </c>
      <c r="C633" t="s">
        <v>369</v>
      </c>
      <c r="D633">
        <v>45598</v>
      </c>
      <c r="E633">
        <v>4</v>
      </c>
    </row>
    <row r="634">
      <c r="A634" t="s">
        <v>28</v>
      </c>
      <c r="B634" t="s">
        <v>44</v>
      </c>
      <c r="C634" t="s">
        <v>369</v>
      </c>
      <c r="D634">
        <v>85782</v>
      </c>
      <c r="E634">
        <v>4</v>
      </c>
    </row>
    <row r="635">
      <c r="A635" t="s">
        <v>43</v>
      </c>
      <c r="B635" t="s">
        <v>58</v>
      </c>
      <c r="C635" t="s">
        <v>369</v>
      </c>
      <c r="D635">
        <v>86602</v>
      </c>
      <c r="E635">
        <v>8</v>
      </c>
    </row>
    <row r="636">
      <c r="A636" t="s">
        <v>47</v>
      </c>
      <c r="B636" t="s">
        <v>370</v>
      </c>
      <c r="C636" t="s">
        <v>369</v>
      </c>
      <c r="D636">
        <v>29163</v>
      </c>
      <c r="E636">
        <v>4</v>
      </c>
    </row>
    <row r="637">
      <c r="A637" t="s">
        <v>8</v>
      </c>
      <c r="B637" t="s">
        <v>95</v>
      </c>
      <c r="C637" t="s">
        <v>369</v>
      </c>
      <c r="D637">
        <v>46291</v>
      </c>
      <c r="E637">
        <v>7</v>
      </c>
    </row>
    <row r="638">
      <c r="A638" t="s">
        <v>5</v>
      </c>
      <c r="B638" t="s">
        <v>131</v>
      </c>
      <c r="C638" t="s">
        <v>369</v>
      </c>
      <c r="D638">
        <v>82592</v>
      </c>
      <c r="E638">
        <v>1</v>
      </c>
    </row>
    <row r="639">
      <c r="A639" t="s">
        <v>43</v>
      </c>
      <c r="B639" t="s">
        <v>250</v>
      </c>
      <c r="C639" t="s">
        <v>369</v>
      </c>
      <c r="D639">
        <v>91626</v>
      </c>
      <c r="E639">
        <v>9</v>
      </c>
    </row>
    <row r="640">
      <c r="A640" t="s">
        <v>47</v>
      </c>
      <c r="B640" t="s">
        <v>223</v>
      </c>
      <c r="C640" t="s">
        <v>369</v>
      </c>
      <c r="D640">
        <v>12442</v>
      </c>
      <c r="E640">
        <v>2</v>
      </c>
    </row>
    <row r="641">
      <c r="A641" t="s">
        <v>13</v>
      </c>
      <c r="B641" t="s">
        <v>161</v>
      </c>
      <c r="C641" t="s">
        <v>371</v>
      </c>
      <c r="D641">
        <v>70937</v>
      </c>
      <c r="E641">
        <v>7</v>
      </c>
    </row>
    <row r="642">
      <c r="A642" t="s">
        <v>47</v>
      </c>
      <c r="B642" t="s">
        <v>12</v>
      </c>
      <c r="C642" t="s">
        <v>371</v>
      </c>
      <c r="D642">
        <v>58338</v>
      </c>
      <c r="E642">
        <v>6</v>
      </c>
    </row>
    <row r="643">
      <c r="A643" t="s">
        <v>11</v>
      </c>
      <c r="B643" t="s">
        <v>73</v>
      </c>
      <c r="C643" t="s">
        <v>371</v>
      </c>
      <c r="D643">
        <v>44940</v>
      </c>
      <c r="E643">
        <v>7</v>
      </c>
    </row>
    <row r="644">
      <c r="A644" t="s">
        <v>21</v>
      </c>
      <c r="B644" t="s">
        <v>85</v>
      </c>
      <c r="C644" t="s">
        <v>372</v>
      </c>
      <c r="D644">
        <v>98322</v>
      </c>
      <c r="E644">
        <v>5</v>
      </c>
    </row>
    <row r="645">
      <c r="A645" t="s">
        <v>47</v>
      </c>
      <c r="B645" t="s">
        <v>186</v>
      </c>
      <c r="C645" t="s">
        <v>372</v>
      </c>
      <c r="D645">
        <v>38740</v>
      </c>
      <c r="E645">
        <v>6</v>
      </c>
    </row>
    <row r="646">
      <c r="A646" t="s">
        <v>24</v>
      </c>
      <c r="B646" t="s">
        <v>118</v>
      </c>
      <c r="C646" t="s">
        <v>372</v>
      </c>
      <c r="D646">
        <v>13425</v>
      </c>
      <c r="E646">
        <v>9</v>
      </c>
    </row>
    <row r="647">
      <c r="A647" t="s">
        <v>15</v>
      </c>
      <c r="B647" t="s">
        <v>288</v>
      </c>
      <c r="C647" t="s">
        <v>372</v>
      </c>
      <c r="D647">
        <v>23041</v>
      </c>
      <c r="E647">
        <v>6</v>
      </c>
    </row>
    <row r="648">
      <c r="A648" t="s">
        <v>15</v>
      </c>
      <c r="B648" t="s">
        <v>160</v>
      </c>
      <c r="C648" t="s">
        <v>372</v>
      </c>
      <c r="D648">
        <v>67966</v>
      </c>
      <c r="E648">
        <v>10</v>
      </c>
    </row>
    <row r="649">
      <c r="A649" t="s">
        <v>57</v>
      </c>
      <c r="B649" t="s">
        <v>108</v>
      </c>
      <c r="C649" t="s">
        <v>373</v>
      </c>
      <c r="D649">
        <v>45041</v>
      </c>
      <c r="E649">
        <v>7</v>
      </c>
    </row>
    <row r="650">
      <c r="A650" t="s">
        <v>13</v>
      </c>
      <c r="B650" t="s">
        <v>172</v>
      </c>
      <c r="C650" t="s">
        <v>373</v>
      </c>
      <c r="D650">
        <v>41689</v>
      </c>
      <c r="E650">
        <v>5</v>
      </c>
    </row>
    <row r="651">
      <c r="A651" t="s">
        <v>5</v>
      </c>
      <c r="B651" t="s">
        <v>374</v>
      </c>
      <c r="C651" t="s">
        <v>373</v>
      </c>
      <c r="D651">
        <v>13819</v>
      </c>
      <c r="E651">
        <v>7</v>
      </c>
    </row>
    <row r="652">
      <c r="A652" t="s">
        <v>11</v>
      </c>
      <c r="B652" t="s">
        <v>263</v>
      </c>
      <c r="C652" t="s">
        <v>375</v>
      </c>
      <c r="D652">
        <v>58582</v>
      </c>
      <c r="E652">
        <v>0</v>
      </c>
    </row>
    <row r="653">
      <c r="A653" t="s">
        <v>15</v>
      </c>
      <c r="B653" t="s">
        <v>138</v>
      </c>
      <c r="C653" t="s">
        <v>375</v>
      </c>
      <c r="D653">
        <v>27539</v>
      </c>
      <c r="E653">
        <v>7</v>
      </c>
    </row>
    <row r="654">
      <c r="A654" t="s">
        <v>5</v>
      </c>
      <c r="B654" t="s">
        <v>65</v>
      </c>
      <c r="C654" t="s">
        <v>375</v>
      </c>
      <c r="D654">
        <v>48048</v>
      </c>
      <c r="E654">
        <v>8</v>
      </c>
    </row>
    <row r="655">
      <c r="A655" t="s">
        <v>17</v>
      </c>
      <c r="B655" t="s">
        <v>153</v>
      </c>
      <c r="C655" t="s">
        <v>375</v>
      </c>
      <c r="D655">
        <v>11044</v>
      </c>
      <c r="E655">
        <v>6</v>
      </c>
    </row>
    <row r="656">
      <c r="A656" t="s">
        <v>57</v>
      </c>
      <c r="B656" t="s">
        <v>252</v>
      </c>
      <c r="C656" t="s">
        <v>375</v>
      </c>
      <c r="D656">
        <v>77221</v>
      </c>
      <c r="E656">
        <v>7</v>
      </c>
    </row>
    <row r="657">
      <c r="A657" t="s">
        <v>24</v>
      </c>
      <c r="B657" t="s">
        <v>117</v>
      </c>
      <c r="C657" t="s">
        <v>376</v>
      </c>
      <c r="D657">
        <v>19960</v>
      </c>
      <c r="E657">
        <v>6</v>
      </c>
    </row>
    <row r="658">
      <c r="A658" t="s">
        <v>8</v>
      </c>
      <c r="B658" t="s">
        <v>207</v>
      </c>
      <c r="C658" t="s">
        <v>376</v>
      </c>
      <c r="D658">
        <v>76731</v>
      </c>
      <c r="E658">
        <v>5</v>
      </c>
    </row>
    <row r="659">
      <c r="A659" t="s">
        <v>11</v>
      </c>
      <c r="B659" t="s">
        <v>100</v>
      </c>
      <c r="C659" t="s">
        <v>376</v>
      </c>
      <c r="D659">
        <v>99000</v>
      </c>
      <c r="E659">
        <v>7</v>
      </c>
    </row>
    <row r="660">
      <c r="A660" t="s">
        <v>28</v>
      </c>
      <c r="B660" t="s">
        <v>174</v>
      </c>
      <c r="C660" t="s">
        <v>376</v>
      </c>
      <c r="D660">
        <v>67712</v>
      </c>
      <c r="E660">
        <v>7</v>
      </c>
    </row>
    <row r="661">
      <c r="A661" t="s">
        <v>21</v>
      </c>
      <c r="B661" t="s">
        <v>147</v>
      </c>
      <c r="C661" t="s">
        <v>376</v>
      </c>
      <c r="D661">
        <v>56566</v>
      </c>
      <c r="E661">
        <v>9</v>
      </c>
    </row>
    <row r="662">
      <c r="A662" t="s">
        <v>15</v>
      </c>
      <c r="B662" t="s">
        <v>248</v>
      </c>
      <c r="C662" t="s">
        <v>376</v>
      </c>
      <c r="D662">
        <v>83221</v>
      </c>
      <c r="E662">
        <v>7</v>
      </c>
    </row>
    <row r="663">
      <c r="A663" t="s">
        <v>57</v>
      </c>
      <c r="B663" t="s">
        <v>174</v>
      </c>
      <c r="C663" t="s">
        <v>376</v>
      </c>
      <c r="D663">
        <v>50653</v>
      </c>
      <c r="E663">
        <v>5</v>
      </c>
    </row>
    <row r="664">
      <c r="A664" t="s">
        <v>21</v>
      </c>
      <c r="B664" t="s">
        <v>99</v>
      </c>
      <c r="C664" t="s">
        <v>376</v>
      </c>
      <c r="D664">
        <v>37814</v>
      </c>
      <c r="E664">
        <v>5</v>
      </c>
    </row>
    <row r="665">
      <c r="A665" t="s">
        <v>43</v>
      </c>
      <c r="B665" t="s">
        <v>75</v>
      </c>
      <c r="C665" t="s">
        <v>376</v>
      </c>
      <c r="D665">
        <v>32907</v>
      </c>
      <c r="E665">
        <v>9</v>
      </c>
    </row>
    <row r="666">
      <c r="A666" t="s">
        <v>11</v>
      </c>
      <c r="B666" t="s">
        <v>258</v>
      </c>
      <c r="C666" t="s">
        <v>377</v>
      </c>
      <c r="D666">
        <v>83472</v>
      </c>
      <c r="E666">
        <v>8</v>
      </c>
    </row>
    <row r="667">
      <c r="A667" t="s">
        <v>15</v>
      </c>
      <c r="B667" t="s">
        <v>103</v>
      </c>
      <c r="C667" t="s">
        <v>377</v>
      </c>
      <c r="D667">
        <v>92668</v>
      </c>
      <c r="E667">
        <v>9</v>
      </c>
    </row>
    <row r="668">
      <c r="A668" t="s">
        <v>21</v>
      </c>
      <c r="B668" t="s">
        <v>30</v>
      </c>
      <c r="C668" t="s">
        <v>377</v>
      </c>
      <c r="D668">
        <v>23790</v>
      </c>
      <c r="E668">
        <v>6</v>
      </c>
    </row>
    <row r="669">
      <c r="A669" t="s">
        <v>8</v>
      </c>
      <c r="B669" t="s">
        <v>48</v>
      </c>
      <c r="C669" t="s">
        <v>377</v>
      </c>
      <c r="D669">
        <v>39393</v>
      </c>
      <c r="E669">
        <v>9</v>
      </c>
    </row>
    <row r="670">
      <c r="A670" t="s">
        <v>15</v>
      </c>
      <c r="B670" t="s">
        <v>310</v>
      </c>
      <c r="C670" t="s">
        <v>377</v>
      </c>
      <c r="D670">
        <v>95944</v>
      </c>
      <c r="E670">
        <v>7</v>
      </c>
    </row>
    <row r="671">
      <c r="A671" t="s">
        <v>28</v>
      </c>
      <c r="B671" t="s">
        <v>63</v>
      </c>
      <c r="C671" t="s">
        <v>377</v>
      </c>
      <c r="D671">
        <v>55704</v>
      </c>
      <c r="E671">
        <v>4</v>
      </c>
    </row>
    <row r="672">
      <c r="A672" t="s">
        <v>5</v>
      </c>
      <c r="B672" t="s">
        <v>123</v>
      </c>
      <c r="C672" t="s">
        <v>378</v>
      </c>
      <c r="D672">
        <v>75449</v>
      </c>
      <c r="E672">
        <v>6</v>
      </c>
    </row>
    <row r="673">
      <c r="A673" t="s">
        <v>11</v>
      </c>
      <c r="B673" t="s">
        <v>291</v>
      </c>
      <c r="C673" t="s">
        <v>378</v>
      </c>
      <c r="D673">
        <v>71932</v>
      </c>
      <c r="E673">
        <v>3</v>
      </c>
    </row>
    <row r="674">
      <c r="A674" t="s">
        <v>57</v>
      </c>
      <c r="B674" t="s">
        <v>118</v>
      </c>
      <c r="C674" t="s">
        <v>378</v>
      </c>
      <c r="D674">
        <v>28914</v>
      </c>
      <c r="E674">
        <v>6</v>
      </c>
    </row>
    <row r="675">
      <c r="A675" t="s">
        <v>13</v>
      </c>
      <c r="B675" t="s">
        <v>239</v>
      </c>
      <c r="C675" t="s">
        <v>379</v>
      </c>
      <c r="D675">
        <v>54324</v>
      </c>
      <c r="E675">
        <v>7</v>
      </c>
    </row>
    <row r="676">
      <c r="A676" t="s">
        <v>47</v>
      </c>
      <c r="B676" t="s">
        <v>265</v>
      </c>
      <c r="C676" t="s">
        <v>380</v>
      </c>
      <c r="D676">
        <v>78709</v>
      </c>
      <c r="E676">
        <v>6</v>
      </c>
    </row>
    <row r="677">
      <c r="A677" t="s">
        <v>47</v>
      </c>
      <c r="B677" t="s">
        <v>185</v>
      </c>
      <c r="C677" t="s">
        <v>380</v>
      </c>
      <c r="D677">
        <v>50038</v>
      </c>
      <c r="E677">
        <v>4</v>
      </c>
    </row>
    <row r="678">
      <c r="A678" t="s">
        <v>57</v>
      </c>
      <c r="B678" t="s">
        <v>185</v>
      </c>
      <c r="C678" t="s">
        <v>381</v>
      </c>
      <c r="D678">
        <v>99607</v>
      </c>
      <c r="E678">
        <v>4</v>
      </c>
    </row>
    <row r="679">
      <c r="A679" t="s">
        <v>47</v>
      </c>
      <c r="B679" t="s">
        <v>92</v>
      </c>
      <c r="C679" t="s">
        <v>381</v>
      </c>
      <c r="D679">
        <v>72568</v>
      </c>
      <c r="E679">
        <v>8</v>
      </c>
    </row>
    <row r="680">
      <c r="A680" t="s">
        <v>17</v>
      </c>
      <c r="B680" t="s">
        <v>101</v>
      </c>
      <c r="C680" t="s">
        <v>381</v>
      </c>
      <c r="D680">
        <v>52161</v>
      </c>
      <c r="E680">
        <v>9</v>
      </c>
    </row>
    <row r="681">
      <c r="A681" t="s">
        <v>57</v>
      </c>
      <c r="B681" t="s">
        <v>382</v>
      </c>
      <c r="C681" t="s">
        <v>381</v>
      </c>
      <c r="D681">
        <v>98237</v>
      </c>
      <c r="E681">
        <v>6</v>
      </c>
    </row>
    <row r="682">
      <c r="A682" t="s">
        <v>11</v>
      </c>
      <c r="B682" t="s">
        <v>204</v>
      </c>
      <c r="C682" t="s">
        <v>381</v>
      </c>
      <c r="D682">
        <v>52619</v>
      </c>
      <c r="E682">
        <v>7</v>
      </c>
    </row>
    <row r="683">
      <c r="A683" t="s">
        <v>17</v>
      </c>
      <c r="B683" t="s">
        <v>137</v>
      </c>
      <c r="C683" t="s">
        <v>381</v>
      </c>
      <c r="D683">
        <v>18719</v>
      </c>
      <c r="E683">
        <v>6</v>
      </c>
    </row>
    <row r="684">
      <c r="A684" t="s">
        <v>5</v>
      </c>
      <c r="B684" t="s">
        <v>237</v>
      </c>
      <c r="C684" t="s">
        <v>381</v>
      </c>
      <c r="D684">
        <v>83615</v>
      </c>
      <c r="E684">
        <v>4</v>
      </c>
    </row>
    <row r="685">
      <c r="A685" t="s">
        <v>15</v>
      </c>
      <c r="B685" t="s">
        <v>383</v>
      </c>
      <c r="C685" t="s">
        <v>384</v>
      </c>
      <c r="D685">
        <v>99096</v>
      </c>
      <c r="E685">
        <v>3</v>
      </c>
    </row>
    <row r="686">
      <c r="A686" t="s">
        <v>43</v>
      </c>
      <c r="B686" t="s">
        <v>207</v>
      </c>
      <c r="C686" t="s">
        <v>384</v>
      </c>
      <c r="D686">
        <v>84635</v>
      </c>
      <c r="E686">
        <v>9</v>
      </c>
    </row>
    <row r="687">
      <c r="A687" t="s">
        <v>5</v>
      </c>
      <c r="B687" t="s">
        <v>105</v>
      </c>
      <c r="C687" t="s">
        <v>384</v>
      </c>
      <c r="D687">
        <v>29970</v>
      </c>
      <c r="E687">
        <v>5</v>
      </c>
    </row>
    <row r="688">
      <c r="A688" t="s">
        <v>17</v>
      </c>
      <c r="B688" t="s">
        <v>30</v>
      </c>
      <c r="C688" t="s">
        <v>384</v>
      </c>
      <c r="D688">
        <v>17640</v>
      </c>
      <c r="E688">
        <v>4</v>
      </c>
    </row>
    <row r="689">
      <c r="A689" t="s">
        <v>28</v>
      </c>
      <c r="B689" t="s">
        <v>241</v>
      </c>
      <c r="C689" t="s">
        <v>385</v>
      </c>
      <c r="D689">
        <v>98677</v>
      </c>
      <c r="E689">
        <v>7</v>
      </c>
    </row>
    <row r="690">
      <c r="A690" t="s">
        <v>43</v>
      </c>
      <c r="B690" t="s">
        <v>12</v>
      </c>
      <c r="C690" t="s">
        <v>385</v>
      </c>
      <c r="D690">
        <v>31621</v>
      </c>
      <c r="E690">
        <v>7</v>
      </c>
    </row>
    <row r="691">
      <c r="A691" t="s">
        <v>8</v>
      </c>
      <c r="B691" t="s">
        <v>59</v>
      </c>
      <c r="C691" t="s">
        <v>385</v>
      </c>
      <c r="D691">
        <v>72431</v>
      </c>
      <c r="E691">
        <v>3</v>
      </c>
    </row>
    <row r="692">
      <c r="A692" t="s">
        <v>8</v>
      </c>
      <c r="B692" t="s">
        <v>79</v>
      </c>
      <c r="C692" t="s">
        <v>386</v>
      </c>
      <c r="D692">
        <v>15039</v>
      </c>
      <c r="E692">
        <v>7</v>
      </c>
    </row>
    <row r="693">
      <c r="A693" t="s">
        <v>43</v>
      </c>
      <c r="B693" t="s">
        <v>190</v>
      </c>
      <c r="C693" t="s">
        <v>386</v>
      </c>
      <c r="D693">
        <v>35373</v>
      </c>
      <c r="E693">
        <v>9</v>
      </c>
    </row>
    <row r="694">
      <c r="A694" t="s">
        <v>5</v>
      </c>
      <c r="B694" t="s">
        <v>214</v>
      </c>
      <c r="C694" t="s">
        <v>387</v>
      </c>
      <c r="D694">
        <v>64773</v>
      </c>
      <c r="E694">
        <v>7</v>
      </c>
    </row>
    <row r="695">
      <c r="A695" t="s">
        <v>5</v>
      </c>
      <c r="B695" t="s">
        <v>172</v>
      </c>
      <c r="C695" t="s">
        <v>387</v>
      </c>
      <c r="D695">
        <v>80012</v>
      </c>
      <c r="E695">
        <v>8</v>
      </c>
    </row>
    <row r="696">
      <c r="A696" t="s">
        <v>43</v>
      </c>
      <c r="B696" t="s">
        <v>22</v>
      </c>
      <c r="C696" t="s">
        <v>387</v>
      </c>
      <c r="D696">
        <v>73367</v>
      </c>
      <c r="E696">
        <v>8</v>
      </c>
    </row>
    <row r="697">
      <c r="A697" t="s">
        <v>57</v>
      </c>
      <c r="B697" t="s">
        <v>161</v>
      </c>
      <c r="C697" t="s">
        <v>388</v>
      </c>
      <c r="D697">
        <v>23831</v>
      </c>
      <c r="E697">
        <v>8</v>
      </c>
    </row>
    <row r="698">
      <c r="A698" t="s">
        <v>28</v>
      </c>
      <c r="B698" t="s">
        <v>56</v>
      </c>
      <c r="C698" t="s">
        <v>388</v>
      </c>
      <c r="D698">
        <v>17447</v>
      </c>
      <c r="E698">
        <v>9</v>
      </c>
    </row>
    <row r="699">
      <c r="A699" t="s">
        <v>13</v>
      </c>
      <c r="B699" t="s">
        <v>147</v>
      </c>
      <c r="C699" t="s">
        <v>388</v>
      </c>
      <c r="D699">
        <v>45917</v>
      </c>
      <c r="E699">
        <v>3</v>
      </c>
    </row>
    <row r="700">
      <c r="A700" t="s">
        <v>24</v>
      </c>
      <c r="B700" t="s">
        <v>42</v>
      </c>
      <c r="C700" t="s">
        <v>388</v>
      </c>
      <c r="D700">
        <v>79961</v>
      </c>
      <c r="E700">
        <v>7</v>
      </c>
    </row>
    <row r="701">
      <c r="A701" t="s">
        <v>8</v>
      </c>
      <c r="B701" t="s">
        <v>123</v>
      </c>
      <c r="C701" t="s">
        <v>388</v>
      </c>
      <c r="D701">
        <v>20982</v>
      </c>
      <c r="E701">
        <v>0</v>
      </c>
    </row>
    <row r="702">
      <c r="A702" t="s">
        <v>17</v>
      </c>
      <c r="B702" t="s">
        <v>92</v>
      </c>
      <c r="C702" t="s">
        <v>388</v>
      </c>
      <c r="D702">
        <v>73303</v>
      </c>
      <c r="E702">
        <v>7</v>
      </c>
    </row>
    <row r="703">
      <c r="A703" t="s">
        <v>11</v>
      </c>
      <c r="B703" t="s">
        <v>80</v>
      </c>
      <c r="C703" t="s">
        <v>388</v>
      </c>
      <c r="D703">
        <v>14213</v>
      </c>
      <c r="E703">
        <v>6</v>
      </c>
    </row>
    <row r="704">
      <c r="A704" t="s">
        <v>11</v>
      </c>
      <c r="B704" t="s">
        <v>6</v>
      </c>
      <c r="C704" t="s">
        <v>388</v>
      </c>
      <c r="D704">
        <v>78883</v>
      </c>
      <c r="E704">
        <v>7</v>
      </c>
    </row>
    <row r="705">
      <c r="A705" t="s">
        <v>28</v>
      </c>
      <c r="B705" t="s">
        <v>257</v>
      </c>
      <c r="C705" t="s">
        <v>388</v>
      </c>
      <c r="D705">
        <v>80624</v>
      </c>
      <c r="E705">
        <v>6</v>
      </c>
    </row>
    <row r="706">
      <c r="A706" t="s">
        <v>47</v>
      </c>
      <c r="B706" t="s">
        <v>291</v>
      </c>
      <c r="C706" t="s">
        <v>389</v>
      </c>
      <c r="D706">
        <v>86037</v>
      </c>
      <c r="E706">
        <v>8</v>
      </c>
    </row>
    <row r="707">
      <c r="A707" t="s">
        <v>57</v>
      </c>
      <c r="B707" t="s">
        <v>196</v>
      </c>
      <c r="C707" t="s">
        <v>389</v>
      </c>
      <c r="D707">
        <v>23154</v>
      </c>
      <c r="E707">
        <v>8</v>
      </c>
    </row>
    <row r="708">
      <c r="A708" t="s">
        <v>8</v>
      </c>
      <c r="B708" t="s">
        <v>257</v>
      </c>
      <c r="C708" t="s">
        <v>390</v>
      </c>
      <c r="D708">
        <v>43102</v>
      </c>
      <c r="E708">
        <v>1</v>
      </c>
    </row>
    <row r="709">
      <c r="A709" t="s">
        <v>43</v>
      </c>
      <c r="B709" t="s">
        <v>91</v>
      </c>
      <c r="C709" t="s">
        <v>390</v>
      </c>
      <c r="D709">
        <v>86730</v>
      </c>
      <c r="E709">
        <v>6</v>
      </c>
    </row>
    <row r="710">
      <c r="A710" t="s">
        <v>13</v>
      </c>
      <c r="B710" t="s">
        <v>291</v>
      </c>
      <c r="C710" t="s">
        <v>390</v>
      </c>
      <c r="D710">
        <v>46982</v>
      </c>
      <c r="E710">
        <v>8</v>
      </c>
    </row>
    <row r="711">
      <c r="A711" t="s">
        <v>8</v>
      </c>
      <c r="B711" t="s">
        <v>302</v>
      </c>
      <c r="C711" t="s">
        <v>391</v>
      </c>
      <c r="D711">
        <v>38167</v>
      </c>
      <c r="E711">
        <v>8</v>
      </c>
    </row>
    <row r="712">
      <c r="A712" t="s">
        <v>15</v>
      </c>
      <c r="B712" t="s">
        <v>61</v>
      </c>
      <c r="C712" t="s">
        <v>391</v>
      </c>
      <c r="D712">
        <v>14691</v>
      </c>
      <c r="E712">
        <v>8</v>
      </c>
    </row>
    <row r="713">
      <c r="A713" t="s">
        <v>15</v>
      </c>
      <c r="B713" t="s">
        <v>144</v>
      </c>
      <c r="C713" t="s">
        <v>392</v>
      </c>
      <c r="D713">
        <v>29589</v>
      </c>
      <c r="E713">
        <v>5</v>
      </c>
    </row>
    <row r="714">
      <c r="A714" t="s">
        <v>5</v>
      </c>
      <c r="B714" t="s">
        <v>153</v>
      </c>
      <c r="C714" t="s">
        <v>392</v>
      </c>
      <c r="D714">
        <v>12292</v>
      </c>
      <c r="E714">
        <v>9</v>
      </c>
    </row>
    <row r="715">
      <c r="A715" t="s">
        <v>13</v>
      </c>
      <c r="B715" t="s">
        <v>284</v>
      </c>
      <c r="C715" t="s">
        <v>392</v>
      </c>
      <c r="D715">
        <v>97170</v>
      </c>
      <c r="E715">
        <v>6</v>
      </c>
    </row>
    <row r="716">
      <c r="A716" t="s">
        <v>57</v>
      </c>
      <c r="B716" t="s">
        <v>382</v>
      </c>
      <c r="C716" t="s">
        <v>392</v>
      </c>
      <c r="D716">
        <v>56047</v>
      </c>
      <c r="E716">
        <v>6</v>
      </c>
    </row>
    <row r="717">
      <c r="A717" t="s">
        <v>57</v>
      </c>
      <c r="B717" t="s">
        <v>123</v>
      </c>
      <c r="C717" t="s">
        <v>392</v>
      </c>
      <c r="D717">
        <v>60594</v>
      </c>
      <c r="E717">
        <v>3</v>
      </c>
    </row>
    <row r="718">
      <c r="A718" t="s">
        <v>8</v>
      </c>
      <c r="B718" t="s">
        <v>185</v>
      </c>
      <c r="C718" t="s">
        <v>392</v>
      </c>
      <c r="D718">
        <v>24455</v>
      </c>
      <c r="E718">
        <v>8</v>
      </c>
    </row>
    <row r="719">
      <c r="A719" t="s">
        <v>43</v>
      </c>
      <c r="B719" t="s">
        <v>257</v>
      </c>
      <c r="C719" t="s">
        <v>392</v>
      </c>
      <c r="D719">
        <v>63659</v>
      </c>
      <c r="E719">
        <v>5</v>
      </c>
    </row>
    <row r="720">
      <c r="A720" t="s">
        <v>13</v>
      </c>
      <c r="B720" t="s">
        <v>310</v>
      </c>
      <c r="C720" t="s">
        <v>392</v>
      </c>
      <c r="D720">
        <v>71646</v>
      </c>
      <c r="E720">
        <v>6</v>
      </c>
    </row>
    <row r="721">
      <c r="A721" t="s">
        <v>47</v>
      </c>
      <c r="B721" t="s">
        <v>95</v>
      </c>
      <c r="C721" t="s">
        <v>392</v>
      </c>
      <c r="D721">
        <v>94426</v>
      </c>
      <c r="E721">
        <v>7</v>
      </c>
    </row>
    <row r="722">
      <c r="A722" t="s">
        <v>5</v>
      </c>
      <c r="B722" t="s">
        <v>85</v>
      </c>
      <c r="C722" t="s">
        <v>392</v>
      </c>
      <c r="D722">
        <v>83418</v>
      </c>
      <c r="E722">
        <v>8</v>
      </c>
    </row>
    <row r="723">
      <c r="A723" t="s">
        <v>57</v>
      </c>
      <c r="B723" t="s">
        <v>246</v>
      </c>
      <c r="C723" t="s">
        <v>393</v>
      </c>
      <c r="D723">
        <v>16217</v>
      </c>
      <c r="E723">
        <v>10</v>
      </c>
    </row>
    <row r="724">
      <c r="A724" t="s">
        <v>47</v>
      </c>
      <c r="B724" t="s">
        <v>147</v>
      </c>
      <c r="C724" t="s">
        <v>393</v>
      </c>
      <c r="D724">
        <v>15194</v>
      </c>
      <c r="E724">
        <v>3</v>
      </c>
    </row>
    <row r="725">
      <c r="A725" t="s">
        <v>17</v>
      </c>
      <c r="B725" t="s">
        <v>239</v>
      </c>
      <c r="C725" t="s">
        <v>394</v>
      </c>
      <c r="D725">
        <v>42878</v>
      </c>
      <c r="E725">
        <v>5</v>
      </c>
    </row>
    <row r="726">
      <c r="A726" t="s">
        <v>8</v>
      </c>
      <c r="B726" t="s">
        <v>239</v>
      </c>
      <c r="C726" t="s">
        <v>395</v>
      </c>
      <c r="D726">
        <v>31082</v>
      </c>
      <c r="E726">
        <v>9</v>
      </c>
    </row>
    <row r="727">
      <c r="A727" t="s">
        <v>11</v>
      </c>
      <c r="B727" t="s">
        <v>71</v>
      </c>
      <c r="C727" t="s">
        <v>395</v>
      </c>
      <c r="D727">
        <v>50088</v>
      </c>
      <c r="E727">
        <v>10</v>
      </c>
    </row>
    <row r="728">
      <c r="A728" t="s">
        <v>11</v>
      </c>
      <c r="B728" t="s">
        <v>218</v>
      </c>
      <c r="C728" t="s">
        <v>395</v>
      </c>
      <c r="D728">
        <v>67593</v>
      </c>
      <c r="E728">
        <v>8</v>
      </c>
    </row>
    <row r="729">
      <c r="A729" t="s">
        <v>47</v>
      </c>
      <c r="B729" t="s">
        <v>158</v>
      </c>
      <c r="C729" t="s">
        <v>396</v>
      </c>
      <c r="D729">
        <v>79557</v>
      </c>
      <c r="E729">
        <v>8</v>
      </c>
    </row>
    <row r="730">
      <c r="A730" t="s">
        <v>11</v>
      </c>
      <c r="B730" t="s">
        <v>149</v>
      </c>
      <c r="C730" t="s">
        <v>396</v>
      </c>
      <c r="D730">
        <v>86160</v>
      </c>
      <c r="E730">
        <v>4</v>
      </c>
    </row>
    <row r="731">
      <c r="A731" t="s">
        <v>28</v>
      </c>
      <c r="B731" t="s">
        <v>39</v>
      </c>
      <c r="C731" t="s">
        <v>397</v>
      </c>
      <c r="D731">
        <v>53771</v>
      </c>
      <c r="E731">
        <v>9</v>
      </c>
    </row>
    <row r="732">
      <c r="A732" t="s">
        <v>8</v>
      </c>
      <c r="B732" t="s">
        <v>299</v>
      </c>
      <c r="C732" t="s">
        <v>397</v>
      </c>
      <c r="D732">
        <v>91804</v>
      </c>
      <c r="E732">
        <v>0</v>
      </c>
    </row>
    <row r="733">
      <c r="A733" t="s">
        <v>8</v>
      </c>
      <c r="B733" t="s">
        <v>172</v>
      </c>
      <c r="C733" t="s">
        <v>397</v>
      </c>
      <c r="D733">
        <v>52740</v>
      </c>
      <c r="E733">
        <v>9</v>
      </c>
    </row>
    <row r="734">
      <c r="A734" t="s">
        <v>17</v>
      </c>
      <c r="B734" t="s">
        <v>184</v>
      </c>
      <c r="C734" t="s">
        <v>397</v>
      </c>
      <c r="D734">
        <v>31855</v>
      </c>
      <c r="E734">
        <v>9</v>
      </c>
    </row>
    <row r="735">
      <c r="A735" t="s">
        <v>17</v>
      </c>
      <c r="B735" t="s">
        <v>121</v>
      </c>
      <c r="C735" t="s">
        <v>397</v>
      </c>
      <c r="D735">
        <v>70117</v>
      </c>
      <c r="E735">
        <v>6</v>
      </c>
    </row>
    <row r="736">
      <c r="A736" t="s">
        <v>24</v>
      </c>
      <c r="B736" t="s">
        <v>305</v>
      </c>
      <c r="C736" t="s">
        <v>397</v>
      </c>
      <c r="D736">
        <v>28749</v>
      </c>
      <c r="E736">
        <v>7</v>
      </c>
    </row>
    <row r="737">
      <c r="A737" t="s">
        <v>17</v>
      </c>
      <c r="B737" t="s">
        <v>110</v>
      </c>
      <c r="C737" t="s">
        <v>397</v>
      </c>
      <c r="D737">
        <v>21622</v>
      </c>
      <c r="E737">
        <v>9</v>
      </c>
    </row>
    <row r="738">
      <c r="A738" t="s">
        <v>28</v>
      </c>
      <c r="B738" t="s">
        <v>97</v>
      </c>
      <c r="C738" t="s">
        <v>397</v>
      </c>
      <c r="D738">
        <v>22930</v>
      </c>
      <c r="E738">
        <v>6</v>
      </c>
    </row>
    <row r="739">
      <c r="A739" t="s">
        <v>24</v>
      </c>
      <c r="B739" t="s">
        <v>108</v>
      </c>
      <c r="C739" t="s">
        <v>397</v>
      </c>
      <c r="D739">
        <v>72299</v>
      </c>
      <c r="E739">
        <v>7</v>
      </c>
    </row>
    <row r="740">
      <c r="A740" t="s">
        <v>13</v>
      </c>
      <c r="B740" t="s">
        <v>40</v>
      </c>
      <c r="C740" t="s">
        <v>397</v>
      </c>
      <c r="D740">
        <v>34282</v>
      </c>
      <c r="E740">
        <v>3</v>
      </c>
    </row>
    <row r="741">
      <c r="A741" t="s">
        <v>8</v>
      </c>
      <c r="B741" t="s">
        <v>200</v>
      </c>
      <c r="C741" t="s">
        <v>398</v>
      </c>
      <c r="D741">
        <v>12139</v>
      </c>
      <c r="E741">
        <v>7</v>
      </c>
    </row>
    <row r="742">
      <c r="A742" t="s">
        <v>21</v>
      </c>
      <c r="B742" t="s">
        <v>184</v>
      </c>
      <c r="C742" t="s">
        <v>399</v>
      </c>
      <c r="D742">
        <v>78261</v>
      </c>
      <c r="E742">
        <v>7</v>
      </c>
    </row>
    <row r="743">
      <c r="A743" t="s">
        <v>47</v>
      </c>
      <c r="B743" t="s">
        <v>339</v>
      </c>
      <c r="C743" t="s">
        <v>399</v>
      </c>
      <c r="D743">
        <v>88063</v>
      </c>
      <c r="E743">
        <v>8</v>
      </c>
    </row>
    <row r="744">
      <c r="A744" t="s">
        <v>8</v>
      </c>
      <c r="B744" t="s">
        <v>153</v>
      </c>
      <c r="C744" t="s">
        <v>400</v>
      </c>
      <c r="D744">
        <v>62353</v>
      </c>
      <c r="E744">
        <v>2</v>
      </c>
    </row>
    <row r="745">
      <c r="A745" t="s">
        <v>24</v>
      </c>
      <c r="B745" t="s">
        <v>172</v>
      </c>
      <c r="C745" t="s">
        <v>400</v>
      </c>
      <c r="D745">
        <v>13123</v>
      </c>
      <c r="E745">
        <v>9</v>
      </c>
    </row>
    <row r="746">
      <c r="A746" t="s">
        <v>13</v>
      </c>
      <c r="B746" t="s">
        <v>69</v>
      </c>
      <c r="C746" t="s">
        <v>400</v>
      </c>
      <c r="D746">
        <v>61175</v>
      </c>
      <c r="E746">
        <v>8</v>
      </c>
    </row>
    <row r="747">
      <c r="A747" t="s">
        <v>47</v>
      </c>
      <c r="B747" t="s">
        <v>18</v>
      </c>
      <c r="C747" t="s">
        <v>400</v>
      </c>
      <c r="D747">
        <v>17556</v>
      </c>
      <c r="E747">
        <v>5</v>
      </c>
    </row>
    <row r="748">
      <c r="A748" t="s">
        <v>8</v>
      </c>
      <c r="B748" t="s">
        <v>223</v>
      </c>
      <c r="C748" t="s">
        <v>401</v>
      </c>
      <c r="D748">
        <v>22237</v>
      </c>
      <c r="E748">
        <v>7</v>
      </c>
    </row>
    <row r="749">
      <c r="A749" t="s">
        <v>8</v>
      </c>
      <c r="B749" t="s">
        <v>241</v>
      </c>
      <c r="C749" t="s">
        <v>402</v>
      </c>
      <c r="D749">
        <v>74944</v>
      </c>
      <c r="E749">
        <v>8</v>
      </c>
    </row>
    <row r="750">
      <c r="A750" t="s">
        <v>17</v>
      </c>
      <c r="B750" t="s">
        <v>98</v>
      </c>
      <c r="C750" t="s">
        <v>402</v>
      </c>
      <c r="D750">
        <v>93472</v>
      </c>
      <c r="E750">
        <v>1</v>
      </c>
    </row>
    <row r="751">
      <c r="A751" t="s">
        <v>57</v>
      </c>
      <c r="B751" t="s">
        <v>58</v>
      </c>
      <c r="C751" t="s">
        <v>402</v>
      </c>
      <c r="D751">
        <v>53525</v>
      </c>
      <c r="E751">
        <v>6</v>
      </c>
    </row>
    <row r="752">
      <c r="A752" t="s">
        <v>24</v>
      </c>
      <c r="B752" t="s">
        <v>153</v>
      </c>
      <c r="C752" t="s">
        <v>402</v>
      </c>
      <c r="D752">
        <v>22055</v>
      </c>
      <c r="E752">
        <v>7</v>
      </c>
    </row>
    <row r="753">
      <c r="A753" t="s">
        <v>5</v>
      </c>
      <c r="B753" t="s">
        <v>65</v>
      </c>
      <c r="C753" t="s">
        <v>402</v>
      </c>
      <c r="D753">
        <v>60212</v>
      </c>
      <c r="E753">
        <v>5</v>
      </c>
    </row>
    <row r="754">
      <c r="A754" t="s">
        <v>8</v>
      </c>
      <c r="B754" t="s">
        <v>30</v>
      </c>
      <c r="C754" t="s">
        <v>402</v>
      </c>
      <c r="D754">
        <v>23593</v>
      </c>
      <c r="E754">
        <v>5</v>
      </c>
    </row>
    <row r="755">
      <c r="A755" t="s">
        <v>5</v>
      </c>
      <c r="B755" t="s">
        <v>189</v>
      </c>
      <c r="C755" t="s">
        <v>402</v>
      </c>
      <c r="D755">
        <v>28432</v>
      </c>
      <c r="E755">
        <v>8</v>
      </c>
    </row>
    <row r="756">
      <c r="A756" t="s">
        <v>47</v>
      </c>
      <c r="B756" t="s">
        <v>63</v>
      </c>
      <c r="C756" t="s">
        <v>402</v>
      </c>
      <c r="D756">
        <v>97115</v>
      </c>
      <c r="E756">
        <v>7</v>
      </c>
    </row>
    <row r="757">
      <c r="A757" t="s">
        <v>21</v>
      </c>
      <c r="B757" t="s">
        <v>344</v>
      </c>
      <c r="C757" t="s">
        <v>402</v>
      </c>
      <c r="D757">
        <v>83742</v>
      </c>
      <c r="E757">
        <v>7</v>
      </c>
    </row>
    <row r="758">
      <c r="A758" t="s">
        <v>24</v>
      </c>
      <c r="B758" t="s">
        <v>403</v>
      </c>
      <c r="C758" t="s">
        <v>402</v>
      </c>
      <c r="D758">
        <v>26873</v>
      </c>
      <c r="E758">
        <v>7</v>
      </c>
    </row>
    <row r="759">
      <c r="A759" t="s">
        <v>47</v>
      </c>
      <c r="B759" t="s">
        <v>78</v>
      </c>
      <c r="C759" t="s">
        <v>402</v>
      </c>
      <c r="D759">
        <v>73628</v>
      </c>
      <c r="E759">
        <v>8</v>
      </c>
    </row>
    <row r="760">
      <c r="A760" t="s">
        <v>57</v>
      </c>
      <c r="B760" t="s">
        <v>52</v>
      </c>
      <c r="C760" t="s">
        <v>402</v>
      </c>
      <c r="D760">
        <v>83507</v>
      </c>
      <c r="E760">
        <v>7</v>
      </c>
    </row>
    <row r="761">
      <c r="A761" t="s">
        <v>8</v>
      </c>
      <c r="B761" t="s">
        <v>113</v>
      </c>
      <c r="C761" t="s">
        <v>402</v>
      </c>
      <c r="D761">
        <v>35458</v>
      </c>
      <c r="E761">
        <v>7</v>
      </c>
    </row>
    <row r="762">
      <c r="A762" t="s">
        <v>43</v>
      </c>
      <c r="B762" t="s">
        <v>186</v>
      </c>
      <c r="C762" t="s">
        <v>402</v>
      </c>
      <c r="D762">
        <v>95382</v>
      </c>
      <c r="E762">
        <v>6</v>
      </c>
    </row>
    <row r="763">
      <c r="A763" t="s">
        <v>57</v>
      </c>
      <c r="B763" t="s">
        <v>316</v>
      </c>
      <c r="C763" t="s">
        <v>404</v>
      </c>
      <c r="D763">
        <v>36884</v>
      </c>
      <c r="E763">
        <v>8</v>
      </c>
    </row>
    <row r="764">
      <c r="A764" t="s">
        <v>17</v>
      </c>
      <c r="B764" t="s">
        <v>29</v>
      </c>
      <c r="C764" t="s">
        <v>405</v>
      </c>
      <c r="D764">
        <v>80338</v>
      </c>
      <c r="E764">
        <v>2</v>
      </c>
    </row>
    <row r="765">
      <c r="A765" t="s">
        <v>21</v>
      </c>
      <c r="B765" t="s">
        <v>124</v>
      </c>
      <c r="C765" t="s">
        <v>405</v>
      </c>
      <c r="D765">
        <v>20963</v>
      </c>
      <c r="E765">
        <v>6</v>
      </c>
    </row>
    <row r="766">
      <c r="A766" t="s">
        <v>57</v>
      </c>
      <c r="B766" t="s">
        <v>130</v>
      </c>
      <c r="C766" t="s">
        <v>405</v>
      </c>
      <c r="D766">
        <v>93272</v>
      </c>
      <c r="E766">
        <v>4</v>
      </c>
    </row>
    <row r="767">
      <c r="A767" t="s">
        <v>28</v>
      </c>
      <c r="B767" t="s">
        <v>71</v>
      </c>
      <c r="C767" t="s">
        <v>405</v>
      </c>
      <c r="D767">
        <v>21356</v>
      </c>
      <c r="E767">
        <v>2</v>
      </c>
    </row>
    <row r="768">
      <c r="A768" t="s">
        <v>13</v>
      </c>
      <c r="B768" t="s">
        <v>231</v>
      </c>
      <c r="C768" t="s">
        <v>405</v>
      </c>
      <c r="D768">
        <v>12069</v>
      </c>
      <c r="E768">
        <v>2</v>
      </c>
    </row>
    <row r="769">
      <c r="A769" t="s">
        <v>17</v>
      </c>
      <c r="B769" t="s">
        <v>263</v>
      </c>
      <c r="C769" t="s">
        <v>405</v>
      </c>
      <c r="D769">
        <v>61510</v>
      </c>
      <c r="E769">
        <v>0</v>
      </c>
    </row>
    <row r="770">
      <c r="A770" t="s">
        <v>28</v>
      </c>
      <c r="B770" t="s">
        <v>222</v>
      </c>
      <c r="C770" t="s">
        <v>406</v>
      </c>
      <c r="D770">
        <v>34102</v>
      </c>
      <c r="E770">
        <v>6</v>
      </c>
    </row>
    <row r="771">
      <c r="A771" t="s">
        <v>24</v>
      </c>
      <c r="B771" t="s">
        <v>184</v>
      </c>
      <c r="C771" t="s">
        <v>407</v>
      </c>
      <c r="D771">
        <v>68497</v>
      </c>
      <c r="E771">
        <v>10</v>
      </c>
    </row>
    <row r="772">
      <c r="A772" t="s">
        <v>47</v>
      </c>
      <c r="B772" t="s">
        <v>256</v>
      </c>
      <c r="C772" t="s">
        <v>407</v>
      </c>
      <c r="D772">
        <v>28677</v>
      </c>
      <c r="E772">
        <v>5</v>
      </c>
    </row>
    <row r="773">
      <c r="A773" t="s">
        <v>15</v>
      </c>
      <c r="B773" t="s">
        <v>6</v>
      </c>
      <c r="C773" t="s">
        <v>407</v>
      </c>
      <c r="D773">
        <v>43199</v>
      </c>
      <c r="E773">
        <v>2</v>
      </c>
    </row>
    <row r="774">
      <c r="A774" t="s">
        <v>21</v>
      </c>
      <c r="B774" t="s">
        <v>102</v>
      </c>
      <c r="C774" t="s">
        <v>408</v>
      </c>
      <c r="D774">
        <v>24148</v>
      </c>
      <c r="E774">
        <v>8</v>
      </c>
    </row>
    <row r="775">
      <c r="A775" t="s">
        <v>5</v>
      </c>
      <c r="B775" t="s">
        <v>265</v>
      </c>
      <c r="C775" t="s">
        <v>408</v>
      </c>
      <c r="D775">
        <v>76622</v>
      </c>
      <c r="E775">
        <v>2</v>
      </c>
    </row>
    <row r="776">
      <c r="A776" t="s">
        <v>11</v>
      </c>
      <c r="B776" t="s">
        <v>20</v>
      </c>
      <c r="C776" t="s">
        <v>408</v>
      </c>
      <c r="D776">
        <v>83252</v>
      </c>
      <c r="E776">
        <v>4</v>
      </c>
    </row>
    <row r="777">
      <c r="A777" t="s">
        <v>28</v>
      </c>
      <c r="B777" t="s">
        <v>45</v>
      </c>
      <c r="C777" t="s">
        <v>408</v>
      </c>
      <c r="D777">
        <v>93973</v>
      </c>
      <c r="E777">
        <v>3</v>
      </c>
    </row>
    <row r="778">
      <c r="A778" t="s">
        <v>43</v>
      </c>
      <c r="B778" t="s">
        <v>170</v>
      </c>
      <c r="C778" t="s">
        <v>408</v>
      </c>
      <c r="D778">
        <v>53500</v>
      </c>
      <c r="E778">
        <v>4</v>
      </c>
    </row>
    <row r="779">
      <c r="A779" t="s">
        <v>15</v>
      </c>
      <c r="B779" t="s">
        <v>137</v>
      </c>
      <c r="C779" t="s">
        <v>408</v>
      </c>
      <c r="D779">
        <v>72651</v>
      </c>
      <c r="E779">
        <v>5</v>
      </c>
    </row>
    <row r="780">
      <c r="A780" t="s">
        <v>5</v>
      </c>
      <c r="B780" t="s">
        <v>55</v>
      </c>
      <c r="C780" t="s">
        <v>408</v>
      </c>
      <c r="D780">
        <v>41319</v>
      </c>
      <c r="E780">
        <v>6</v>
      </c>
    </row>
    <row r="781">
      <c r="A781" t="s">
        <v>28</v>
      </c>
      <c r="B781" t="s">
        <v>214</v>
      </c>
      <c r="C781" t="s">
        <v>409</v>
      </c>
      <c r="D781">
        <v>55391</v>
      </c>
      <c r="E781">
        <v>6</v>
      </c>
    </row>
    <row r="782">
      <c r="A782" t="s">
        <v>5</v>
      </c>
      <c r="B782" t="s">
        <v>147</v>
      </c>
      <c r="C782" t="s">
        <v>409</v>
      </c>
      <c r="D782">
        <v>61378</v>
      </c>
      <c r="E782">
        <v>6</v>
      </c>
    </row>
    <row r="783">
      <c r="A783" t="s">
        <v>21</v>
      </c>
      <c r="B783" t="s">
        <v>160</v>
      </c>
      <c r="C783" t="s">
        <v>409</v>
      </c>
      <c r="D783">
        <v>48427</v>
      </c>
      <c r="E783">
        <v>8</v>
      </c>
    </row>
    <row r="784">
      <c r="A784" t="s">
        <v>11</v>
      </c>
      <c r="B784" t="s">
        <v>255</v>
      </c>
      <c r="C784" t="s">
        <v>409</v>
      </c>
      <c r="D784">
        <v>26016</v>
      </c>
      <c r="E784">
        <v>5</v>
      </c>
    </row>
    <row r="785">
      <c r="A785" t="s">
        <v>5</v>
      </c>
      <c r="B785" t="s">
        <v>321</v>
      </c>
      <c r="C785" t="s">
        <v>410</v>
      </c>
      <c r="D785">
        <v>48198</v>
      </c>
      <c r="E785">
        <v>3</v>
      </c>
    </row>
    <row r="786">
      <c r="A786" t="s">
        <v>43</v>
      </c>
      <c r="B786" t="s">
        <v>217</v>
      </c>
      <c r="C786" t="s">
        <v>410</v>
      </c>
      <c r="D786">
        <v>58895</v>
      </c>
      <c r="E786">
        <v>7</v>
      </c>
    </row>
    <row r="787">
      <c r="A787" t="s">
        <v>11</v>
      </c>
      <c r="B787" t="s">
        <v>212</v>
      </c>
      <c r="C787" t="s">
        <v>410</v>
      </c>
      <c r="D787">
        <v>23178</v>
      </c>
      <c r="E787">
        <v>7</v>
      </c>
    </row>
    <row r="788">
      <c r="A788" t="s">
        <v>28</v>
      </c>
      <c r="B788" t="s">
        <v>209</v>
      </c>
      <c r="C788" t="s">
        <v>410</v>
      </c>
      <c r="D788">
        <v>25304</v>
      </c>
      <c r="E788">
        <v>5</v>
      </c>
    </row>
    <row r="789">
      <c r="A789" t="s">
        <v>17</v>
      </c>
      <c r="B789" t="s">
        <v>50</v>
      </c>
      <c r="C789" t="s">
        <v>410</v>
      </c>
      <c r="D789">
        <v>88572</v>
      </c>
      <c r="E789">
        <v>8</v>
      </c>
    </row>
    <row r="790">
      <c r="A790" t="s">
        <v>17</v>
      </c>
      <c r="B790" t="s">
        <v>212</v>
      </c>
      <c r="C790" t="s">
        <v>410</v>
      </c>
      <c r="D790">
        <v>74116</v>
      </c>
      <c r="E790">
        <v>0</v>
      </c>
    </row>
    <row r="791">
      <c r="A791" t="s">
        <v>24</v>
      </c>
      <c r="B791" t="s">
        <v>270</v>
      </c>
      <c r="C791" t="s">
        <v>411</v>
      </c>
      <c r="D791">
        <v>85964</v>
      </c>
      <c r="E791">
        <v>7</v>
      </c>
    </row>
    <row r="792">
      <c r="A792" t="s">
        <v>28</v>
      </c>
      <c r="B792" t="s">
        <v>316</v>
      </c>
      <c r="C792" t="s">
        <v>411</v>
      </c>
      <c r="D792">
        <v>82603</v>
      </c>
      <c r="E792">
        <v>9</v>
      </c>
    </row>
    <row r="793">
      <c r="A793" t="s">
        <v>43</v>
      </c>
      <c r="B793" t="s">
        <v>96</v>
      </c>
      <c r="C793" t="s">
        <v>411</v>
      </c>
      <c r="D793">
        <v>88170</v>
      </c>
      <c r="E793">
        <v>5</v>
      </c>
    </row>
    <row r="794">
      <c r="A794" t="s">
        <v>13</v>
      </c>
      <c r="B794" t="s">
        <v>186</v>
      </c>
      <c r="C794" t="s">
        <v>412</v>
      </c>
      <c r="D794">
        <v>79633</v>
      </c>
      <c r="E794">
        <v>5</v>
      </c>
    </row>
    <row r="795">
      <c r="A795" t="s">
        <v>28</v>
      </c>
      <c r="B795" t="s">
        <v>299</v>
      </c>
      <c r="C795" t="s">
        <v>412</v>
      </c>
      <c r="D795">
        <v>66178</v>
      </c>
      <c r="E795">
        <v>7</v>
      </c>
    </row>
    <row r="796">
      <c r="A796" t="s">
        <v>15</v>
      </c>
      <c r="B796" t="s">
        <v>168</v>
      </c>
      <c r="C796" t="s">
        <v>412</v>
      </c>
      <c r="D796">
        <v>47702</v>
      </c>
      <c r="E796">
        <v>6</v>
      </c>
    </row>
    <row r="797">
      <c r="A797" t="s">
        <v>47</v>
      </c>
      <c r="B797" t="s">
        <v>212</v>
      </c>
      <c r="C797" t="s">
        <v>412</v>
      </c>
      <c r="D797">
        <v>80042</v>
      </c>
      <c r="E797">
        <v>8</v>
      </c>
    </row>
    <row r="798">
      <c r="A798" t="s">
        <v>17</v>
      </c>
      <c r="B798" t="s">
        <v>184</v>
      </c>
      <c r="C798" t="s">
        <v>412</v>
      </c>
      <c r="D798">
        <v>59245</v>
      </c>
      <c r="E798">
        <v>7</v>
      </c>
    </row>
    <row r="799">
      <c r="A799" t="s">
        <v>57</v>
      </c>
      <c r="B799" t="s">
        <v>362</v>
      </c>
      <c r="C799" t="s">
        <v>413</v>
      </c>
      <c r="D799">
        <v>63615</v>
      </c>
      <c r="E799">
        <v>2</v>
      </c>
    </row>
    <row r="800">
      <c r="A800" t="s">
        <v>24</v>
      </c>
      <c r="B800" t="s">
        <v>174</v>
      </c>
      <c r="C800" t="s">
        <v>413</v>
      </c>
      <c r="D800">
        <v>32064</v>
      </c>
      <c r="E800">
        <v>6</v>
      </c>
    </row>
    <row r="801">
      <c r="A801" t="s">
        <v>47</v>
      </c>
      <c r="B801" t="s">
        <v>35</v>
      </c>
      <c r="C801" t="s">
        <v>413</v>
      </c>
      <c r="D801">
        <v>70451</v>
      </c>
      <c r="E801">
        <v>6</v>
      </c>
    </row>
    <row r="802">
      <c r="A802" t="s">
        <v>11</v>
      </c>
      <c r="B802" t="s">
        <v>265</v>
      </c>
      <c r="C802" t="s">
        <v>413</v>
      </c>
      <c r="D802">
        <v>29396</v>
      </c>
      <c r="E802">
        <v>7</v>
      </c>
    </row>
    <row r="803">
      <c r="A803" t="s">
        <v>57</v>
      </c>
      <c r="B803" t="s">
        <v>119</v>
      </c>
      <c r="C803" t="s">
        <v>413</v>
      </c>
      <c r="D803">
        <v>72998</v>
      </c>
      <c r="E803">
        <v>8</v>
      </c>
    </row>
    <row r="804">
      <c r="A804" t="s">
        <v>8</v>
      </c>
      <c r="B804" t="s">
        <v>68</v>
      </c>
      <c r="C804" t="s">
        <v>413</v>
      </c>
      <c r="D804">
        <v>11509</v>
      </c>
      <c r="E804">
        <v>8</v>
      </c>
    </row>
    <row r="805">
      <c r="A805" t="s">
        <v>5</v>
      </c>
      <c r="B805" t="s">
        <v>146</v>
      </c>
      <c r="C805" t="s">
        <v>413</v>
      </c>
      <c r="D805">
        <v>31831</v>
      </c>
      <c r="E805">
        <v>7</v>
      </c>
    </row>
    <row r="806">
      <c r="A806" t="s">
        <v>8</v>
      </c>
      <c r="B806" t="s">
        <v>83</v>
      </c>
      <c r="C806" t="s">
        <v>413</v>
      </c>
      <c r="D806">
        <v>49907</v>
      </c>
      <c r="E806">
        <v>4</v>
      </c>
    </row>
    <row r="807">
      <c r="A807" t="s">
        <v>21</v>
      </c>
      <c r="B807" t="s">
        <v>110</v>
      </c>
      <c r="C807" t="s">
        <v>413</v>
      </c>
      <c r="D807">
        <v>77682</v>
      </c>
      <c r="E807">
        <v>7</v>
      </c>
    </row>
    <row r="808">
      <c r="A808" t="s">
        <v>43</v>
      </c>
      <c r="B808" t="s">
        <v>227</v>
      </c>
      <c r="C808" t="s">
        <v>414</v>
      </c>
      <c r="D808">
        <v>69157</v>
      </c>
      <c r="E808">
        <v>8</v>
      </c>
    </row>
    <row r="809">
      <c r="A809" t="s">
        <v>15</v>
      </c>
      <c r="B809" t="s">
        <v>110</v>
      </c>
      <c r="C809" t="s">
        <v>415</v>
      </c>
      <c r="D809">
        <v>59108</v>
      </c>
      <c r="E809">
        <v>6</v>
      </c>
    </row>
    <row r="810">
      <c r="A810" t="s">
        <v>28</v>
      </c>
      <c r="B810" t="s">
        <v>192</v>
      </c>
      <c r="C810" t="s">
        <v>415</v>
      </c>
      <c r="D810">
        <v>11680</v>
      </c>
      <c r="E810">
        <v>8</v>
      </c>
    </row>
    <row r="811">
      <c r="A811" t="s">
        <v>8</v>
      </c>
      <c r="B811" t="s">
        <v>119</v>
      </c>
      <c r="C811" t="s">
        <v>415</v>
      </c>
      <c r="D811">
        <v>97760</v>
      </c>
      <c r="E811">
        <v>2</v>
      </c>
    </row>
    <row r="812">
      <c r="A812" t="s">
        <v>11</v>
      </c>
      <c r="B812" t="s">
        <v>160</v>
      </c>
      <c r="C812" t="s">
        <v>416</v>
      </c>
      <c r="D812">
        <v>26668</v>
      </c>
      <c r="E812">
        <v>7</v>
      </c>
    </row>
    <row r="813">
      <c r="A813" t="s">
        <v>17</v>
      </c>
      <c r="B813" t="s">
        <v>200</v>
      </c>
      <c r="C813" t="s">
        <v>416</v>
      </c>
      <c r="D813">
        <v>84772</v>
      </c>
      <c r="E813">
        <v>7</v>
      </c>
    </row>
    <row r="814">
      <c r="A814" t="s">
        <v>13</v>
      </c>
      <c r="B814" t="s">
        <v>316</v>
      </c>
      <c r="C814" t="s">
        <v>416</v>
      </c>
      <c r="D814">
        <v>10049</v>
      </c>
      <c r="E814">
        <v>9</v>
      </c>
    </row>
    <row r="815">
      <c r="A815" t="s">
        <v>17</v>
      </c>
      <c r="B815" t="s">
        <v>265</v>
      </c>
      <c r="C815" t="s">
        <v>416</v>
      </c>
      <c r="D815">
        <v>17327</v>
      </c>
      <c r="E815">
        <v>9</v>
      </c>
    </row>
    <row r="816">
      <c r="A816" t="s">
        <v>5</v>
      </c>
      <c r="B816" t="s">
        <v>31</v>
      </c>
      <c r="C816" t="s">
        <v>416</v>
      </c>
      <c r="D816">
        <v>55557</v>
      </c>
      <c r="E816">
        <v>7</v>
      </c>
    </row>
    <row r="817">
      <c r="A817" t="s">
        <v>43</v>
      </c>
      <c r="B817" t="s">
        <v>215</v>
      </c>
      <c r="C817" t="s">
        <v>416</v>
      </c>
      <c r="D817">
        <v>15322</v>
      </c>
      <c r="E817">
        <v>3</v>
      </c>
    </row>
    <row r="818">
      <c r="A818" t="s">
        <v>24</v>
      </c>
      <c r="B818" t="s">
        <v>70</v>
      </c>
      <c r="C818" t="s">
        <v>416</v>
      </c>
      <c r="D818">
        <v>92072</v>
      </c>
      <c r="E818">
        <v>7</v>
      </c>
    </row>
    <row r="819">
      <c r="A819" t="s">
        <v>11</v>
      </c>
      <c r="B819" t="s">
        <v>208</v>
      </c>
      <c r="C819" t="s">
        <v>416</v>
      </c>
      <c r="D819">
        <v>91085</v>
      </c>
      <c r="E819">
        <v>4</v>
      </c>
    </row>
    <row r="820">
      <c r="A820" t="s">
        <v>24</v>
      </c>
      <c r="B820" t="s">
        <v>37</v>
      </c>
      <c r="C820" t="s">
        <v>417</v>
      </c>
      <c r="D820">
        <v>66031</v>
      </c>
      <c r="E820">
        <v>5</v>
      </c>
    </row>
    <row r="821">
      <c r="A821" t="s">
        <v>11</v>
      </c>
      <c r="B821" t="s">
        <v>308</v>
      </c>
      <c r="C821" t="s">
        <v>417</v>
      </c>
      <c r="D821">
        <v>74981</v>
      </c>
      <c r="E821">
        <v>3</v>
      </c>
    </row>
    <row r="822">
      <c r="A822" t="s">
        <v>11</v>
      </c>
      <c r="B822" t="s">
        <v>192</v>
      </c>
      <c r="C822" t="s">
        <v>417</v>
      </c>
      <c r="D822">
        <v>83728</v>
      </c>
      <c r="E822">
        <v>9</v>
      </c>
    </row>
    <row r="823">
      <c r="A823" t="s">
        <v>17</v>
      </c>
      <c r="B823" t="s">
        <v>265</v>
      </c>
      <c r="C823" t="s">
        <v>417</v>
      </c>
      <c r="D823">
        <v>49832</v>
      </c>
      <c r="E823">
        <v>5</v>
      </c>
    </row>
    <row r="824">
      <c r="A824" t="s">
        <v>15</v>
      </c>
      <c r="B824" t="s">
        <v>172</v>
      </c>
      <c r="C824" t="s">
        <v>417</v>
      </c>
      <c r="D824">
        <v>43583</v>
      </c>
      <c r="E824">
        <v>3</v>
      </c>
    </row>
    <row r="825">
      <c r="A825" t="s">
        <v>47</v>
      </c>
      <c r="B825" t="s">
        <v>20</v>
      </c>
      <c r="C825" t="s">
        <v>418</v>
      </c>
      <c r="D825">
        <v>69280</v>
      </c>
      <c r="E825">
        <v>7</v>
      </c>
    </row>
    <row r="826">
      <c r="A826" t="s">
        <v>21</v>
      </c>
      <c r="B826" t="s">
        <v>12</v>
      </c>
      <c r="C826" t="s">
        <v>418</v>
      </c>
      <c r="D826">
        <v>99189</v>
      </c>
      <c r="E826">
        <v>7</v>
      </c>
    </row>
    <row r="827">
      <c r="A827" t="s">
        <v>5</v>
      </c>
      <c r="B827" t="s">
        <v>68</v>
      </c>
      <c r="C827" t="s">
        <v>418</v>
      </c>
      <c r="D827">
        <v>78405</v>
      </c>
      <c r="E827">
        <v>10</v>
      </c>
    </row>
    <row r="828">
      <c r="A828" t="s">
        <v>5</v>
      </c>
      <c r="B828" t="s">
        <v>9</v>
      </c>
      <c r="C828" t="s">
        <v>418</v>
      </c>
      <c r="D828">
        <v>68960</v>
      </c>
      <c r="E828">
        <v>6</v>
      </c>
    </row>
    <row r="829">
      <c r="A829" t="s">
        <v>15</v>
      </c>
      <c r="B829" t="s">
        <v>207</v>
      </c>
      <c r="C829" t="s">
        <v>418</v>
      </c>
      <c r="D829">
        <v>48200</v>
      </c>
      <c r="E829">
        <v>3</v>
      </c>
    </row>
    <row r="830">
      <c r="A830" t="s">
        <v>15</v>
      </c>
      <c r="B830" t="s">
        <v>280</v>
      </c>
      <c r="C830" t="s">
        <v>418</v>
      </c>
      <c r="D830">
        <v>16259</v>
      </c>
      <c r="E830">
        <v>8</v>
      </c>
    </row>
    <row r="831">
      <c r="A831" t="s">
        <v>24</v>
      </c>
      <c r="B831" t="s">
        <v>192</v>
      </c>
      <c r="C831" t="s">
        <v>418</v>
      </c>
      <c r="D831">
        <v>57760</v>
      </c>
      <c r="E831">
        <v>7</v>
      </c>
    </row>
    <row r="832">
      <c r="A832" t="s">
        <v>11</v>
      </c>
      <c r="B832" t="s">
        <v>6</v>
      </c>
      <c r="C832" t="s">
        <v>418</v>
      </c>
      <c r="D832">
        <v>14737</v>
      </c>
      <c r="E832">
        <v>2</v>
      </c>
    </row>
    <row r="833">
      <c r="A833" t="s">
        <v>21</v>
      </c>
      <c r="B833" t="s">
        <v>272</v>
      </c>
      <c r="C833" t="s">
        <v>419</v>
      </c>
      <c r="D833">
        <v>64945</v>
      </c>
      <c r="E833">
        <v>6</v>
      </c>
    </row>
    <row r="834">
      <c r="A834" t="s">
        <v>5</v>
      </c>
      <c r="B834" t="s">
        <v>315</v>
      </c>
      <c r="C834" t="s">
        <v>419</v>
      </c>
      <c r="D834">
        <v>69406</v>
      </c>
      <c r="E834">
        <v>8</v>
      </c>
    </row>
    <row r="835">
      <c r="A835" t="s">
        <v>47</v>
      </c>
      <c r="B835" t="s">
        <v>35</v>
      </c>
      <c r="C835" t="s">
        <v>420</v>
      </c>
      <c r="D835">
        <v>55819</v>
      </c>
      <c r="E835">
        <v>8</v>
      </c>
    </row>
    <row r="836">
      <c r="A836" t="s">
        <v>28</v>
      </c>
      <c r="B836" t="s">
        <v>115</v>
      </c>
      <c r="C836" t="s">
        <v>421</v>
      </c>
      <c r="D836">
        <v>70310</v>
      </c>
      <c r="E836">
        <v>7</v>
      </c>
    </row>
    <row r="837">
      <c r="A837" t="s">
        <v>57</v>
      </c>
      <c r="B837" t="s">
        <v>239</v>
      </c>
      <c r="C837" t="s">
        <v>421</v>
      </c>
      <c r="D837">
        <v>84901</v>
      </c>
      <c r="E837">
        <v>9</v>
      </c>
    </row>
    <row r="838">
      <c r="A838" t="s">
        <v>13</v>
      </c>
      <c r="B838" t="s">
        <v>218</v>
      </c>
      <c r="C838" t="s">
        <v>421</v>
      </c>
      <c r="D838">
        <v>47564</v>
      </c>
      <c r="E838">
        <v>5</v>
      </c>
    </row>
    <row r="839">
      <c r="A839" t="s">
        <v>21</v>
      </c>
      <c r="B839" t="s">
        <v>175</v>
      </c>
      <c r="C839" t="s">
        <v>422</v>
      </c>
      <c r="D839">
        <v>82272</v>
      </c>
      <c r="E839">
        <v>2</v>
      </c>
    </row>
    <row r="840">
      <c r="A840" t="s">
        <v>8</v>
      </c>
      <c r="B840" t="s">
        <v>223</v>
      </c>
      <c r="C840" t="s">
        <v>422</v>
      </c>
      <c r="D840">
        <v>69695</v>
      </c>
      <c r="E840">
        <v>6</v>
      </c>
    </row>
    <row r="841">
      <c r="A841" t="s">
        <v>17</v>
      </c>
      <c r="B841" t="s">
        <v>342</v>
      </c>
      <c r="C841" t="s">
        <v>422</v>
      </c>
      <c r="D841">
        <v>31290</v>
      </c>
      <c r="E841">
        <v>3</v>
      </c>
    </row>
    <row r="842">
      <c r="A842" t="s">
        <v>15</v>
      </c>
      <c r="B842" t="s">
        <v>161</v>
      </c>
      <c r="C842" t="s">
        <v>423</v>
      </c>
      <c r="D842">
        <v>13710</v>
      </c>
      <c r="E842">
        <v>5</v>
      </c>
    </row>
    <row r="843">
      <c r="A843" t="s">
        <v>24</v>
      </c>
      <c r="B843" t="s">
        <v>115</v>
      </c>
      <c r="C843" t="s">
        <v>423</v>
      </c>
      <c r="D843">
        <v>99728</v>
      </c>
      <c r="E843">
        <v>3</v>
      </c>
    </row>
    <row r="844">
      <c r="A844" t="s">
        <v>47</v>
      </c>
      <c r="B844" t="s">
        <v>69</v>
      </c>
      <c r="C844" t="s">
        <v>423</v>
      </c>
      <c r="D844">
        <v>30292</v>
      </c>
      <c r="E844">
        <v>6</v>
      </c>
    </row>
    <row r="845">
      <c r="A845" t="s">
        <v>5</v>
      </c>
      <c r="B845" t="s">
        <v>227</v>
      </c>
      <c r="C845" t="s">
        <v>424</v>
      </c>
      <c r="D845">
        <v>63093</v>
      </c>
      <c r="E845">
        <v>7</v>
      </c>
    </row>
    <row r="846">
      <c r="A846" t="s">
        <v>13</v>
      </c>
      <c r="B846" t="s">
        <v>267</v>
      </c>
      <c r="C846" t="s">
        <v>425</v>
      </c>
      <c r="D846">
        <v>83040</v>
      </c>
      <c r="E846">
        <v>6</v>
      </c>
    </row>
    <row r="847">
      <c r="A847" t="s">
        <v>28</v>
      </c>
      <c r="B847" t="s">
        <v>119</v>
      </c>
      <c r="C847" t="s">
        <v>425</v>
      </c>
      <c r="D847">
        <v>74492</v>
      </c>
      <c r="E847">
        <v>4</v>
      </c>
    </row>
    <row r="848">
      <c r="A848" t="s">
        <v>43</v>
      </c>
      <c r="B848" t="s">
        <v>208</v>
      </c>
      <c r="C848" t="s">
        <v>426</v>
      </c>
      <c r="D848">
        <v>66644</v>
      </c>
      <c r="E848">
        <v>8</v>
      </c>
    </row>
    <row r="849">
      <c r="A849" t="s">
        <v>17</v>
      </c>
      <c r="B849" t="s">
        <v>158</v>
      </c>
      <c r="C849" t="s">
        <v>427</v>
      </c>
      <c r="D849">
        <v>54935</v>
      </c>
      <c r="E849">
        <v>7</v>
      </c>
    </row>
    <row r="850">
      <c r="A850" t="s">
        <v>5</v>
      </c>
      <c r="B850" t="s">
        <v>254</v>
      </c>
      <c r="C850" t="s">
        <v>427</v>
      </c>
      <c r="D850">
        <v>95620</v>
      </c>
      <c r="E850">
        <v>5</v>
      </c>
    </row>
    <row r="851">
      <c r="A851" t="s">
        <v>43</v>
      </c>
      <c r="B851" t="s">
        <v>67</v>
      </c>
      <c r="C851" t="s">
        <v>427</v>
      </c>
      <c r="D851">
        <v>89986</v>
      </c>
      <c r="E851">
        <v>9</v>
      </c>
    </row>
    <row r="852">
      <c r="A852" t="s">
        <v>21</v>
      </c>
      <c r="B852" t="s">
        <v>80</v>
      </c>
      <c r="C852" t="s">
        <v>427</v>
      </c>
      <c r="D852">
        <v>97393</v>
      </c>
      <c r="E852">
        <v>8</v>
      </c>
    </row>
    <row r="853">
      <c r="A853" t="s">
        <v>47</v>
      </c>
      <c r="B853" t="s">
        <v>65</v>
      </c>
      <c r="C853" t="s">
        <v>428</v>
      </c>
      <c r="D853">
        <v>13878</v>
      </c>
      <c r="E853">
        <v>6</v>
      </c>
    </row>
    <row r="854">
      <c r="A854" t="s">
        <v>13</v>
      </c>
      <c r="B854" t="s">
        <v>222</v>
      </c>
      <c r="C854" t="s">
        <v>428</v>
      </c>
      <c r="D854">
        <v>90496</v>
      </c>
      <c r="E854">
        <v>7</v>
      </c>
    </row>
    <row r="855">
      <c r="A855" t="s">
        <v>21</v>
      </c>
      <c r="B855" t="s">
        <v>154</v>
      </c>
      <c r="C855" t="s">
        <v>428</v>
      </c>
      <c r="D855">
        <v>79306</v>
      </c>
      <c r="E855">
        <v>9</v>
      </c>
    </row>
    <row r="856">
      <c r="A856" t="s">
        <v>28</v>
      </c>
      <c r="B856" t="s">
        <v>299</v>
      </c>
      <c r="C856" t="s">
        <v>428</v>
      </c>
      <c r="D856">
        <v>69635</v>
      </c>
      <c r="E856">
        <v>8</v>
      </c>
    </row>
    <row r="857">
      <c r="A857" t="s">
        <v>21</v>
      </c>
      <c r="B857" t="s">
        <v>254</v>
      </c>
      <c r="C857" t="s">
        <v>428</v>
      </c>
      <c r="D857">
        <v>61033</v>
      </c>
      <c r="E857">
        <v>4</v>
      </c>
    </row>
    <row r="858">
      <c r="A858" t="s">
        <v>5</v>
      </c>
      <c r="B858" t="s">
        <v>178</v>
      </c>
      <c r="C858" t="s">
        <v>428</v>
      </c>
      <c r="D858">
        <v>78795</v>
      </c>
      <c r="E858">
        <v>7</v>
      </c>
    </row>
    <row r="859">
      <c r="A859" t="s">
        <v>8</v>
      </c>
      <c r="B859" t="s">
        <v>168</v>
      </c>
      <c r="C859" t="s">
        <v>428</v>
      </c>
      <c r="D859">
        <v>47222</v>
      </c>
      <c r="E859">
        <v>6</v>
      </c>
    </row>
    <row r="860">
      <c r="A860" t="s">
        <v>13</v>
      </c>
      <c r="B860" t="s">
        <v>171</v>
      </c>
      <c r="C860" t="s">
        <v>428</v>
      </c>
      <c r="D860">
        <v>94680</v>
      </c>
      <c r="E860">
        <v>8</v>
      </c>
    </row>
    <row r="861">
      <c r="A861" t="s">
        <v>5</v>
      </c>
      <c r="B861" t="s">
        <v>246</v>
      </c>
      <c r="C861" t="s">
        <v>429</v>
      </c>
      <c r="D861">
        <v>91852</v>
      </c>
      <c r="E861">
        <v>5</v>
      </c>
    </row>
    <row r="862">
      <c r="A862" t="s">
        <v>47</v>
      </c>
      <c r="B862" t="s">
        <v>185</v>
      </c>
      <c r="C862" t="s">
        <v>430</v>
      </c>
      <c r="D862">
        <v>44683</v>
      </c>
      <c r="E862">
        <v>4</v>
      </c>
    </row>
    <row r="863">
      <c r="A863" t="s">
        <v>11</v>
      </c>
      <c r="B863" t="s">
        <v>241</v>
      </c>
      <c r="C863" t="s">
        <v>430</v>
      </c>
      <c r="D863">
        <v>67846</v>
      </c>
      <c r="E863">
        <v>9</v>
      </c>
    </row>
    <row r="864">
      <c r="A864" t="s">
        <v>21</v>
      </c>
      <c r="B864" t="s">
        <v>16</v>
      </c>
      <c r="C864" t="s">
        <v>430</v>
      </c>
      <c r="D864">
        <v>58869</v>
      </c>
      <c r="E864">
        <v>4</v>
      </c>
    </row>
    <row r="865">
      <c r="A865" t="s">
        <v>21</v>
      </c>
      <c r="B865" t="s">
        <v>144</v>
      </c>
      <c r="C865" t="s">
        <v>430</v>
      </c>
      <c r="D865">
        <v>98473</v>
      </c>
      <c r="E865">
        <v>7</v>
      </c>
    </row>
    <row r="866">
      <c r="A866" t="s">
        <v>5</v>
      </c>
      <c r="B866" t="s">
        <v>39</v>
      </c>
      <c r="C866" t="s">
        <v>430</v>
      </c>
      <c r="D866">
        <v>99120</v>
      </c>
      <c r="E866">
        <v>7</v>
      </c>
    </row>
    <row r="867">
      <c r="A867" t="s">
        <v>8</v>
      </c>
      <c r="B867" t="s">
        <v>93</v>
      </c>
      <c r="C867" t="s">
        <v>430</v>
      </c>
      <c r="D867">
        <v>83194</v>
      </c>
      <c r="E867">
        <v>7</v>
      </c>
    </row>
    <row r="868">
      <c r="A868" t="s">
        <v>28</v>
      </c>
      <c r="B868" t="s">
        <v>20</v>
      </c>
      <c r="C868" t="s">
        <v>431</v>
      </c>
      <c r="D868">
        <v>79521</v>
      </c>
      <c r="E868">
        <v>8</v>
      </c>
    </row>
    <row r="869">
      <c r="A869" t="s">
        <v>15</v>
      </c>
      <c r="B869" t="s">
        <v>142</v>
      </c>
      <c r="C869" t="s">
        <v>432</v>
      </c>
      <c r="D869">
        <v>97020</v>
      </c>
      <c r="E869">
        <v>5</v>
      </c>
    </row>
    <row r="870">
      <c r="A870" t="s">
        <v>11</v>
      </c>
      <c r="B870" t="s">
        <v>239</v>
      </c>
      <c r="C870" t="s">
        <v>432</v>
      </c>
      <c r="D870">
        <v>26445</v>
      </c>
      <c r="E870">
        <v>8</v>
      </c>
    </row>
    <row r="871">
      <c r="A871" t="s">
        <v>21</v>
      </c>
      <c r="B871" t="s">
        <v>93</v>
      </c>
      <c r="C871" t="s">
        <v>432</v>
      </c>
      <c r="D871">
        <v>23534</v>
      </c>
      <c r="E871">
        <v>5</v>
      </c>
    </row>
    <row r="872">
      <c r="A872" t="s">
        <v>8</v>
      </c>
      <c r="B872" t="s">
        <v>234</v>
      </c>
      <c r="C872" t="s">
        <v>432</v>
      </c>
      <c r="D872">
        <v>57036</v>
      </c>
      <c r="E872">
        <v>7</v>
      </c>
    </row>
    <row r="873">
      <c r="A873" t="s">
        <v>15</v>
      </c>
      <c r="B873" t="s">
        <v>135</v>
      </c>
      <c r="C873" t="s">
        <v>432</v>
      </c>
      <c r="D873">
        <v>60237</v>
      </c>
      <c r="E873">
        <v>9</v>
      </c>
    </row>
    <row r="874">
      <c r="A874" t="s">
        <v>13</v>
      </c>
      <c r="B874" t="s">
        <v>149</v>
      </c>
      <c r="C874" t="s">
        <v>433</v>
      </c>
      <c r="D874">
        <v>74021</v>
      </c>
      <c r="E874">
        <v>4</v>
      </c>
    </row>
    <row r="875">
      <c r="A875" t="s">
        <v>57</v>
      </c>
      <c r="B875" t="s">
        <v>172</v>
      </c>
      <c r="C875" t="s">
        <v>433</v>
      </c>
      <c r="D875">
        <v>55590</v>
      </c>
      <c r="E875">
        <v>7</v>
      </c>
    </row>
    <row r="876">
      <c r="A876" t="s">
        <v>21</v>
      </c>
      <c r="B876" t="s">
        <v>196</v>
      </c>
      <c r="C876" t="s">
        <v>433</v>
      </c>
      <c r="D876">
        <v>66401</v>
      </c>
      <c r="E876">
        <v>8</v>
      </c>
    </row>
    <row r="877">
      <c r="A877" t="s">
        <v>15</v>
      </c>
      <c r="B877" t="s">
        <v>96</v>
      </c>
      <c r="C877" t="s">
        <v>433</v>
      </c>
      <c r="D877">
        <v>20327</v>
      </c>
      <c r="E877">
        <v>9</v>
      </c>
    </row>
    <row r="878">
      <c r="A878" t="s">
        <v>28</v>
      </c>
      <c r="B878" t="s">
        <v>103</v>
      </c>
      <c r="C878" t="s">
        <v>433</v>
      </c>
      <c r="D878">
        <v>73203</v>
      </c>
      <c r="E878">
        <v>8</v>
      </c>
    </row>
    <row r="879">
      <c r="A879" t="s">
        <v>21</v>
      </c>
      <c r="B879" t="s">
        <v>256</v>
      </c>
      <c r="C879" t="s">
        <v>433</v>
      </c>
      <c r="D879">
        <v>10623</v>
      </c>
      <c r="E879">
        <v>8</v>
      </c>
    </row>
    <row r="880">
      <c r="A880" t="s">
        <v>24</v>
      </c>
      <c r="B880" t="s">
        <v>215</v>
      </c>
      <c r="C880" t="s">
        <v>433</v>
      </c>
      <c r="D880">
        <v>57033</v>
      </c>
      <c r="E880">
        <v>5</v>
      </c>
    </row>
    <row r="881">
      <c r="A881" t="s">
        <v>21</v>
      </c>
      <c r="B881" t="s">
        <v>209</v>
      </c>
      <c r="C881" t="s">
        <v>433</v>
      </c>
      <c r="D881">
        <v>35498</v>
      </c>
      <c r="E881">
        <v>3</v>
      </c>
    </row>
    <row r="882">
      <c r="A882" t="s">
        <v>28</v>
      </c>
      <c r="B882" t="s">
        <v>61</v>
      </c>
      <c r="C882" t="s">
        <v>433</v>
      </c>
      <c r="D882">
        <v>19608</v>
      </c>
      <c r="E882">
        <v>8</v>
      </c>
    </row>
    <row r="883">
      <c r="A883" t="s">
        <v>11</v>
      </c>
      <c r="B883" t="s">
        <v>239</v>
      </c>
      <c r="C883" t="s">
        <v>434</v>
      </c>
      <c r="D883">
        <v>45229</v>
      </c>
      <c r="E883">
        <v>8</v>
      </c>
    </row>
    <row r="884">
      <c r="A884" t="s">
        <v>17</v>
      </c>
      <c r="B884" t="s">
        <v>41</v>
      </c>
      <c r="C884" t="s">
        <v>434</v>
      </c>
      <c r="D884">
        <v>24411</v>
      </c>
      <c r="E884">
        <v>7</v>
      </c>
    </row>
    <row r="885">
      <c r="A885" t="s">
        <v>47</v>
      </c>
      <c r="B885" t="s">
        <v>63</v>
      </c>
      <c r="C885" t="s">
        <v>435</v>
      </c>
      <c r="D885">
        <v>79170</v>
      </c>
      <c r="E885">
        <v>6</v>
      </c>
    </row>
    <row r="886">
      <c r="A886" t="s">
        <v>8</v>
      </c>
      <c r="B886" t="s">
        <v>98</v>
      </c>
      <c r="C886" t="s">
        <v>436</v>
      </c>
      <c r="D886">
        <v>87825</v>
      </c>
      <c r="E886">
        <v>7</v>
      </c>
    </row>
    <row r="887">
      <c r="A887" t="s">
        <v>17</v>
      </c>
      <c r="B887" t="s">
        <v>102</v>
      </c>
      <c r="C887" t="s">
        <v>437</v>
      </c>
      <c r="D887">
        <v>27253</v>
      </c>
      <c r="E887">
        <v>9</v>
      </c>
    </row>
    <row r="888">
      <c r="A888" t="s">
        <v>15</v>
      </c>
      <c r="B888" t="s">
        <v>257</v>
      </c>
      <c r="C888" t="s">
        <v>437</v>
      </c>
      <c r="D888">
        <v>92005</v>
      </c>
      <c r="E888">
        <v>6</v>
      </c>
    </row>
    <row r="889">
      <c r="A889" t="s">
        <v>13</v>
      </c>
      <c r="B889" t="s">
        <v>138</v>
      </c>
      <c r="C889" t="s">
        <v>437</v>
      </c>
      <c r="D889">
        <v>17515</v>
      </c>
      <c r="E889">
        <v>3</v>
      </c>
    </row>
    <row r="890">
      <c r="A890" t="s">
        <v>17</v>
      </c>
      <c r="B890" t="s">
        <v>284</v>
      </c>
      <c r="C890" t="s">
        <v>437</v>
      </c>
      <c r="D890">
        <v>54900</v>
      </c>
      <c r="E890">
        <v>7</v>
      </c>
    </row>
    <row r="891">
      <c r="A891" t="s">
        <v>24</v>
      </c>
      <c r="B891" t="s">
        <v>383</v>
      </c>
      <c r="C891" t="s">
        <v>437</v>
      </c>
      <c r="D891">
        <v>16773</v>
      </c>
      <c r="E891">
        <v>8</v>
      </c>
    </row>
    <row r="892">
      <c r="A892" t="s">
        <v>47</v>
      </c>
      <c r="B892" t="s">
        <v>140</v>
      </c>
      <c r="C892" t="s">
        <v>437</v>
      </c>
      <c r="D892">
        <v>58506</v>
      </c>
      <c r="E892">
        <v>8</v>
      </c>
    </row>
    <row r="893">
      <c r="A893" t="s">
        <v>13</v>
      </c>
      <c r="B893" t="s">
        <v>73</v>
      </c>
      <c r="C893" t="s">
        <v>437</v>
      </c>
      <c r="D893">
        <v>95335</v>
      </c>
      <c r="E893">
        <v>4</v>
      </c>
    </row>
    <row r="894">
      <c r="A894" t="s">
        <v>43</v>
      </c>
      <c r="B894" t="s">
        <v>265</v>
      </c>
      <c r="C894" t="s">
        <v>437</v>
      </c>
      <c r="D894">
        <v>93427</v>
      </c>
      <c r="E894">
        <v>7</v>
      </c>
    </row>
    <row r="895">
      <c r="A895" t="s">
        <v>13</v>
      </c>
      <c r="B895" t="s">
        <v>14</v>
      </c>
      <c r="C895" t="s">
        <v>437</v>
      </c>
      <c r="D895">
        <v>57822</v>
      </c>
      <c r="E895">
        <v>3</v>
      </c>
    </row>
    <row r="896">
      <c r="A896" t="s">
        <v>11</v>
      </c>
      <c r="B896" t="s">
        <v>160</v>
      </c>
      <c r="C896" t="s">
        <v>437</v>
      </c>
      <c r="D896">
        <v>13385</v>
      </c>
      <c r="E896">
        <v>8</v>
      </c>
    </row>
    <row r="897">
      <c r="A897" t="s">
        <v>8</v>
      </c>
      <c r="B897" t="s">
        <v>272</v>
      </c>
      <c r="C897" t="s">
        <v>438</v>
      </c>
      <c r="D897">
        <v>35600</v>
      </c>
      <c r="E897">
        <v>6</v>
      </c>
    </row>
    <row r="898">
      <c r="A898" t="s">
        <v>13</v>
      </c>
      <c r="B898" t="s">
        <v>192</v>
      </c>
      <c r="C898" t="s">
        <v>438</v>
      </c>
      <c r="D898">
        <v>49106</v>
      </c>
      <c r="E898">
        <v>7</v>
      </c>
    </row>
    <row r="899">
      <c r="A899" t="s">
        <v>43</v>
      </c>
      <c r="B899" t="s">
        <v>291</v>
      </c>
      <c r="C899" t="s">
        <v>439</v>
      </c>
      <c r="D899">
        <v>48296</v>
      </c>
      <c r="E899">
        <v>10</v>
      </c>
    </row>
    <row r="900">
      <c r="A900" t="s">
        <v>43</v>
      </c>
      <c r="B900" t="s">
        <v>56</v>
      </c>
      <c r="C900" t="s">
        <v>439</v>
      </c>
      <c r="D900">
        <v>48796</v>
      </c>
      <c r="E900">
        <v>8</v>
      </c>
    </row>
    <row r="901">
      <c r="A901" t="s">
        <v>47</v>
      </c>
      <c r="B901" t="s">
        <v>273</v>
      </c>
      <c r="C901" t="s">
        <v>439</v>
      </c>
      <c r="D901">
        <v>20082</v>
      </c>
      <c r="E901">
        <v>4</v>
      </c>
    </row>
    <row r="902">
      <c r="A902" t="s">
        <v>57</v>
      </c>
      <c r="B902" t="s">
        <v>190</v>
      </c>
      <c r="C902" t="s">
        <v>440</v>
      </c>
      <c r="D902">
        <v>59374</v>
      </c>
      <c r="E902">
        <v>0</v>
      </c>
    </row>
    <row r="903">
      <c r="A903" t="s">
        <v>57</v>
      </c>
      <c r="B903" t="s">
        <v>91</v>
      </c>
      <c r="C903" t="s">
        <v>440</v>
      </c>
      <c r="D903">
        <v>21862</v>
      </c>
      <c r="E903">
        <v>7</v>
      </c>
    </row>
    <row r="904">
      <c r="A904" t="s">
        <v>15</v>
      </c>
      <c r="B904" t="s">
        <v>177</v>
      </c>
      <c r="C904" t="s">
        <v>441</v>
      </c>
      <c r="D904">
        <v>56210</v>
      </c>
      <c r="E904">
        <v>7</v>
      </c>
    </row>
    <row r="905">
      <c r="A905" t="s">
        <v>11</v>
      </c>
      <c r="B905" t="s">
        <v>81</v>
      </c>
      <c r="C905" t="s">
        <v>441</v>
      </c>
      <c r="D905">
        <v>92258</v>
      </c>
      <c r="E905">
        <v>9</v>
      </c>
    </row>
    <row r="906">
      <c r="A906" t="s">
        <v>28</v>
      </c>
      <c r="B906" t="s">
        <v>217</v>
      </c>
      <c r="C906" t="s">
        <v>441</v>
      </c>
      <c r="D906">
        <v>30225</v>
      </c>
      <c r="E906">
        <v>7</v>
      </c>
    </row>
    <row r="907">
      <c r="A907" t="s">
        <v>17</v>
      </c>
      <c r="B907" t="s">
        <v>85</v>
      </c>
      <c r="C907" t="s">
        <v>441</v>
      </c>
      <c r="D907">
        <v>55450</v>
      </c>
      <c r="E907">
        <v>9</v>
      </c>
    </row>
    <row r="908">
      <c r="A908" t="s">
        <v>11</v>
      </c>
      <c r="B908" t="s">
        <v>154</v>
      </c>
      <c r="C908" t="s">
        <v>441</v>
      </c>
      <c r="D908">
        <v>69698</v>
      </c>
      <c r="E908">
        <v>8</v>
      </c>
    </row>
    <row r="909">
      <c r="A909" t="s">
        <v>21</v>
      </c>
      <c r="B909" t="s">
        <v>222</v>
      </c>
      <c r="C909" t="s">
        <v>442</v>
      </c>
      <c r="D909">
        <v>37929</v>
      </c>
      <c r="E909">
        <v>6</v>
      </c>
    </row>
    <row r="910">
      <c r="A910" t="s">
        <v>24</v>
      </c>
      <c r="B910" t="s">
        <v>81</v>
      </c>
      <c r="C910" t="s">
        <v>442</v>
      </c>
      <c r="D910">
        <v>41495</v>
      </c>
      <c r="E910">
        <v>7</v>
      </c>
    </row>
    <row r="911">
      <c r="A911" t="s">
        <v>28</v>
      </c>
      <c r="B911" t="s">
        <v>331</v>
      </c>
      <c r="C911" t="s">
        <v>442</v>
      </c>
      <c r="D911">
        <v>36514</v>
      </c>
      <c r="E911">
        <v>8</v>
      </c>
    </row>
    <row r="912">
      <c r="A912" t="s">
        <v>15</v>
      </c>
      <c r="B912" t="s">
        <v>168</v>
      </c>
      <c r="C912" t="s">
        <v>442</v>
      </c>
      <c r="D912">
        <v>56651</v>
      </c>
      <c r="E912">
        <v>8</v>
      </c>
    </row>
    <row r="913">
      <c r="A913" t="s">
        <v>17</v>
      </c>
      <c r="B913" t="s">
        <v>70</v>
      </c>
      <c r="C913" t="s">
        <v>442</v>
      </c>
      <c r="D913">
        <v>12297</v>
      </c>
      <c r="E913">
        <v>9</v>
      </c>
    </row>
    <row r="914">
      <c r="A914" t="s">
        <v>17</v>
      </c>
      <c r="B914" t="s">
        <v>105</v>
      </c>
      <c r="C914" t="s">
        <v>442</v>
      </c>
      <c r="D914">
        <v>92689</v>
      </c>
      <c r="E914">
        <v>2</v>
      </c>
    </row>
    <row r="915">
      <c r="A915" t="s">
        <v>13</v>
      </c>
      <c r="B915" t="s">
        <v>116</v>
      </c>
      <c r="C915" t="s">
        <v>443</v>
      </c>
      <c r="D915">
        <v>85407</v>
      </c>
      <c r="E915">
        <v>9</v>
      </c>
    </row>
    <row r="916">
      <c r="A916" t="s">
        <v>47</v>
      </c>
      <c r="B916" t="s">
        <v>70</v>
      </c>
      <c r="C916" t="s">
        <v>443</v>
      </c>
      <c r="D916">
        <v>12525</v>
      </c>
      <c r="E916">
        <v>9</v>
      </c>
    </row>
    <row r="917">
      <c r="A917" t="s">
        <v>13</v>
      </c>
      <c r="B917" t="s">
        <v>157</v>
      </c>
      <c r="C917" t="s">
        <v>443</v>
      </c>
      <c r="D917">
        <v>18380</v>
      </c>
      <c r="E917">
        <v>5</v>
      </c>
    </row>
    <row r="918">
      <c r="A918" t="s">
        <v>13</v>
      </c>
      <c r="B918" t="s">
        <v>68</v>
      </c>
      <c r="C918" t="s">
        <v>443</v>
      </c>
      <c r="D918">
        <v>13246</v>
      </c>
      <c r="E918">
        <v>2</v>
      </c>
    </row>
    <row r="919">
      <c r="A919" t="s">
        <v>47</v>
      </c>
      <c r="B919" t="s">
        <v>208</v>
      </c>
      <c r="C919" t="s">
        <v>444</v>
      </c>
      <c r="D919">
        <v>64304</v>
      </c>
      <c r="E919">
        <v>5</v>
      </c>
    </row>
    <row r="920">
      <c r="A920" t="s">
        <v>47</v>
      </c>
      <c r="B920" t="s">
        <v>131</v>
      </c>
      <c r="C920" t="s">
        <v>445</v>
      </c>
      <c r="D920">
        <v>32044</v>
      </c>
      <c r="E920">
        <v>7</v>
      </c>
    </row>
    <row r="921">
      <c r="A921" t="s">
        <v>57</v>
      </c>
      <c r="B921" t="s">
        <v>222</v>
      </c>
      <c r="C921" t="s">
        <v>446</v>
      </c>
      <c r="D921">
        <v>72249</v>
      </c>
      <c r="E921">
        <v>6</v>
      </c>
    </row>
    <row r="922">
      <c r="A922" t="s">
        <v>8</v>
      </c>
      <c r="B922" t="s">
        <v>75</v>
      </c>
      <c r="C922" t="s">
        <v>446</v>
      </c>
      <c r="D922">
        <v>71088</v>
      </c>
      <c r="E922">
        <v>10</v>
      </c>
    </row>
    <row r="923">
      <c r="A923" t="s">
        <v>21</v>
      </c>
      <c r="B923" t="s">
        <v>287</v>
      </c>
      <c r="C923" t="s">
        <v>446</v>
      </c>
      <c r="D923">
        <v>95725</v>
      </c>
      <c r="E923">
        <v>2</v>
      </c>
    </row>
    <row r="924">
      <c r="A924" t="s">
        <v>15</v>
      </c>
      <c r="B924" t="s">
        <v>305</v>
      </c>
      <c r="C924" t="s">
        <v>446</v>
      </c>
      <c r="D924">
        <v>25535</v>
      </c>
      <c r="E924">
        <v>5</v>
      </c>
    </row>
    <row r="925">
      <c r="A925" t="s">
        <v>11</v>
      </c>
      <c r="B925" t="s">
        <v>68</v>
      </c>
      <c r="C925" t="s">
        <v>446</v>
      </c>
      <c r="D925">
        <v>28968</v>
      </c>
      <c r="E925">
        <v>7</v>
      </c>
    </row>
    <row r="926">
      <c r="A926" t="s">
        <v>24</v>
      </c>
      <c r="B926" t="s">
        <v>270</v>
      </c>
      <c r="C926" t="s">
        <v>446</v>
      </c>
      <c r="D926">
        <v>44406</v>
      </c>
      <c r="E926">
        <v>8</v>
      </c>
    </row>
    <row r="927">
      <c r="A927" t="s">
        <v>13</v>
      </c>
      <c r="B927" t="s">
        <v>214</v>
      </c>
      <c r="C927" t="s">
        <v>446</v>
      </c>
      <c r="D927">
        <v>62254</v>
      </c>
      <c r="E927">
        <v>9</v>
      </c>
    </row>
    <row r="928">
      <c r="A928" t="s">
        <v>8</v>
      </c>
      <c r="B928" t="s">
        <v>222</v>
      </c>
      <c r="C928" t="s">
        <v>446</v>
      </c>
      <c r="D928">
        <v>41244</v>
      </c>
      <c r="E928">
        <v>4</v>
      </c>
    </row>
    <row r="929">
      <c r="A929" t="s">
        <v>5</v>
      </c>
      <c r="B929" t="s">
        <v>20</v>
      </c>
      <c r="C929" t="s">
        <v>446</v>
      </c>
      <c r="D929">
        <v>82115</v>
      </c>
      <c r="E929">
        <v>7</v>
      </c>
    </row>
    <row r="930">
      <c r="A930" t="s">
        <v>24</v>
      </c>
      <c r="B930" t="s">
        <v>302</v>
      </c>
      <c r="C930" t="s">
        <v>447</v>
      </c>
      <c r="D930">
        <v>31805</v>
      </c>
      <c r="E930">
        <v>9</v>
      </c>
    </row>
    <row r="931">
      <c r="A931" t="s">
        <v>43</v>
      </c>
      <c r="B931" t="s">
        <v>206</v>
      </c>
      <c r="C931" t="s">
        <v>447</v>
      </c>
      <c r="D931">
        <v>85215</v>
      </c>
      <c r="E931">
        <v>6</v>
      </c>
    </row>
    <row r="932">
      <c r="A932" t="s">
        <v>57</v>
      </c>
      <c r="B932" t="s">
        <v>185</v>
      </c>
      <c r="C932" t="s">
        <v>447</v>
      </c>
      <c r="D932">
        <v>19140</v>
      </c>
      <c r="E932">
        <v>7</v>
      </c>
    </row>
    <row r="933">
      <c r="A933" t="s">
        <v>5</v>
      </c>
      <c r="B933" t="s">
        <v>217</v>
      </c>
      <c r="C933" t="s">
        <v>447</v>
      </c>
      <c r="D933">
        <v>27186</v>
      </c>
      <c r="E933">
        <v>9</v>
      </c>
    </row>
    <row r="934">
      <c r="A934" t="s">
        <v>28</v>
      </c>
      <c r="B934" t="s">
        <v>103</v>
      </c>
      <c r="C934" t="s">
        <v>447</v>
      </c>
      <c r="D934">
        <v>65170</v>
      </c>
      <c r="E934">
        <v>4</v>
      </c>
    </row>
    <row r="935">
      <c r="A935" t="s">
        <v>17</v>
      </c>
      <c r="B935" t="s">
        <v>278</v>
      </c>
      <c r="C935" t="s">
        <v>448</v>
      </c>
      <c r="D935">
        <v>20341</v>
      </c>
      <c r="E935">
        <v>6</v>
      </c>
    </row>
    <row r="936">
      <c r="A936" t="s">
        <v>21</v>
      </c>
      <c r="B936" t="s">
        <v>227</v>
      </c>
      <c r="C936" t="s">
        <v>448</v>
      </c>
      <c r="D936">
        <v>14407</v>
      </c>
      <c r="E936">
        <v>6</v>
      </c>
    </row>
    <row r="937">
      <c r="A937" t="s">
        <v>8</v>
      </c>
      <c r="B937" t="s">
        <v>97</v>
      </c>
      <c r="C937" t="s">
        <v>448</v>
      </c>
      <c r="D937">
        <v>90825</v>
      </c>
      <c r="E937">
        <v>7</v>
      </c>
    </row>
    <row r="938">
      <c r="A938" t="s">
        <v>13</v>
      </c>
      <c r="B938" t="s">
        <v>344</v>
      </c>
      <c r="C938" t="s">
        <v>448</v>
      </c>
      <c r="D938">
        <v>86342</v>
      </c>
      <c r="E938">
        <v>5</v>
      </c>
    </row>
    <row r="939">
      <c r="A939" t="s">
        <v>57</v>
      </c>
      <c r="B939" t="s">
        <v>272</v>
      </c>
      <c r="C939" t="s">
        <v>449</v>
      </c>
      <c r="D939">
        <v>21682</v>
      </c>
      <c r="E939">
        <v>6</v>
      </c>
    </row>
    <row r="940">
      <c r="A940" t="s">
        <v>28</v>
      </c>
      <c r="B940" t="s">
        <v>204</v>
      </c>
      <c r="C940" t="s">
        <v>449</v>
      </c>
      <c r="D940">
        <v>43964</v>
      </c>
      <c r="E940">
        <v>7</v>
      </c>
    </row>
    <row r="941">
      <c r="A941" t="s">
        <v>21</v>
      </c>
      <c r="B941" t="s">
        <v>131</v>
      </c>
      <c r="C941" t="s">
        <v>449</v>
      </c>
      <c r="D941">
        <v>60614</v>
      </c>
      <c r="E941">
        <v>9</v>
      </c>
    </row>
    <row r="942">
      <c r="A942" t="s">
        <v>13</v>
      </c>
      <c r="B942" t="s">
        <v>87</v>
      </c>
      <c r="C942" t="s">
        <v>449</v>
      </c>
      <c r="D942">
        <v>81687</v>
      </c>
      <c r="E942">
        <v>9</v>
      </c>
    </row>
    <row r="943">
      <c r="A943" t="s">
        <v>11</v>
      </c>
      <c r="B943" t="s">
        <v>370</v>
      </c>
      <c r="C943" t="s">
        <v>449</v>
      </c>
      <c r="D943">
        <v>51926</v>
      </c>
      <c r="E943">
        <v>2</v>
      </c>
    </row>
    <row r="944">
      <c r="A944" t="s">
        <v>17</v>
      </c>
      <c r="B944" t="s">
        <v>16</v>
      </c>
      <c r="C944" t="s">
        <v>450</v>
      </c>
      <c r="D944">
        <v>30853</v>
      </c>
      <c r="E944">
        <v>7</v>
      </c>
    </row>
    <row r="945">
      <c r="A945" t="s">
        <v>17</v>
      </c>
      <c r="B945" t="s">
        <v>184</v>
      </c>
      <c r="C945" t="s">
        <v>450</v>
      </c>
      <c r="D945">
        <v>34319</v>
      </c>
      <c r="E945">
        <v>8</v>
      </c>
    </row>
    <row r="946">
      <c r="A946" t="s">
        <v>21</v>
      </c>
      <c r="B946" t="s">
        <v>69</v>
      </c>
      <c r="C946" t="s">
        <v>450</v>
      </c>
      <c r="D946">
        <v>78011</v>
      </c>
      <c r="E946">
        <v>2</v>
      </c>
    </row>
    <row r="947">
      <c r="A947" t="s">
        <v>21</v>
      </c>
      <c r="B947" t="s">
        <v>117</v>
      </c>
      <c r="C947" t="s">
        <v>451</v>
      </c>
      <c r="D947">
        <v>10279</v>
      </c>
      <c r="E947">
        <v>7</v>
      </c>
    </row>
    <row r="948">
      <c r="A948" t="s">
        <v>17</v>
      </c>
      <c r="B948" t="s">
        <v>272</v>
      </c>
      <c r="C948" t="s">
        <v>451</v>
      </c>
      <c r="D948">
        <v>21232</v>
      </c>
      <c r="E948">
        <v>8</v>
      </c>
    </row>
    <row r="949">
      <c r="A949" t="s">
        <v>5</v>
      </c>
      <c r="B949" t="s">
        <v>291</v>
      </c>
      <c r="C949" t="s">
        <v>451</v>
      </c>
      <c r="D949">
        <v>82408</v>
      </c>
      <c r="E949">
        <v>7</v>
      </c>
    </row>
    <row r="950">
      <c r="A950" t="s">
        <v>47</v>
      </c>
      <c r="B950" t="s">
        <v>192</v>
      </c>
      <c r="C950" t="s">
        <v>451</v>
      </c>
      <c r="D950">
        <v>91595</v>
      </c>
      <c r="E950">
        <v>6</v>
      </c>
    </row>
    <row r="951">
      <c r="A951" t="s">
        <v>13</v>
      </c>
      <c r="B951" t="s">
        <v>149</v>
      </c>
      <c r="C951" t="s">
        <v>451</v>
      </c>
      <c r="D951">
        <v>45194</v>
      </c>
      <c r="E951">
        <v>10</v>
      </c>
    </row>
    <row r="952">
      <c r="A952" t="s">
        <v>21</v>
      </c>
      <c r="B952" t="s">
        <v>44</v>
      </c>
      <c r="C952" t="s">
        <v>452</v>
      </c>
      <c r="D952">
        <v>56467</v>
      </c>
      <c r="E952">
        <v>8</v>
      </c>
    </row>
    <row r="953">
      <c r="A953" t="s">
        <v>43</v>
      </c>
      <c r="B953" t="s">
        <v>95</v>
      </c>
      <c r="C953" t="s">
        <v>452</v>
      </c>
      <c r="D953">
        <v>60240</v>
      </c>
      <c r="E953">
        <v>8</v>
      </c>
    </row>
    <row r="954">
      <c r="A954" t="s">
        <v>13</v>
      </c>
      <c r="B954" t="s">
        <v>240</v>
      </c>
      <c r="C954" t="s">
        <v>452</v>
      </c>
      <c r="D954">
        <v>58463</v>
      </c>
      <c r="E954">
        <v>5</v>
      </c>
    </row>
    <row r="955">
      <c r="A955" t="s">
        <v>47</v>
      </c>
      <c r="B955" t="s">
        <v>60</v>
      </c>
      <c r="C955" t="s">
        <v>453</v>
      </c>
      <c r="D955">
        <v>98151</v>
      </c>
      <c r="E955">
        <v>2</v>
      </c>
    </row>
    <row r="956">
      <c r="A956" t="s">
        <v>17</v>
      </c>
      <c r="B956" t="s">
        <v>302</v>
      </c>
      <c r="C956" t="s">
        <v>453</v>
      </c>
      <c r="D956">
        <v>71677</v>
      </c>
      <c r="E956">
        <v>4</v>
      </c>
    </row>
    <row r="957">
      <c r="A957" t="s">
        <v>24</v>
      </c>
      <c r="B957" t="s">
        <v>157</v>
      </c>
      <c r="C957" t="s">
        <v>454</v>
      </c>
      <c r="D957">
        <v>33768</v>
      </c>
      <c r="E957">
        <v>2</v>
      </c>
    </row>
    <row r="958">
      <c r="A958" t="s">
        <v>15</v>
      </c>
      <c r="B958" t="s">
        <v>252</v>
      </c>
      <c r="C958" t="s">
        <v>454</v>
      </c>
      <c r="D958">
        <v>55381</v>
      </c>
      <c r="E958">
        <v>7</v>
      </c>
    </row>
    <row r="959">
      <c r="A959" t="s">
        <v>28</v>
      </c>
      <c r="B959" t="s">
        <v>365</v>
      </c>
      <c r="C959" t="s">
        <v>454</v>
      </c>
      <c r="D959">
        <v>70364</v>
      </c>
      <c r="E959">
        <v>10</v>
      </c>
    </row>
    <row r="960">
      <c r="A960" t="s">
        <v>47</v>
      </c>
      <c r="B960" t="s">
        <v>99</v>
      </c>
      <c r="C960" t="s">
        <v>454</v>
      </c>
      <c r="D960">
        <v>37641</v>
      </c>
      <c r="E960">
        <v>2</v>
      </c>
    </row>
    <row r="961">
      <c r="A961" t="s">
        <v>28</v>
      </c>
      <c r="B961" t="s">
        <v>267</v>
      </c>
      <c r="C961" t="s">
        <v>455</v>
      </c>
      <c r="D961">
        <v>71524</v>
      </c>
      <c r="E961">
        <v>7</v>
      </c>
    </row>
    <row r="962">
      <c r="A962" t="s">
        <v>21</v>
      </c>
      <c r="B962" t="s">
        <v>41</v>
      </c>
      <c r="C962" t="s">
        <v>455</v>
      </c>
      <c r="D962">
        <v>42201</v>
      </c>
      <c r="E962">
        <v>4</v>
      </c>
    </row>
    <row r="963">
      <c r="A963" t="s">
        <v>21</v>
      </c>
      <c r="B963" t="s">
        <v>222</v>
      </c>
      <c r="C963" t="s">
        <v>455</v>
      </c>
      <c r="D963">
        <v>66103</v>
      </c>
      <c r="E963">
        <v>6</v>
      </c>
    </row>
    <row r="964">
      <c r="A964" t="s">
        <v>17</v>
      </c>
      <c r="B964" t="s">
        <v>212</v>
      </c>
      <c r="C964" t="s">
        <v>455</v>
      </c>
      <c r="D964">
        <v>51026</v>
      </c>
      <c r="E964">
        <v>9</v>
      </c>
    </row>
    <row r="965">
      <c r="A965" t="s">
        <v>57</v>
      </c>
      <c r="B965" t="s">
        <v>234</v>
      </c>
      <c r="C965" t="s">
        <v>456</v>
      </c>
      <c r="D965">
        <v>59376</v>
      </c>
      <c r="E965">
        <v>6</v>
      </c>
    </row>
    <row r="966">
      <c r="A966" t="s">
        <v>8</v>
      </c>
      <c r="B966" t="s">
        <v>250</v>
      </c>
      <c r="C966" t="s">
        <v>456</v>
      </c>
      <c r="D966">
        <v>57126</v>
      </c>
      <c r="E966">
        <v>7</v>
      </c>
    </row>
    <row r="967">
      <c r="A967" t="s">
        <v>21</v>
      </c>
      <c r="B967" t="s">
        <v>252</v>
      </c>
      <c r="C967" t="s">
        <v>456</v>
      </c>
      <c r="D967">
        <v>70342</v>
      </c>
      <c r="E967">
        <v>6</v>
      </c>
    </row>
    <row r="968">
      <c r="A968" t="s">
        <v>43</v>
      </c>
      <c r="B968" t="s">
        <v>59</v>
      </c>
      <c r="C968" t="s">
        <v>456</v>
      </c>
      <c r="D968">
        <v>31098</v>
      </c>
      <c r="E968">
        <v>8</v>
      </c>
    </row>
    <row r="969">
      <c r="A969" t="s">
        <v>43</v>
      </c>
      <c r="B969" t="s">
        <v>83</v>
      </c>
      <c r="C969" t="s">
        <v>456</v>
      </c>
      <c r="D969">
        <v>39620</v>
      </c>
      <c r="E969">
        <v>7</v>
      </c>
    </row>
    <row r="970">
      <c r="A970" t="s">
        <v>57</v>
      </c>
      <c r="B970" t="s">
        <v>119</v>
      </c>
      <c r="C970" t="s">
        <v>456</v>
      </c>
      <c r="D970">
        <v>27694</v>
      </c>
      <c r="E970">
        <v>3</v>
      </c>
    </row>
    <row r="971">
      <c r="A971" t="s">
        <v>28</v>
      </c>
      <c r="B971" t="s">
        <v>89</v>
      </c>
      <c r="C971" t="s">
        <v>456</v>
      </c>
      <c r="D971">
        <v>22782</v>
      </c>
      <c r="E971">
        <v>0</v>
      </c>
    </row>
    <row r="972">
      <c r="A972" t="s">
        <v>43</v>
      </c>
      <c r="B972" t="s">
        <v>68</v>
      </c>
      <c r="C972" t="s">
        <v>456</v>
      </c>
      <c r="D972">
        <v>39468</v>
      </c>
      <c r="E972">
        <v>5</v>
      </c>
    </row>
    <row r="973">
      <c r="A973" t="s">
        <v>21</v>
      </c>
      <c r="B973" t="s">
        <v>302</v>
      </c>
      <c r="C973" t="s">
        <v>457</v>
      </c>
      <c r="D973">
        <v>90665</v>
      </c>
      <c r="E973">
        <v>7</v>
      </c>
    </row>
    <row r="974">
      <c r="A974" t="s">
        <v>28</v>
      </c>
      <c r="B974" t="s">
        <v>102</v>
      </c>
      <c r="C974" t="s">
        <v>458</v>
      </c>
      <c r="D974">
        <v>84491</v>
      </c>
      <c r="E974">
        <v>5</v>
      </c>
    </row>
    <row r="975">
      <c r="A975" t="s">
        <v>28</v>
      </c>
      <c r="B975" t="s">
        <v>237</v>
      </c>
      <c r="C975" t="s">
        <v>458</v>
      </c>
      <c r="D975">
        <v>91415</v>
      </c>
      <c r="E975">
        <v>2</v>
      </c>
    </row>
    <row r="976">
      <c r="A976" t="s">
        <v>43</v>
      </c>
      <c r="B976" t="s">
        <v>198</v>
      </c>
      <c r="C976" t="s">
        <v>458</v>
      </c>
      <c r="D976">
        <v>30984</v>
      </c>
      <c r="E976">
        <v>5</v>
      </c>
    </row>
    <row r="977">
      <c r="A977" t="s">
        <v>57</v>
      </c>
      <c r="B977" t="s">
        <v>172</v>
      </c>
      <c r="C977" t="s">
        <v>458</v>
      </c>
      <c r="D977">
        <v>18403</v>
      </c>
      <c r="E977">
        <v>8</v>
      </c>
    </row>
    <row r="978">
      <c r="A978" t="s">
        <v>24</v>
      </c>
      <c r="B978" t="s">
        <v>257</v>
      </c>
      <c r="C978" t="s">
        <v>459</v>
      </c>
      <c r="D978">
        <v>25767</v>
      </c>
      <c r="E978">
        <v>3</v>
      </c>
    </row>
    <row r="979">
      <c r="A979" t="s">
        <v>17</v>
      </c>
      <c r="B979" t="s">
        <v>248</v>
      </c>
      <c r="C979" t="s">
        <v>459</v>
      </c>
      <c r="D979">
        <v>40827</v>
      </c>
      <c r="E979">
        <v>3</v>
      </c>
    </row>
    <row r="980">
      <c r="A980" t="s">
        <v>24</v>
      </c>
      <c r="B980" t="s">
        <v>19</v>
      </c>
      <c r="C980" t="s">
        <v>460</v>
      </c>
      <c r="D980">
        <v>33629</v>
      </c>
      <c r="E980">
        <v>3</v>
      </c>
    </row>
    <row r="981">
      <c r="A981" t="s">
        <v>43</v>
      </c>
      <c r="B981" t="s">
        <v>128</v>
      </c>
      <c r="C981" t="s">
        <v>460</v>
      </c>
      <c r="D981">
        <v>20242</v>
      </c>
      <c r="E981">
        <v>6</v>
      </c>
    </row>
    <row r="982">
      <c r="A982" t="s">
        <v>8</v>
      </c>
      <c r="B982" t="s">
        <v>157</v>
      </c>
      <c r="C982" t="s">
        <v>460</v>
      </c>
      <c r="D982">
        <v>75821</v>
      </c>
      <c r="E982">
        <v>2</v>
      </c>
    </row>
    <row r="983">
      <c r="A983" t="s">
        <v>8</v>
      </c>
      <c r="B983" t="s">
        <v>189</v>
      </c>
      <c r="C983" t="s">
        <v>460</v>
      </c>
      <c r="D983">
        <v>13957</v>
      </c>
      <c r="E983">
        <v>7</v>
      </c>
    </row>
    <row r="984">
      <c r="A984" t="s">
        <v>17</v>
      </c>
      <c r="B984" t="s">
        <v>363</v>
      </c>
      <c r="C984" t="s">
        <v>460</v>
      </c>
      <c r="D984">
        <v>86614</v>
      </c>
      <c r="E984">
        <v>6</v>
      </c>
    </row>
    <row r="985">
      <c r="A985" t="s">
        <v>8</v>
      </c>
      <c r="B985" t="s">
        <v>276</v>
      </c>
      <c r="C985" t="s">
        <v>460</v>
      </c>
      <c r="D985">
        <v>15468</v>
      </c>
      <c r="E985">
        <v>10</v>
      </c>
    </row>
    <row r="986">
      <c r="A986" t="s">
        <v>11</v>
      </c>
      <c r="B986" t="s">
        <v>403</v>
      </c>
      <c r="C986" t="s">
        <v>460</v>
      </c>
      <c r="D986">
        <v>85344</v>
      </c>
      <c r="E986">
        <v>9</v>
      </c>
    </row>
    <row r="987">
      <c r="A987" t="s">
        <v>8</v>
      </c>
      <c r="B987" t="s">
        <v>38</v>
      </c>
      <c r="C987" t="s">
        <v>460</v>
      </c>
      <c r="D987">
        <v>60663</v>
      </c>
      <c r="E987">
        <v>7</v>
      </c>
    </row>
    <row r="988">
      <c r="A988" t="s">
        <v>57</v>
      </c>
      <c r="B988" t="s">
        <v>42</v>
      </c>
      <c r="C988" t="s">
        <v>461</v>
      </c>
      <c r="D988">
        <v>49390</v>
      </c>
      <c r="E988">
        <v>7</v>
      </c>
    </row>
    <row r="989">
      <c r="A989" t="s">
        <v>47</v>
      </c>
      <c r="B989" t="s">
        <v>462</v>
      </c>
      <c r="C989" t="s">
        <v>461</v>
      </c>
      <c r="D989">
        <v>70414</v>
      </c>
      <c r="E989">
        <v>8</v>
      </c>
    </row>
    <row r="990">
      <c r="A990" t="s">
        <v>17</v>
      </c>
      <c r="B990" t="s">
        <v>144</v>
      </c>
      <c r="C990" t="s">
        <v>461</v>
      </c>
      <c r="D990">
        <v>53145</v>
      </c>
      <c r="E990">
        <v>7</v>
      </c>
    </row>
    <row r="991">
      <c r="A991" t="s">
        <v>15</v>
      </c>
      <c r="B991" t="s">
        <v>128</v>
      </c>
      <c r="C991" t="s">
        <v>461</v>
      </c>
      <c r="D991">
        <v>13623</v>
      </c>
      <c r="E991">
        <v>8</v>
      </c>
    </row>
    <row r="992">
      <c r="A992" t="s">
        <v>21</v>
      </c>
      <c r="B992" t="s">
        <v>143</v>
      </c>
      <c r="C992" t="s">
        <v>463</v>
      </c>
      <c r="D992">
        <v>96785</v>
      </c>
      <c r="E992">
        <v>3</v>
      </c>
    </row>
    <row r="993">
      <c r="A993" t="s">
        <v>43</v>
      </c>
      <c r="B993" t="s">
        <v>81</v>
      </c>
      <c r="C993" t="s">
        <v>463</v>
      </c>
      <c r="D993">
        <v>28413</v>
      </c>
      <c r="E993">
        <v>3</v>
      </c>
    </row>
    <row r="994">
      <c r="A994" t="s">
        <v>8</v>
      </c>
      <c r="B994" t="s">
        <v>248</v>
      </c>
      <c r="C994" t="s">
        <v>464</v>
      </c>
      <c r="D994">
        <v>87625</v>
      </c>
      <c r="E994">
        <v>6</v>
      </c>
    </row>
    <row r="995">
      <c r="A995" t="s">
        <v>57</v>
      </c>
      <c r="B995" t="s">
        <v>231</v>
      </c>
      <c r="C995" t="s">
        <v>464</v>
      </c>
      <c r="D995">
        <v>29133</v>
      </c>
      <c r="E995">
        <v>9</v>
      </c>
    </row>
    <row r="996">
      <c r="A996" t="s">
        <v>8</v>
      </c>
      <c r="B996" t="s">
        <v>263</v>
      </c>
      <c r="C996" t="s">
        <v>464</v>
      </c>
      <c r="D996">
        <v>69956</v>
      </c>
      <c r="E996">
        <v>6</v>
      </c>
    </row>
    <row r="997">
      <c r="A997" t="s">
        <v>17</v>
      </c>
      <c r="B997" t="s">
        <v>142</v>
      </c>
      <c r="C997" t="s">
        <v>465</v>
      </c>
      <c r="D997">
        <v>59941</v>
      </c>
      <c r="E997">
        <v>9</v>
      </c>
    </row>
    <row r="998">
      <c r="A998" t="s">
        <v>43</v>
      </c>
      <c r="B998" t="s">
        <v>227</v>
      </c>
      <c r="C998" t="s">
        <v>465</v>
      </c>
      <c r="D998">
        <v>41559</v>
      </c>
      <c r="E998">
        <v>9</v>
      </c>
    </row>
    <row r="999">
      <c r="A999" t="s">
        <v>24</v>
      </c>
      <c r="B999" t="s">
        <v>316</v>
      </c>
      <c r="C999" t="s">
        <v>465</v>
      </c>
      <c r="D999">
        <v>61487</v>
      </c>
      <c r="E999">
        <v>8</v>
      </c>
    </row>
    <row r="1000">
      <c r="A1000" t="s">
        <v>24</v>
      </c>
      <c r="B1000" t="s">
        <v>257</v>
      </c>
      <c r="C1000" t="s">
        <v>465</v>
      </c>
      <c r="D1000">
        <v>31052</v>
      </c>
      <c r="E1000">
        <v>9</v>
      </c>
    </row>
    <row r="1001">
      <c r="A1001" t="s">
        <v>5</v>
      </c>
      <c r="B1001" t="s">
        <v>174</v>
      </c>
      <c r="C1001" t="s">
        <v>466</v>
      </c>
      <c r="D1001">
        <v>76169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workbookViewId="0" topLeftCell="A61" zoomScale="90" zoomScaleNormal="90" tabSelected="1">
      <selection sqref="C19" activeCell="C19" activeCellId="0"/>
    </sheetView>
  </sheetViews>
  <sheetFormatPr defaultRowHeight="15" x14ac:dyDescent="0.25" outlineLevelRow="0" outlineLevelCol="0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8" width="13.140625" customWidth="1"/>
    <col min="9" max="9" width="13.140625" customWidth="1"/>
    <col min="10" max="10" width="14.28515625" customWidth="1"/>
    <col min="11" max="11" width="13.140625" customWidth="1"/>
    <col min="12" max="12" width="13.140625" customWidth="1"/>
    <col min="13" max="13" width="13.140625" customWidth="1"/>
    <col min="14" max="14" width="13.140625" customWidth="1"/>
    <col min="15" max="15" width="13.140625" customWidth="1"/>
    <col min="16" max="16" width="13.140625" customWidth="1"/>
    <col min="17" max="17" width="13.140625" customWidth="1"/>
    <col min="18" max="18" width="13.140625" customWidth="1"/>
    <col min="19" max="19" width="13.140625" customWidth="1"/>
    <col min="20" max="20" width="13.140625" customWidth="1"/>
    <col min="21" max="21" width="13.140625" customWidth="1"/>
    <col min="22" max="22" width="13.140625" customWidth="1"/>
    <col min="23" max="23" width="13.140625" customWidth="1"/>
    <col min="24" max="24" width="13.140625" customWidth="1"/>
    <col min="25" max="25" width="13.140625" customWidth="1"/>
    <col min="26" max="26" width="13.140625" customWidth="1"/>
    <col min="27" max="27" width="13.140625" customWidth="1"/>
    <col min="28" max="28" width="13.140625" customWidth="1"/>
    <col min="29" max="29" width="13.140625" customWidth="1"/>
    <col min="30" max="30" width="13.140625" customWidth="1"/>
    <col min="31" max="31" width="13.140625" customWidth="1"/>
    <col min="32" max="32" width="13.140625" customWidth="1"/>
    <col min="33" max="33" width="13.140625" customWidth="1"/>
    <col min="34" max="34" width="13.140625" customWidth="1"/>
    <col min="35" max="35" width="13.140625" customWidth="1"/>
  </cols>
  <sheetData>
    <row r="1">
      <c r="A1" t="s">
        <v>467</v>
      </c>
      <c r="B1" s="2" t="s">
        <v>468</v>
      </c>
    </row>
    <row r="2" ht="30">
      <c r="A2" s="3" t="s">
        <v>469</v>
      </c>
      <c r="B2" t="s">
        <v>470</v>
      </c>
      <c r="G2" s="4" t="s">
        <v>471</v>
      </c>
      <c r="H2" s="5" t="s">
        <v>472</v>
      </c>
      <c r="I2" s="5" t="s">
        <v>473</v>
      </c>
      <c r="J2" s="6" t="s">
        <v>474</v>
      </c>
      <c r="K2" s="5" t="s">
        <v>4</v>
      </c>
    </row>
    <row r="3">
      <c r="B3" t="s">
        <v>475</v>
      </c>
      <c r="F3">
        <v>1</v>
      </c>
      <c r="G3" s="7" t="s">
        <v>47</v>
      </c>
      <c r="H3" s="7">
        <f>COUNTIF('Задание1'!D:D,G3)</f>
        <v>66</v>
      </c>
      <c r="I3" s="8">
        <f>SUMIF('Данные'!A:A,G3,'Данные'!D:D)</f>
        <v>4641369</v>
      </c>
      <c r="J3" s="7">
        <f>VLOOKUP(G3,'Задание1.1'!A:E,5,0)</f>
        <v>315</v>
      </c>
      <c r="K3" s="31">
        <f>(COUNTIFS('Данные'!A:A,G3,'Данные'!E:E,"&gt;=9")-COUNTIFS('Данные'!A:A,G3,'Данные'!E:E,"&lt;=6"))/COUNTIFS('Данные'!A:A,G3,'Данные'!E:E,"&gt;=0")</f>
        <v>-0.24691358024691357</v>
      </c>
    </row>
    <row r="4">
      <c r="B4" t="s">
        <v>476</v>
      </c>
      <c r="F4">
        <v>2</v>
      </c>
      <c r="G4" s="7" t="s">
        <v>13</v>
      </c>
      <c r="H4" s="7">
        <f>COUNTIF('Задание1'!D:D,G4)</f>
        <v>68</v>
      </c>
      <c r="I4" s="8">
        <f>SUMIF('Данные'!A:A,G4,'Данные'!D:D)</f>
        <v>4039577</v>
      </c>
      <c r="J4" s="7">
        <f>VLOOKUP(G4,'Задание1.1'!A:E,5,0)</f>
        <v>322</v>
      </c>
      <c r="K4" s="31">
        <f>(COUNTIFS('Данные'!A:A,G4,'Данные'!E:E,"&gt;=9")-COUNTIFS('Данные'!A:A,G4,'Данные'!E:E,"&lt;=6"))/COUNTIFS('Данные'!A:A,G4,'Данные'!E:E,"&gt;=0")</f>
        <v>-0.35064935064935066</v>
      </c>
    </row>
    <row r="5">
      <c r="B5" t="s">
        <v>477</v>
      </c>
      <c r="F5">
        <v>3</v>
      </c>
      <c r="G5" s="7" t="s">
        <v>11</v>
      </c>
      <c r="H5" s="7">
        <f>COUNTIF('Задание1'!D:D,G5)</f>
        <v>63</v>
      </c>
      <c r="I5" s="8">
        <f>SUMIF('Данные'!A:A,G5,'Данные'!D:D)</f>
        <v>4377973</v>
      </c>
      <c r="J5" s="7">
        <f>VLOOKUP(G5,'Задание1.1'!A:E,5,0)</f>
        <v>280</v>
      </c>
      <c r="K5" s="31">
        <f>(COUNTIFS('Данные'!A:A,G5,'Данные'!E:E,"&gt;=9")-COUNTIFS('Данные'!A:A,G5,'Данные'!E:E,"&lt;=6"))/COUNTIFS('Данные'!A:A,G5,'Данные'!E:E,"&gt;=0")</f>
        <v>-0.2727272727272727</v>
      </c>
    </row>
    <row r="6">
      <c r="B6" s="10" t="s">
        <v>478</v>
      </c>
      <c r="F6">
        <v>4</v>
      </c>
      <c r="G6" s="7" t="s">
        <v>8</v>
      </c>
      <c r="H6" s="7">
        <f>COUNTIF('Задание1'!D:D,G6)</f>
        <v>78</v>
      </c>
      <c r="I6" s="8">
        <f>SUMIF('Данные'!A:A,G6,'Данные'!D:D)</f>
        <v>5075530</v>
      </c>
      <c r="J6" s="7">
        <f>VLOOKUP(G6,'Задание1.1'!A:E,5,0)</f>
        <v>349</v>
      </c>
      <c r="K6" s="31">
        <f>(COUNTIFS('Данные'!A:A,G6,'Данные'!E:E,"&gt;=9")-COUNTIFS('Данные'!A:A,G6,'Данные'!E:E,"&lt;=6"))/COUNTIFS('Данные'!A:A,G6,'Данные'!E:E,"&gt;=0")</f>
        <v>-0.21052631578947367</v>
      </c>
    </row>
    <row r="7">
      <c r="B7" s="11" t="s">
        <v>479</v>
      </c>
      <c r="F7">
        <v>5</v>
      </c>
      <c r="G7" s="7" t="s">
        <v>17</v>
      </c>
      <c r="H7" s="7">
        <f>COUNTIF('Задание1'!D:D,G7)</f>
        <v>74</v>
      </c>
      <c r="I7" s="8">
        <f>SUMIF('Данные'!A:A,G7,'Данные'!D:D)</f>
        <v>5011933</v>
      </c>
      <c r="J7" s="7">
        <f>VLOOKUP(G7,'Задание1.1'!A:E,5,0)</f>
        <v>295</v>
      </c>
      <c r="K7" s="31">
        <f>(COUNTIFS('Данные'!A:A,G7,'Данные'!E:E,"&gt;=9")-COUNTIFS('Данные'!A:A,G7,'Данные'!E:E,"&lt;=6"))/COUNTIFS('Данные'!A:A,G7,'Данные'!E:E,"&gt;=0")</f>
        <v>-0.25263157894736843</v>
      </c>
    </row>
    <row r="8">
      <c r="B8" t="s">
        <v>480</v>
      </c>
      <c r="F8">
        <v>6</v>
      </c>
      <c r="G8" s="7" t="s">
        <v>43</v>
      </c>
      <c r="H8" s="7">
        <f>COUNTIF('Задание1'!D:D,G8)</f>
        <v>67</v>
      </c>
      <c r="I8" s="8">
        <f>SUMIF('Данные'!A:A,G8,'Данные'!D:D)</f>
        <v>4999561</v>
      </c>
      <c r="J8" s="7">
        <f>VLOOKUP(G8,'Задание1.1'!A:E,5,0)</f>
        <v>199</v>
      </c>
      <c r="K8" s="31">
        <f>(COUNTIFS('Данные'!A:A,G8,'Данные'!E:E,"&gt;=9")-COUNTIFS('Данные'!A:A,G8,'Данные'!E:E,"&lt;=6"))/COUNTIFS('Данные'!A:A,G8,'Данные'!E:E,"&gt;=0")</f>
        <v>-0.3493975903614458</v>
      </c>
    </row>
    <row r="9">
      <c r="F9">
        <v>7</v>
      </c>
      <c r="G9" s="7" t="s">
        <v>28</v>
      </c>
      <c r="H9" s="7">
        <f>COUNTIF('Задание1'!D:D,G9)</f>
        <v>68</v>
      </c>
      <c r="I9" s="8">
        <f>SUMIF('Данные'!A:A,G9,'Данные'!D:D)</f>
        <v>4533971</v>
      </c>
      <c r="J9" s="7">
        <f>VLOOKUP(G9,'Задание1.1'!A:E,5,0)</f>
        <v>325</v>
      </c>
      <c r="K9" s="31">
        <f>(COUNTIFS('Данные'!A:A,G9,'Данные'!E:E,"&gt;=9")-COUNTIFS('Данные'!A:A,G9,'Данные'!E:E,"&lt;=6"))/COUNTIFS('Данные'!A:A,G9,'Данные'!E:E,"&gt;=0")</f>
        <v>-0.2962962962962963</v>
      </c>
    </row>
    <row r="10">
      <c r="F10">
        <v>8</v>
      </c>
      <c r="G10" s="7" t="s">
        <v>57</v>
      </c>
      <c r="H10" s="7">
        <f>COUNTIF('Задание1'!D:D,G10)</f>
        <v>64</v>
      </c>
      <c r="I10" s="8">
        <f>SUMIF('Данные'!A:A,G10,'Данные'!D:D)</f>
        <v>4264531</v>
      </c>
      <c r="J10" s="7">
        <f>VLOOKUP(G10,'Задание1.1'!A:E,5,0)</f>
        <v>315</v>
      </c>
      <c r="K10" s="31">
        <f>(COUNTIFS('Данные'!A:A,G10,'Данные'!E:E,"&gt;=9")-COUNTIFS('Данные'!A:A,G10,'Данные'!E:E,"&lt;=6"))/COUNTIFS('Данные'!A:A,G10,'Данные'!E:E,"&gt;=0")</f>
        <v>-0.38461538461538464</v>
      </c>
    </row>
    <row r="11">
      <c r="F11">
        <v>9</v>
      </c>
      <c r="G11" s="7" t="s">
        <v>15</v>
      </c>
      <c r="H11" s="7">
        <f>COUNTIF('Задание1'!D:D,G11)</f>
        <v>76</v>
      </c>
      <c r="I11" s="8">
        <f>SUMIF('Данные'!A:A,G11,'Данные'!D:D)</f>
        <v>4895374</v>
      </c>
      <c r="J11" s="7">
        <f>VLOOKUP(G11,'Задание1.1'!A:E,5,0)</f>
        <v>268</v>
      </c>
      <c r="K11" s="31">
        <f>(COUNTIFS('Данные'!A:A,G11,'Данные'!E:E,"&gt;=9")-COUNTIFS('Данные'!A:A,G11,'Данные'!E:E,"&lt;=6"))/COUNTIFS('Данные'!A:A,G11,'Данные'!E:E,"&gt;=0")</f>
        <v>-0.3076923076923077</v>
      </c>
    </row>
    <row r="12">
      <c r="B12" t="s">
        <v>481</v>
      </c>
      <c r="F12">
        <v>10</v>
      </c>
      <c r="G12" s="7" t="s">
        <v>24</v>
      </c>
      <c r="H12" s="7">
        <f>COUNTIF('Задание1'!D:D,G12)</f>
        <v>68</v>
      </c>
      <c r="I12" s="8">
        <f>SUMIF('Данные'!A:A,G12,'Данные'!D:D)</f>
        <v>4412645</v>
      </c>
      <c r="J12" s="7">
        <f>VLOOKUP(G12,'Задание1.1'!A:E,5,0)</f>
        <v>293</v>
      </c>
      <c r="K12" s="31">
        <f>(COUNTIFS('Данные'!A:A,G12,'Данные'!E:E,"&gt;=9")-COUNTIFS('Данные'!A:A,G12,'Данные'!E:E,"&lt;=6"))/COUNTIFS('Данные'!A:A,G12,'Данные'!E:E,"&gt;=0")</f>
        <v>-0.23170731707317074</v>
      </c>
    </row>
    <row r="13">
      <c r="A13" t="s">
        <v>482</v>
      </c>
      <c r="B13" s="34" t="str">
        <f>INDEX(G3:G14,MATCH(MAX(H3:H14),H3:H14,0))</f>
        <v>Кузнецов Дмитрий Львович</v>
      </c>
      <c r="F13">
        <v>11</v>
      </c>
      <c r="G13" s="7" t="s">
        <v>5</v>
      </c>
      <c r="H13" s="7">
        <f>COUNTIF('Задание1'!D:D,G13)</f>
        <v>73</v>
      </c>
      <c r="I13" s="8">
        <f>SUMIF('Данные'!A:A,G13,'Данные'!D:D)</f>
        <v>4929107</v>
      </c>
      <c r="J13" s="7">
        <f>VLOOKUP(G13,'Задание1.1'!A:E,5,0)</f>
        <v>237</v>
      </c>
      <c r="K13" s="31">
        <f>(COUNTIFS('Данные'!A:A,G13,'Данные'!E:E,"&gt;=9")-COUNTIFS('Данные'!A:A,G13,'Данные'!E:E,"&lt;=6"))/COUNTIFS('Данные'!A:A,G13,'Данные'!E:E,"&gt;=0")</f>
        <v>-0.37209302325581395</v>
      </c>
    </row>
    <row r="14">
      <c r="F14">
        <v>12</v>
      </c>
      <c r="G14" s="7" t="s">
        <v>21</v>
      </c>
      <c r="H14" s="7">
        <f>COUNTIF('Задание1'!D:D,G14)</f>
        <v>62</v>
      </c>
      <c r="I14" s="8">
        <f>SUMIF('Данные'!A:A,G14,'Данные'!D:D)</f>
        <v>4409450</v>
      </c>
      <c r="J14" s="7">
        <f>VLOOKUP(G14,'Задание1.1'!A:E,5,0)</f>
        <v>246</v>
      </c>
      <c r="K14" s="31">
        <f>(COUNTIFS('Данные'!A:A,G14,'Данные'!E:E,"&gt;=9")-COUNTIFS('Данные'!A:A,G14,'Данные'!E:E,"&lt;=6"))/COUNTIFS('Данные'!A:A,G14,'Данные'!E:E,"&gt;=0")</f>
        <v>-0.3783783783783784</v>
      </c>
    </row>
    <row r="15">
      <c r="A15" t="s">
        <v>483</v>
      </c>
      <c r="B15" s="12" t="str">
        <f>INDEX(G3:G14,MATCH(MAX(I3:I14),I3:I14,0))</f>
        <v>Кузнецов Дмитрий Львович</v>
      </c>
      <c r="K15" t="str">
        <v/>
      </c>
    </row>
    <row r="16">
      <c r="K16" t="str">
        <v/>
      </c>
    </row>
    <row r="17" ht="15.75">
      <c r="A17" t="s">
        <v>484</v>
      </c>
      <c r="B17" s="12" t="str">
        <f>INDEX(G3:G14,MATCH(MAX(J3:J14),J3:J14,0))</f>
        <v>Кузнецов Дмитрий Львович</v>
      </c>
      <c r="G17" s="13"/>
      <c r="K17" t="str">
        <v/>
      </c>
    </row>
    <row r="18">
      <c r="K18" t="str">
        <v/>
      </c>
    </row>
    <row r="19">
      <c r="A19" t="s">
        <v>4</v>
      </c>
      <c r="B19" s="12" t="str">
        <f>INDEX(G3:G14,MATCH(MAX(K3:K14),K3:K14,0))</f>
        <v>Кузнецов Дмитрий Львович</v>
      </c>
      <c r="K19" t="str">
        <v/>
      </c>
    </row>
    <row r="20">
      <c r="K20" t="str">
        <v/>
      </c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 t="str">
        <v/>
      </c>
    </row>
    <row r="22">
      <c r="K22" t="str">
        <v/>
      </c>
    </row>
    <row r="23">
      <c r="A23" s="3" t="s">
        <v>485</v>
      </c>
      <c r="B23" t="s">
        <v>486</v>
      </c>
      <c r="G23" t="s">
        <v>487</v>
      </c>
      <c r="K23" t="str">
        <v/>
      </c>
    </row>
    <row r="24">
      <c r="B24" s="15" t="s">
        <v>488</v>
      </c>
      <c r="G24" t="s">
        <v>489</v>
      </c>
      <c r="H24" t="s">
        <v>490</v>
      </c>
      <c r="I24" t="s">
        <v>473</v>
      </c>
      <c r="K24" t="str">
        <v/>
      </c>
    </row>
    <row r="25">
      <c r="B25" s="15" t="s">
        <v>491</v>
      </c>
      <c r="F25">
        <v>1</v>
      </c>
      <c r="G25" s="53" t="s">
        <v>108</v>
      </c>
      <c r="H25" s="34">
        <v>9</v>
      </c>
      <c r="I25" s="34">
        <v>676125</v>
      </c>
      <c r="K25" t="str">
        <v/>
      </c>
    </row>
    <row r="26">
      <c r="B26" s="15" t="s">
        <v>493</v>
      </c>
      <c r="F26">
        <v>2</v>
      </c>
      <c r="G26" s="53" t="s">
        <v>151</v>
      </c>
      <c r="H26" s="34">
        <v>9</v>
      </c>
      <c r="I26" s="34">
        <v>627885</v>
      </c>
      <c r="K26" t="str">
        <v/>
      </c>
    </row>
    <row r="27">
      <c r="F27">
        <v>3</v>
      </c>
      <c r="G27" s="53" t="s">
        <v>192</v>
      </c>
      <c r="H27" s="34">
        <v>11</v>
      </c>
      <c r="I27" s="34">
        <v>620837</v>
      </c>
      <c r="K27" t="str">
        <v/>
      </c>
    </row>
    <row r="28">
      <c r="F28">
        <v>4</v>
      </c>
      <c r="G28" s="53" t="s">
        <v>42</v>
      </c>
      <c r="H28" s="34">
        <v>9</v>
      </c>
      <c r="I28" s="34">
        <v>620614</v>
      </c>
      <c r="K28" t="str">
        <v/>
      </c>
    </row>
    <row r="29">
      <c r="F29">
        <v>5</v>
      </c>
      <c r="G29" s="53" t="s">
        <v>6</v>
      </c>
      <c r="H29" s="34">
        <v>9</v>
      </c>
      <c r="I29" s="34">
        <v>616547</v>
      </c>
      <c r="K29" t="str">
        <v/>
      </c>
    </row>
    <row r="30">
      <c r="F30">
        <v>6</v>
      </c>
      <c r="G30" s="53" t="s">
        <v>186</v>
      </c>
      <c r="H30" s="34">
        <v>8</v>
      </c>
      <c r="I30" s="34">
        <v>579536</v>
      </c>
      <c r="K30" t="str">
        <v/>
      </c>
    </row>
    <row r="31">
      <c r="F31">
        <v>7</v>
      </c>
      <c r="G31" s="53" t="s">
        <v>103</v>
      </c>
      <c r="H31" s="34">
        <v>11</v>
      </c>
      <c r="I31" s="34">
        <v>576582</v>
      </c>
      <c r="K31" t="str">
        <v/>
      </c>
    </row>
    <row r="32">
      <c r="F32">
        <v>8</v>
      </c>
      <c r="G32" s="53" t="s">
        <v>222</v>
      </c>
      <c r="H32" s="34">
        <v>11</v>
      </c>
      <c r="I32" s="34">
        <v>572727</v>
      </c>
      <c r="K32" t="str">
        <v/>
      </c>
    </row>
    <row r="33">
      <c r="F33">
        <v>9</v>
      </c>
      <c r="G33" s="53" t="s">
        <v>49</v>
      </c>
      <c r="H33" s="34">
        <v>10</v>
      </c>
      <c r="I33" s="34">
        <v>563986</v>
      </c>
      <c r="K33" t="str">
        <v/>
      </c>
    </row>
    <row r="34">
      <c r="F34">
        <v>10</v>
      </c>
      <c r="G34" s="53" t="s">
        <v>257</v>
      </c>
      <c r="H34" s="34">
        <v>9</v>
      </c>
      <c r="I34" s="34">
        <v>544040</v>
      </c>
      <c r="K34" t="str">
        <v/>
      </c>
    </row>
    <row r="35">
      <c r="G35"/>
      <c r="K35" t="str">
        <v/>
      </c>
    </row>
    <row r="36">
      <c r="K36" t="str">
        <v/>
      </c>
    </row>
    <row r="37">
      <c r="G37" t="s">
        <v>503</v>
      </c>
      <c r="K37" t="str">
        <v/>
      </c>
    </row>
    <row r="38">
      <c r="G38" t="s">
        <v>489</v>
      </c>
      <c r="H38" t="s">
        <v>490</v>
      </c>
      <c r="I38" t="s">
        <v>473</v>
      </c>
      <c r="K38" t="str">
        <v/>
      </c>
    </row>
    <row r="39">
      <c r="F39">
        <v>1</v>
      </c>
      <c r="G39" s="34" t="s">
        <v>188</v>
      </c>
      <c r="H39" s="34">
        <v>1</v>
      </c>
      <c r="I39" s="34">
        <v>50052</v>
      </c>
      <c r="K39" t="str">
        <v/>
      </c>
    </row>
    <row r="40">
      <c r="F40">
        <v>2</v>
      </c>
      <c r="G40" s="34" t="s">
        <v>462</v>
      </c>
      <c r="H40" s="34">
        <v>1</v>
      </c>
      <c r="I40" s="34">
        <v>70414</v>
      </c>
      <c r="K40" t="str">
        <v/>
      </c>
    </row>
    <row r="41">
      <c r="F41">
        <v>3</v>
      </c>
      <c r="G41" s="34" t="s">
        <v>182</v>
      </c>
      <c r="H41" s="34">
        <v>1</v>
      </c>
      <c r="I41" s="34">
        <v>24770</v>
      </c>
      <c r="K41" t="str">
        <v/>
      </c>
    </row>
    <row r="42">
      <c r="F42">
        <v>4</v>
      </c>
      <c r="G42" s="34" t="s">
        <v>220</v>
      </c>
      <c r="H42" s="34">
        <v>1</v>
      </c>
      <c r="I42" s="34">
        <v>58326</v>
      </c>
      <c r="K42" t="str">
        <v/>
      </c>
    </row>
    <row r="43">
      <c r="F43">
        <v>5</v>
      </c>
      <c r="G43" s="34" t="s">
        <v>382</v>
      </c>
      <c r="H43" s="34">
        <v>2</v>
      </c>
      <c r="I43" s="34">
        <v>154284</v>
      </c>
      <c r="K43" t="str">
        <v/>
      </c>
    </row>
    <row r="44">
      <c r="F44">
        <v>6</v>
      </c>
      <c r="G44" s="34" t="s">
        <v>374</v>
      </c>
      <c r="H44" s="34">
        <v>1</v>
      </c>
      <c r="I44" s="34">
        <v>13819</v>
      </c>
      <c r="K44" t="str">
        <v/>
      </c>
    </row>
    <row r="45">
      <c r="F45">
        <v>7</v>
      </c>
      <c r="G45" s="7"/>
      <c r="H45" s="7"/>
      <c r="I45" s="7"/>
      <c r="K45" t="str">
        <v/>
      </c>
    </row>
    <row r="46">
      <c r="F46">
        <v>8</v>
      </c>
      <c r="G46" s="7"/>
      <c r="H46" s="7"/>
      <c r="I46" s="7"/>
      <c r="K46" t="str">
        <v/>
      </c>
    </row>
    <row r="47">
      <c r="F47">
        <v>9</v>
      </c>
      <c r="G47" s="7"/>
      <c r="H47" s="7"/>
      <c r="I47" s="7"/>
      <c r="K47" t="str">
        <v/>
      </c>
    </row>
    <row r="48">
      <c r="F48">
        <v>10</v>
      </c>
      <c r="G48" s="7"/>
      <c r="H48" s="7"/>
      <c r="I48" s="7"/>
      <c r="K48" t="str">
        <v/>
      </c>
    </row>
    <row r="49">
      <c r="K49" t="str">
        <v/>
      </c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 t="str">
        <v/>
      </c>
    </row>
    <row r="51">
      <c r="C51" s="16" t="s">
        <v>514</v>
      </c>
      <c r="D51" s="16">
        <v>13</v>
      </c>
      <c r="H51" s="17"/>
      <c r="I51" s="17"/>
      <c r="J51" s="17"/>
      <c r="K51" s="17" t="str">
        <v/>
      </c>
      <c r="L51" s="17"/>
      <c r="M51" s="17"/>
      <c r="N51" s="17"/>
      <c r="O51" s="17"/>
      <c r="P51" s="17"/>
      <c r="Q51" s="17"/>
      <c r="R51" s="17"/>
      <c r="S51" s="17"/>
      <c r="T51" s="17"/>
    </row>
    <row r="52">
      <c r="A52" s="3" t="s">
        <v>515</v>
      </c>
      <c r="B52" t="s">
        <v>516</v>
      </c>
      <c r="C52" s="16"/>
      <c r="D52" s="16"/>
      <c r="G52" t="s">
        <v>517</v>
      </c>
      <c r="K52" t="str">
        <v/>
      </c>
    </row>
    <row r="53">
      <c r="B53" t="s">
        <v>518</v>
      </c>
      <c r="C53" s="16" t="s">
        <v>519</v>
      </c>
      <c r="D53" s="16" t="s">
        <v>520</v>
      </c>
      <c r="G53" s="18" t="s">
        <v>471</v>
      </c>
      <c r="H53" s="7" t="s">
        <v>521</v>
      </c>
      <c r="I53" s="7" t="s">
        <v>522</v>
      </c>
      <c r="J53" s="7" t="s">
        <v>523</v>
      </c>
      <c r="K53" s="7" t="str">
        <v>2024-12024-2</v>
      </c>
      <c r="L53" s="7" t="s">
        <v>525</v>
      </c>
      <c r="M53" s="7" t="s">
        <v>526</v>
      </c>
      <c r="N53" s="7" t="s">
        <v>527</v>
      </c>
      <c r="O53" s="7" t="s">
        <v>528</v>
      </c>
      <c r="P53" s="7" t="s">
        <v>529</v>
      </c>
      <c r="Q53" s="7" t="s">
        <v>530</v>
      </c>
      <c r="R53" s="7" t="s">
        <v>531</v>
      </c>
      <c r="S53" s="7" t="s">
        <v>532</v>
      </c>
      <c r="T53" s="7" t="s">
        <v>533</v>
      </c>
    </row>
    <row r="54">
      <c r="B54" t="s">
        <v>534</v>
      </c>
      <c r="C54" s="19">
        <v>45170</v>
      </c>
      <c r="D54" s="20">
        <v>45537</v>
      </c>
      <c r="G54" s="7" t="s">
        <v>47</v>
      </c>
      <c r="H54" s="7">
        <v>0</v>
      </c>
      <c r="I54" s="7">
        <v>1</v>
      </c>
      <c r="J54" s="7">
        <v>1</v>
      </c>
      <c r="K54" s="7">
        <v>2</v>
      </c>
      <c r="L54" s="7">
        <v>3</v>
      </c>
      <c r="M54" s="7">
        <v>1</v>
      </c>
      <c r="N54" s="7">
        <v>4</v>
      </c>
      <c r="O54" s="7">
        <v>3</v>
      </c>
      <c r="P54" s="7">
        <v>1</v>
      </c>
      <c r="Q54" s="7">
        <v>1</v>
      </c>
      <c r="R54" s="7">
        <v>1</v>
      </c>
      <c r="S54" s="7">
        <v>4</v>
      </c>
      <c r="T54" s="7">
        <v>1</v>
      </c>
    </row>
    <row r="55">
      <c r="B55" t="s">
        <v>535</v>
      </c>
      <c r="C55" s="16">
        <v>2023</v>
      </c>
      <c r="D55" s="16">
        <v>2024</v>
      </c>
      <c r="G55" s="7" t="s">
        <v>13</v>
      </c>
      <c r="H55" s="7">
        <v>1</v>
      </c>
      <c r="I55" s="7">
        <v>1</v>
      </c>
      <c r="J55" s="7">
        <v>1</v>
      </c>
      <c r="K55" s="7">
        <v>0</v>
      </c>
      <c r="L55" s="7">
        <v>3</v>
      </c>
      <c r="M55" s="7">
        <v>4</v>
      </c>
      <c r="N55" s="7">
        <v>1</v>
      </c>
      <c r="O55" s="7">
        <v>3</v>
      </c>
      <c r="P55" s="7">
        <v>3</v>
      </c>
      <c r="Q55" s="7">
        <v>0</v>
      </c>
      <c r="R55" s="7">
        <v>2</v>
      </c>
      <c r="S55" s="7">
        <v>3</v>
      </c>
      <c r="T55" s="7">
        <v>0</v>
      </c>
    </row>
    <row r="56">
      <c r="C56" s="16">
        <v>9</v>
      </c>
      <c r="D56" s="16">
        <v>9</v>
      </c>
      <c r="G56" s="7" t="s">
        <v>11</v>
      </c>
      <c r="H56" s="7">
        <v>2</v>
      </c>
      <c r="I56" s="7">
        <v>1</v>
      </c>
      <c r="J56" s="7">
        <v>0</v>
      </c>
      <c r="K56" s="7">
        <v>0</v>
      </c>
      <c r="L56" s="7">
        <v>1</v>
      </c>
      <c r="M56" s="7">
        <v>1</v>
      </c>
      <c r="N56" s="7">
        <v>1</v>
      </c>
      <c r="O56" s="7">
        <v>0</v>
      </c>
      <c r="P56" s="7">
        <v>2</v>
      </c>
      <c r="Q56" s="7">
        <v>1</v>
      </c>
      <c r="R56" s="7">
        <v>0</v>
      </c>
      <c r="S56" s="7">
        <v>1</v>
      </c>
      <c r="T56" s="7">
        <v>0</v>
      </c>
    </row>
    <row r="57">
      <c r="G57" s="7" t="s">
        <v>8</v>
      </c>
      <c r="H57" s="7">
        <v>1</v>
      </c>
      <c r="I57" s="7">
        <v>0</v>
      </c>
      <c r="J57" s="7">
        <v>4</v>
      </c>
      <c r="K57" s="7">
        <v>2</v>
      </c>
      <c r="L57" s="7">
        <v>1</v>
      </c>
      <c r="M57" s="7">
        <v>1</v>
      </c>
      <c r="N57" s="7">
        <v>4</v>
      </c>
      <c r="O57" s="7">
        <v>0</v>
      </c>
      <c r="P57" s="7">
        <v>2</v>
      </c>
      <c r="Q57" s="7">
        <v>1</v>
      </c>
      <c r="R57" s="7">
        <v>1</v>
      </c>
      <c r="S57" s="7">
        <v>4</v>
      </c>
      <c r="T57" s="7">
        <v>1</v>
      </c>
    </row>
    <row r="58">
      <c r="G58" s="7" t="s">
        <v>17</v>
      </c>
      <c r="H58" s="7">
        <v>1</v>
      </c>
      <c r="I58" s="7">
        <v>0</v>
      </c>
      <c r="J58" s="7">
        <v>0</v>
      </c>
      <c r="K58" s="7">
        <v>0</v>
      </c>
      <c r="L58" s="7">
        <v>2</v>
      </c>
      <c r="M58" s="7">
        <v>2</v>
      </c>
      <c r="N58" s="7">
        <v>1</v>
      </c>
      <c r="O58" s="7">
        <v>2</v>
      </c>
      <c r="P58" s="7">
        <v>3</v>
      </c>
      <c r="Q58" s="7">
        <v>3</v>
      </c>
      <c r="R58" s="7">
        <v>2</v>
      </c>
      <c r="S58" s="7">
        <v>1</v>
      </c>
      <c r="T58" s="7">
        <v>3</v>
      </c>
    </row>
    <row r="59">
      <c r="G59" s="7" t="s">
        <v>43</v>
      </c>
      <c r="H59" s="7">
        <v>2</v>
      </c>
      <c r="I59" s="7">
        <v>0</v>
      </c>
      <c r="J59" s="7">
        <v>2</v>
      </c>
      <c r="K59" s="7">
        <v>1</v>
      </c>
      <c r="L59" s="7">
        <v>1</v>
      </c>
      <c r="M59" s="7">
        <v>0</v>
      </c>
      <c r="N59" s="7">
        <v>3</v>
      </c>
      <c r="O59" s="7">
        <v>3</v>
      </c>
      <c r="P59" s="7">
        <v>4</v>
      </c>
      <c r="Q59" s="7">
        <v>1</v>
      </c>
      <c r="R59" s="7">
        <v>1</v>
      </c>
      <c r="S59" s="7">
        <v>2</v>
      </c>
      <c r="T59" s="7">
        <v>1</v>
      </c>
    </row>
    <row r="60">
      <c r="G60" s="7" t="s">
        <v>28</v>
      </c>
      <c r="H60" s="7">
        <v>0</v>
      </c>
      <c r="I60" s="7">
        <v>0</v>
      </c>
      <c r="J60" s="7">
        <v>2</v>
      </c>
      <c r="K60" s="7">
        <v>0</v>
      </c>
      <c r="L60" s="7">
        <v>1</v>
      </c>
      <c r="M60" s="7">
        <v>0</v>
      </c>
      <c r="N60" s="7">
        <v>1</v>
      </c>
      <c r="O60" s="7">
        <v>0</v>
      </c>
      <c r="P60" s="7">
        <v>1</v>
      </c>
      <c r="Q60" s="7">
        <v>3</v>
      </c>
      <c r="R60" s="7">
        <v>0</v>
      </c>
      <c r="S60" s="7">
        <v>4</v>
      </c>
      <c r="T60" s="7">
        <v>1</v>
      </c>
    </row>
    <row r="61">
      <c r="G61" s="7" t="s">
        <v>57</v>
      </c>
      <c r="H61" s="7">
        <v>1</v>
      </c>
      <c r="I61" s="7">
        <v>1</v>
      </c>
      <c r="J61" s="7">
        <v>1</v>
      </c>
      <c r="K61" s="7">
        <v>1</v>
      </c>
      <c r="L61" s="7">
        <v>3</v>
      </c>
      <c r="M61" s="7">
        <v>0</v>
      </c>
      <c r="N61" s="7">
        <v>2</v>
      </c>
      <c r="O61" s="7">
        <v>3</v>
      </c>
      <c r="P61" s="7">
        <v>3</v>
      </c>
      <c r="Q61" s="7">
        <v>4</v>
      </c>
      <c r="R61" s="7">
        <v>0</v>
      </c>
      <c r="S61" s="7">
        <v>1</v>
      </c>
      <c r="T61" s="7">
        <v>0</v>
      </c>
    </row>
    <row r="62">
      <c r="G62" s="7" t="s">
        <v>15</v>
      </c>
      <c r="H62" s="7">
        <v>1</v>
      </c>
      <c r="I62" s="7">
        <v>1</v>
      </c>
      <c r="J62" s="7">
        <v>3</v>
      </c>
      <c r="K62" s="7">
        <v>2</v>
      </c>
      <c r="L62" s="7">
        <v>2</v>
      </c>
      <c r="M62" s="7">
        <v>0</v>
      </c>
      <c r="N62" s="7">
        <v>1</v>
      </c>
      <c r="O62" s="7">
        <v>2</v>
      </c>
      <c r="P62" s="7">
        <v>2</v>
      </c>
      <c r="Q62" s="7">
        <v>0</v>
      </c>
      <c r="R62" s="7">
        <v>3</v>
      </c>
      <c r="S62" s="7">
        <v>2</v>
      </c>
      <c r="T62" s="7">
        <v>1</v>
      </c>
    </row>
    <row r="63">
      <c r="G63" s="7" t="s">
        <v>24</v>
      </c>
      <c r="H63" s="7">
        <v>2</v>
      </c>
      <c r="I63" s="7">
        <v>1</v>
      </c>
      <c r="J63" s="7">
        <v>0</v>
      </c>
      <c r="K63" s="7">
        <v>0</v>
      </c>
      <c r="L63" s="7">
        <v>4</v>
      </c>
      <c r="M63" s="7">
        <v>0</v>
      </c>
      <c r="N63" s="7">
        <v>2</v>
      </c>
      <c r="O63" s="7">
        <v>2</v>
      </c>
      <c r="P63" s="7">
        <v>2</v>
      </c>
      <c r="Q63" s="7">
        <v>2</v>
      </c>
      <c r="R63" s="7">
        <v>2</v>
      </c>
      <c r="S63" s="7">
        <v>3</v>
      </c>
      <c r="T63" s="7">
        <v>1</v>
      </c>
    </row>
    <row r="64">
      <c r="G64" s="7" t="s">
        <v>5</v>
      </c>
      <c r="H64" s="7">
        <v>1</v>
      </c>
      <c r="I64" s="7">
        <v>2</v>
      </c>
      <c r="J64" s="7">
        <v>3</v>
      </c>
      <c r="K64" s="7">
        <v>0</v>
      </c>
      <c r="L64" s="7">
        <v>5</v>
      </c>
      <c r="M64" s="7">
        <v>3</v>
      </c>
      <c r="N64" s="7">
        <v>2</v>
      </c>
      <c r="O64" s="7">
        <v>0</v>
      </c>
      <c r="P64" s="7">
        <v>3</v>
      </c>
      <c r="Q64" s="7">
        <v>4</v>
      </c>
      <c r="R64" s="7">
        <v>1</v>
      </c>
      <c r="S64" s="7">
        <v>3</v>
      </c>
      <c r="T64" s="7">
        <v>4</v>
      </c>
    </row>
    <row r="65">
      <c r="G65" s="7" t="s">
        <v>21</v>
      </c>
      <c r="H65" s="7">
        <v>0</v>
      </c>
      <c r="I65" s="7">
        <v>0</v>
      </c>
      <c r="J65" s="7">
        <v>2</v>
      </c>
      <c r="K65" s="7">
        <v>0</v>
      </c>
      <c r="L65" s="7">
        <v>2</v>
      </c>
      <c r="M65" s="7">
        <v>2</v>
      </c>
      <c r="N65" s="7">
        <v>4</v>
      </c>
      <c r="O65" s="7">
        <v>0</v>
      </c>
      <c r="P65" s="7">
        <v>3</v>
      </c>
      <c r="Q65" s="7">
        <v>0</v>
      </c>
      <c r="R65" s="7">
        <v>1</v>
      </c>
      <c r="S65" s="7">
        <v>4</v>
      </c>
      <c r="T65" s="7">
        <v>1</v>
      </c>
    </row>
    <row r="66">
      <c r="H66" s="21"/>
      <c r="I66" s="21"/>
      <c r="J66" s="21"/>
      <c r="K66" s="21" t="str">
        <v/>
      </c>
      <c r="L66" s="21"/>
      <c r="M66" s="21"/>
      <c r="N66" s="21"/>
      <c r="O66" s="21"/>
      <c r="P66" s="21"/>
      <c r="Q66" s="21"/>
      <c r="R66" s="21"/>
      <c r="S66" s="21"/>
      <c r="T66" s="21"/>
    </row>
    <row r="67">
      <c r="G67" t="s">
        <v>4</v>
      </c>
      <c r="H67" s="21"/>
      <c r="I67" s="21"/>
      <c r="J67" s="21"/>
      <c r="K67" s="21" t="str">
        <v/>
      </c>
      <c r="L67" s="21"/>
      <c r="M67" s="21"/>
      <c r="N67" s="21"/>
      <c r="O67" s="21"/>
      <c r="P67" s="21"/>
      <c r="Q67" s="21"/>
      <c r="R67" s="21"/>
      <c r="S67" s="21"/>
      <c r="T67" s="21"/>
    </row>
    <row r="68">
      <c r="G68" s="18" t="s">
        <v>471</v>
      </c>
      <c r="H68" s="7" t="s">
        <v>521</v>
      </c>
      <c r="I68" s="7" t="s">
        <v>522</v>
      </c>
      <c r="J68" s="7" t="s">
        <v>523</v>
      </c>
      <c r="K68" s="7" t="str">
        <v>2024-12024-2</v>
      </c>
      <c r="L68" s="7" t="s">
        <v>525</v>
      </c>
      <c r="M68" s="7" t="s">
        <v>526</v>
      </c>
      <c r="N68" s="7" t="s">
        <v>527</v>
      </c>
      <c r="O68" s="7" t="s">
        <v>528</v>
      </c>
      <c r="P68" s="7" t="s">
        <v>529</v>
      </c>
      <c r="Q68" s="7" t="s">
        <v>530</v>
      </c>
      <c r="R68" s="7" t="s">
        <v>531</v>
      </c>
      <c r="S68" s="7" t="s">
        <v>532</v>
      </c>
      <c r="T68" s="7" t="s">
        <v>533</v>
      </c>
    </row>
    <row r="69">
      <c r="G69" s="7" t="s">
        <v>47</v>
      </c>
      <c r="H69" s="22" t="s">
        <v>536</v>
      </c>
      <c r="I69" s="22">
        <v>1</v>
      </c>
      <c r="J69" s="22">
        <v>0</v>
      </c>
      <c r="K69" s="22">
        <v>-0.5</v>
      </c>
      <c r="L69" s="22">
        <v>-1</v>
      </c>
      <c r="M69" s="22">
        <v>0</v>
      </c>
      <c r="N69" s="22">
        <v>-0.5</v>
      </c>
      <c r="O69" s="22">
        <v>0</v>
      </c>
      <c r="P69" s="22">
        <v>-1</v>
      </c>
      <c r="Q69" s="22">
        <v>0</v>
      </c>
      <c r="R69" s="22">
        <v>-1</v>
      </c>
      <c r="S69" s="22">
        <v>0.25</v>
      </c>
      <c r="T69" s="22">
        <v>-1</v>
      </c>
    </row>
    <row r="70">
      <c r="G70" s="7" t="s">
        <v>13</v>
      </c>
      <c r="H70" s="22">
        <v>-1</v>
      </c>
      <c r="I70" s="22">
        <v>0</v>
      </c>
      <c r="J70" s="22">
        <v>-1</v>
      </c>
      <c r="K70" s="22" t="s">
        <v>536</v>
      </c>
      <c r="L70" s="22">
        <v>0.3333333333333333</v>
      </c>
      <c r="M70" s="22">
        <v>-0.75</v>
      </c>
      <c r="N70" s="22">
        <v>-1</v>
      </c>
      <c r="O70" s="22">
        <v>0</v>
      </c>
      <c r="P70" s="22">
        <v>0</v>
      </c>
      <c r="Q70" s="22" t="s">
        <v>536</v>
      </c>
      <c r="R70" s="22">
        <v>0</v>
      </c>
      <c r="S70" s="22">
        <v>0.3333333333333333</v>
      </c>
      <c r="T70" s="22" t="s">
        <v>536</v>
      </c>
    </row>
    <row r="71">
      <c r="G71" s="7" t="s">
        <v>11</v>
      </c>
      <c r="H71" s="22">
        <v>-0.5</v>
      </c>
      <c r="I71" s="22">
        <v>-1</v>
      </c>
      <c r="J71" s="22" t="s">
        <v>536</v>
      </c>
      <c r="K71" s="22" t="s">
        <v>536</v>
      </c>
      <c r="L71" s="22">
        <v>-1</v>
      </c>
      <c r="M71" s="22">
        <v>-1</v>
      </c>
      <c r="N71" s="22">
        <v>-1</v>
      </c>
      <c r="O71" s="22" t="s">
        <v>536</v>
      </c>
      <c r="P71" s="22">
        <v>0</v>
      </c>
      <c r="Q71" s="22">
        <v>0</v>
      </c>
      <c r="R71" s="22" t="s">
        <v>536</v>
      </c>
      <c r="S71" s="22">
        <v>-1</v>
      </c>
      <c r="T71" s="22" t="s">
        <v>536</v>
      </c>
    </row>
    <row r="72">
      <c r="G72" s="7" t="s">
        <v>8</v>
      </c>
      <c r="H72" s="22">
        <v>-1</v>
      </c>
      <c r="I72" s="22" t="s">
        <v>536</v>
      </c>
      <c r="J72" s="22">
        <v>-1</v>
      </c>
      <c r="K72" s="22">
        <v>0</v>
      </c>
      <c r="L72" s="22">
        <v>0</v>
      </c>
      <c r="M72" s="22">
        <v>1</v>
      </c>
      <c r="N72" s="22">
        <v>-0.5</v>
      </c>
      <c r="O72" s="22" t="s">
        <v>536</v>
      </c>
      <c r="P72" s="22">
        <v>0</v>
      </c>
      <c r="Q72" s="22">
        <v>-1</v>
      </c>
      <c r="R72" s="22">
        <v>0</v>
      </c>
      <c r="S72" s="22">
        <v>-1</v>
      </c>
      <c r="T72" s="22">
        <v>0</v>
      </c>
    </row>
    <row r="73">
      <c r="G73" s="7" t="s">
        <v>17</v>
      </c>
      <c r="H73" s="22">
        <v>1</v>
      </c>
      <c r="I73" s="22" t="s">
        <v>536</v>
      </c>
      <c r="J73" s="22" t="s">
        <v>536</v>
      </c>
      <c r="K73" s="22" t="s">
        <v>536</v>
      </c>
      <c r="L73" s="22">
        <v>0</v>
      </c>
      <c r="M73" s="22">
        <v>-0.5</v>
      </c>
      <c r="N73" s="22">
        <v>-1</v>
      </c>
      <c r="O73" s="22">
        <v>-0.5</v>
      </c>
      <c r="P73" s="22">
        <v>-0.6666666666666666</v>
      </c>
      <c r="Q73" s="22">
        <v>0</v>
      </c>
      <c r="R73" s="22">
        <v>-1</v>
      </c>
      <c r="S73" s="22">
        <v>0</v>
      </c>
      <c r="T73" s="22">
        <v>0</v>
      </c>
    </row>
    <row r="74">
      <c r="G74" s="7" t="s">
        <v>43</v>
      </c>
      <c r="H74" s="22">
        <v>-1</v>
      </c>
      <c r="I74" s="22" t="s">
        <v>536</v>
      </c>
      <c r="J74" s="22">
        <v>-1</v>
      </c>
      <c r="K74" s="22">
        <v>-1</v>
      </c>
      <c r="L74" s="22">
        <v>0</v>
      </c>
      <c r="M74" s="22" t="s">
        <v>536</v>
      </c>
      <c r="N74" s="22">
        <v>-0.6666666666666666</v>
      </c>
      <c r="O74" s="22">
        <v>-0.3333333333333333</v>
      </c>
      <c r="P74" s="22">
        <v>0.25</v>
      </c>
      <c r="Q74" s="22">
        <v>-1</v>
      </c>
      <c r="R74" s="22">
        <v>1</v>
      </c>
      <c r="S74" s="22">
        <v>-0.5</v>
      </c>
      <c r="T74" s="22">
        <v>1</v>
      </c>
    </row>
    <row r="75">
      <c r="G75" s="7" t="s">
        <v>28</v>
      </c>
      <c r="H75" s="22" t="s">
        <v>536</v>
      </c>
      <c r="I75" s="22" t="s">
        <v>536</v>
      </c>
      <c r="J75" s="22">
        <v>-1</v>
      </c>
      <c r="K75" s="22" t="s">
        <v>536</v>
      </c>
      <c r="L75" s="22">
        <v>-1</v>
      </c>
      <c r="M75" s="22" t="s">
        <v>536</v>
      </c>
      <c r="N75" s="22">
        <v>-1</v>
      </c>
      <c r="O75" s="22" t="s">
        <v>536</v>
      </c>
      <c r="P75" s="22">
        <v>-1</v>
      </c>
      <c r="Q75" s="22">
        <v>-1</v>
      </c>
      <c r="R75" s="22" t="s">
        <v>536</v>
      </c>
      <c r="S75" s="22">
        <v>-0.25</v>
      </c>
      <c r="T75" s="22">
        <v>0</v>
      </c>
    </row>
    <row r="76">
      <c r="G76" s="7" t="s">
        <v>57</v>
      </c>
      <c r="H76" s="22">
        <v>-1</v>
      </c>
      <c r="I76" s="22">
        <v>0</v>
      </c>
      <c r="J76" s="22">
        <v>-1</v>
      </c>
      <c r="K76" s="22">
        <v>1</v>
      </c>
      <c r="L76" s="22">
        <v>-0.6666666666666666</v>
      </c>
      <c r="M76" s="22" t="s">
        <v>536</v>
      </c>
      <c r="N76" s="22">
        <v>-0.5</v>
      </c>
      <c r="O76" s="22">
        <v>-0.3333333333333333</v>
      </c>
      <c r="P76" s="22">
        <v>-1</v>
      </c>
      <c r="Q76" s="22">
        <v>-0.25</v>
      </c>
      <c r="R76" s="22" t="s">
        <v>536</v>
      </c>
      <c r="S76" s="22">
        <v>-1</v>
      </c>
      <c r="T76" s="22" t="s">
        <v>536</v>
      </c>
    </row>
    <row r="77">
      <c r="G77" s="7" t="s">
        <v>15</v>
      </c>
      <c r="H77" s="22">
        <v>1</v>
      </c>
      <c r="I77" s="22">
        <v>0</v>
      </c>
      <c r="J77" s="22">
        <v>-0.3333333333333333</v>
      </c>
      <c r="K77" s="22">
        <v>0</v>
      </c>
      <c r="L77" s="22">
        <v>-0.5</v>
      </c>
      <c r="M77" s="22" t="s">
        <v>536</v>
      </c>
      <c r="N77" s="22">
        <v>0</v>
      </c>
      <c r="O77" s="22">
        <v>-1</v>
      </c>
      <c r="P77" s="22">
        <v>-0.5</v>
      </c>
      <c r="Q77" s="22" t="s">
        <v>536</v>
      </c>
      <c r="R77" s="22">
        <v>-0.3333333333333333</v>
      </c>
      <c r="S77" s="22">
        <v>-0.5</v>
      </c>
      <c r="T77" s="22">
        <v>0</v>
      </c>
    </row>
    <row r="78">
      <c r="G78" s="7" t="s">
        <v>24</v>
      </c>
      <c r="H78" s="22">
        <v>0</v>
      </c>
      <c r="I78" s="22">
        <v>-1</v>
      </c>
      <c r="J78" s="22" t="s">
        <v>536</v>
      </c>
      <c r="K78" s="22" t="s">
        <v>536</v>
      </c>
      <c r="L78" s="22">
        <v>-0.5</v>
      </c>
      <c r="M78" s="22" t="s">
        <v>536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-0.6666666666666666</v>
      </c>
      <c r="T78" s="22">
        <v>-1</v>
      </c>
    </row>
    <row r="79">
      <c r="G79" s="7" t="s">
        <v>5</v>
      </c>
      <c r="H79" s="22">
        <v>0</v>
      </c>
      <c r="I79" s="22">
        <v>0</v>
      </c>
      <c r="J79" s="22">
        <v>-0.3333333333333333</v>
      </c>
      <c r="K79" s="22" t="s">
        <v>536</v>
      </c>
      <c r="L79" s="22">
        <v>-1</v>
      </c>
      <c r="M79" s="22">
        <v>-0.3333333333333333</v>
      </c>
      <c r="N79" s="22">
        <v>-0.5</v>
      </c>
      <c r="O79" s="22" t="s">
        <v>536</v>
      </c>
      <c r="P79" s="22">
        <v>-0.6666666666666666</v>
      </c>
      <c r="Q79" s="22">
        <v>-0.5</v>
      </c>
      <c r="R79" s="22">
        <v>-1</v>
      </c>
      <c r="S79" s="22">
        <v>0</v>
      </c>
      <c r="T79" s="22">
        <v>-1</v>
      </c>
    </row>
    <row r="80">
      <c r="G80" s="7" t="s">
        <v>21</v>
      </c>
      <c r="H80" s="22" t="s">
        <v>536</v>
      </c>
      <c r="I80" s="22" t="s">
        <v>536</v>
      </c>
      <c r="J80" s="22">
        <v>-0.5</v>
      </c>
      <c r="K80" s="22" t="s">
        <v>536</v>
      </c>
      <c r="L80" s="22">
        <v>-0.5</v>
      </c>
      <c r="M80" s="22">
        <v>0.5</v>
      </c>
      <c r="N80" s="22">
        <v>-0.5</v>
      </c>
      <c r="O80" s="22" t="s">
        <v>536</v>
      </c>
      <c r="P80" s="22">
        <v>-0.6666666666666666</v>
      </c>
      <c r="Q80" s="22" t="s">
        <v>536</v>
      </c>
      <c r="R80" s="22">
        <v>-1</v>
      </c>
      <c r="S80" s="22">
        <v>0.5</v>
      </c>
      <c r="T80" s="22">
        <v>-1</v>
      </c>
    </row>
    <row r="81">
      <c r="H81" s="21"/>
      <c r="I81" s="21"/>
      <c r="J81" s="21"/>
      <c r="K81" s="21" t="str">
        <v/>
      </c>
      <c r="L81" s="21"/>
      <c r="M81" s="21"/>
      <c r="N81" s="21"/>
      <c r="O81" s="21"/>
      <c r="P81" s="21"/>
      <c r="Q81" s="21"/>
      <c r="R81" s="21"/>
      <c r="S81" s="21"/>
      <c r="T81" s="21"/>
    </row>
    <row r="82">
      <c r="G82" t="s">
        <v>537</v>
      </c>
      <c r="H82" s="21"/>
      <c r="I82" s="21"/>
      <c r="J82" s="21"/>
      <c r="K82" s="21" t="str">
        <v/>
      </c>
      <c r="L82" s="21"/>
      <c r="M82" s="21"/>
      <c r="N82" s="21"/>
      <c r="O82" s="21"/>
      <c r="P82" s="21"/>
      <c r="Q82" s="21"/>
      <c r="R82" s="21"/>
      <c r="S82" s="21"/>
      <c r="T82" s="21"/>
    </row>
    <row r="83">
      <c r="G83" s="18" t="s">
        <v>471</v>
      </c>
      <c r="H83" s="7" t="s">
        <v>521</v>
      </c>
      <c r="I83" s="7" t="s">
        <v>522</v>
      </c>
      <c r="J83" s="7" t="s">
        <v>523</v>
      </c>
      <c r="K83" s="7" t="str">
        <v>2024-12024-2</v>
      </c>
      <c r="L83" s="7" t="s">
        <v>525</v>
      </c>
      <c r="M83" s="7" t="s">
        <v>526</v>
      </c>
      <c r="N83" s="7" t="s">
        <v>527</v>
      </c>
      <c r="O83" s="7" t="s">
        <v>528</v>
      </c>
      <c r="P83" s="7" t="s">
        <v>529</v>
      </c>
      <c r="Q83" s="7" t="s">
        <v>530</v>
      </c>
      <c r="R83" s="7" t="s">
        <v>531</v>
      </c>
      <c r="S83" s="7" t="s">
        <v>532</v>
      </c>
      <c r="T83" s="7" t="s">
        <v>533</v>
      </c>
    </row>
    <row r="84">
      <c r="G84" s="7" t="s">
        <v>47</v>
      </c>
      <c r="H84" s="8" t="s">
        <v>536</v>
      </c>
      <c r="I84" s="8">
        <v>67538</v>
      </c>
      <c r="J84" s="8">
        <v>56204</v>
      </c>
      <c r="K84" s="8">
        <v>60998</v>
      </c>
      <c r="L84" s="8">
        <v>48057.666666666664</v>
      </c>
      <c r="M84" s="8">
        <v>32044</v>
      </c>
      <c r="N84" s="8">
        <v>74872.5</v>
      </c>
      <c r="O84" s="8">
        <v>54277.333333333336</v>
      </c>
      <c r="P84" s="8">
        <v>98433</v>
      </c>
      <c r="Q84" s="8">
        <v>72568</v>
      </c>
      <c r="R84" s="8">
        <v>28677</v>
      </c>
      <c r="S84" s="8">
        <v>72232</v>
      </c>
      <c r="T84" s="8">
        <v>69827</v>
      </c>
    </row>
    <row r="85">
      <c r="G85" s="7" t="s">
        <v>13</v>
      </c>
      <c r="H85" s="8">
        <v>39127</v>
      </c>
      <c r="I85" s="8">
        <v>51486</v>
      </c>
      <c r="J85" s="8">
        <v>46289</v>
      </c>
      <c r="K85" s="8" t="s">
        <v>536</v>
      </c>
      <c r="L85" s="8">
        <v>20481.666666666668</v>
      </c>
      <c r="M85" s="8">
        <v>54247.75</v>
      </c>
      <c r="N85" s="8">
        <v>83040</v>
      </c>
      <c r="O85" s="8">
        <v>51348.333333333336</v>
      </c>
      <c r="P85" s="8">
        <v>56559.333333333336</v>
      </c>
      <c r="Q85" s="8" t="s">
        <v>536</v>
      </c>
      <c r="R85" s="8">
        <v>75091.5</v>
      </c>
      <c r="S85" s="8">
        <v>88954.33333333333</v>
      </c>
      <c r="T85" s="8" t="s">
        <v>536</v>
      </c>
    </row>
    <row r="86">
      <c r="G86" s="7" t="s">
        <v>11</v>
      </c>
      <c r="H86" s="8">
        <v>60139.5</v>
      </c>
      <c r="I86" s="8">
        <v>64227</v>
      </c>
      <c r="J86" s="8" t="s">
        <v>536</v>
      </c>
      <c r="K86" s="8" t="s">
        <v>536</v>
      </c>
      <c r="L86" s="8">
        <v>71932</v>
      </c>
      <c r="M86" s="8">
        <v>47408</v>
      </c>
      <c r="N86" s="8">
        <v>38474</v>
      </c>
      <c r="O86" s="8" t="s">
        <v>536</v>
      </c>
      <c r="P86" s="8">
        <v>51766</v>
      </c>
      <c r="Q86" s="8">
        <v>52619</v>
      </c>
      <c r="R86" s="8" t="s">
        <v>536</v>
      </c>
      <c r="S86" s="8">
        <v>51926</v>
      </c>
      <c r="T86" s="8" t="s">
        <v>536</v>
      </c>
    </row>
    <row r="87">
      <c r="G87" s="7" t="s">
        <v>8</v>
      </c>
      <c r="H87" s="8">
        <v>31147</v>
      </c>
      <c r="I87" s="8" t="s">
        <v>536</v>
      </c>
      <c r="J87" s="8">
        <v>29347.75</v>
      </c>
      <c r="K87" s="8">
        <v>80864</v>
      </c>
      <c r="L87" s="8">
        <v>84215</v>
      </c>
      <c r="M87" s="8">
        <v>97490</v>
      </c>
      <c r="N87" s="8">
        <v>55609.5</v>
      </c>
      <c r="O87" s="8" t="s">
        <v>536</v>
      </c>
      <c r="P87" s="8">
        <v>56166</v>
      </c>
      <c r="Q87" s="8">
        <v>17772</v>
      </c>
      <c r="R87" s="8">
        <v>90825</v>
      </c>
      <c r="S87" s="8">
        <v>57851.25</v>
      </c>
      <c r="T87" s="8">
        <v>15039</v>
      </c>
    </row>
    <row r="88">
      <c r="G88" s="7" t="s">
        <v>17</v>
      </c>
      <c r="H88" s="8">
        <v>83205</v>
      </c>
      <c r="I88" s="8" t="s">
        <v>536</v>
      </c>
      <c r="J88" s="8" t="s">
        <v>536</v>
      </c>
      <c r="K88" s="8" t="s">
        <v>536</v>
      </c>
      <c r="L88" s="8">
        <v>88545</v>
      </c>
      <c r="M88" s="8">
        <v>23660</v>
      </c>
      <c r="N88" s="8">
        <v>93472</v>
      </c>
      <c r="O88" s="8">
        <v>41326.5</v>
      </c>
      <c r="P88" s="8">
        <v>65594.33333333333</v>
      </c>
      <c r="Q88" s="8">
        <v>48918</v>
      </c>
      <c r="R88" s="8">
        <v>18990.5</v>
      </c>
      <c r="S88" s="8">
        <v>60118</v>
      </c>
      <c r="T88" s="8">
        <v>35638.333333333336</v>
      </c>
    </row>
    <row r="89">
      <c r="G89" s="7" t="s">
        <v>43</v>
      </c>
      <c r="H89" s="8">
        <v>65898</v>
      </c>
      <c r="I89" s="8" t="s">
        <v>536</v>
      </c>
      <c r="J89" s="8">
        <v>82279</v>
      </c>
      <c r="K89" s="8">
        <v>94418</v>
      </c>
      <c r="L89" s="8">
        <v>54385</v>
      </c>
      <c r="M89" s="8" t="s">
        <v>536</v>
      </c>
      <c r="N89" s="8">
        <v>85512</v>
      </c>
      <c r="O89" s="8">
        <v>67992</v>
      </c>
      <c r="P89" s="8">
        <v>41944.25</v>
      </c>
      <c r="Q89" s="8">
        <v>85215</v>
      </c>
      <c r="R89" s="8">
        <v>84635</v>
      </c>
      <c r="S89" s="8">
        <v>54351.5</v>
      </c>
      <c r="T89" s="8">
        <v>35373</v>
      </c>
    </row>
    <row r="90">
      <c r="G90" s="7" t="s">
        <v>28</v>
      </c>
      <c r="H90" s="8" t="s">
        <v>536</v>
      </c>
      <c r="I90" s="8" t="s">
        <v>536</v>
      </c>
      <c r="J90" s="8">
        <v>49194.5</v>
      </c>
      <c r="K90" s="8" t="s">
        <v>536</v>
      </c>
      <c r="L90" s="8">
        <v>23577</v>
      </c>
      <c r="M90" s="8" t="s">
        <v>536</v>
      </c>
      <c r="N90" s="8">
        <v>74492</v>
      </c>
      <c r="O90" s="8" t="s">
        <v>536</v>
      </c>
      <c r="P90" s="8">
        <v>21356</v>
      </c>
      <c r="Q90" s="8">
        <v>47507.666666666664</v>
      </c>
      <c r="R90" s="8" t="s">
        <v>536</v>
      </c>
      <c r="S90" s="8">
        <v>58102.25</v>
      </c>
      <c r="T90" s="8">
        <v>49779</v>
      </c>
    </row>
    <row r="91">
      <c r="G91" s="7" t="s">
        <v>57</v>
      </c>
      <c r="H91" s="8">
        <v>13893</v>
      </c>
      <c r="I91" s="8">
        <v>24770</v>
      </c>
      <c r="J91" s="8">
        <v>84441</v>
      </c>
      <c r="K91" s="8">
        <v>65207</v>
      </c>
      <c r="L91" s="8">
        <v>56009</v>
      </c>
      <c r="M91" s="8" t="s">
        <v>536</v>
      </c>
      <c r="N91" s="8">
        <v>68516</v>
      </c>
      <c r="O91" s="8">
        <v>50116.333333333336</v>
      </c>
      <c r="P91" s="8">
        <v>76295</v>
      </c>
      <c r="Q91" s="8">
        <v>59342</v>
      </c>
      <c r="R91" s="8" t="s">
        <v>536</v>
      </c>
      <c r="S91" s="8">
        <v>21682</v>
      </c>
      <c r="T91" s="8" t="s">
        <v>536</v>
      </c>
    </row>
    <row r="92">
      <c r="G92" s="7" t="s">
        <v>15</v>
      </c>
      <c r="H92" s="8">
        <v>13478</v>
      </c>
      <c r="I92" s="8">
        <v>91163</v>
      </c>
      <c r="J92" s="8">
        <v>48801.333333333336</v>
      </c>
      <c r="K92" s="8">
        <v>46875</v>
      </c>
      <c r="L92" s="8">
        <v>17872</v>
      </c>
      <c r="M92" s="8" t="s">
        <v>536</v>
      </c>
      <c r="N92" s="8">
        <v>66579</v>
      </c>
      <c r="O92" s="8">
        <v>57781.5</v>
      </c>
      <c r="P92" s="8">
        <v>27749.5</v>
      </c>
      <c r="Q92" s="8" t="s">
        <v>536</v>
      </c>
      <c r="R92" s="8">
        <v>60212.666666666664</v>
      </c>
      <c r="S92" s="8">
        <v>40133</v>
      </c>
      <c r="T92" s="8">
        <v>92555</v>
      </c>
    </row>
    <row r="93">
      <c r="G93" s="7" t="s">
        <v>24</v>
      </c>
      <c r="H93" s="8">
        <v>44123</v>
      </c>
      <c r="I93" s="8">
        <v>42791</v>
      </c>
      <c r="J93" s="8" t="s">
        <v>536</v>
      </c>
      <c r="K93" s="8" t="s">
        <v>536</v>
      </c>
      <c r="L93" s="8">
        <v>74467.25</v>
      </c>
      <c r="M93" s="8" t="s">
        <v>536</v>
      </c>
      <c r="N93" s="8">
        <v>24464</v>
      </c>
      <c r="O93" s="8">
        <v>33702</v>
      </c>
      <c r="P93" s="8">
        <v>33651.5</v>
      </c>
      <c r="Q93" s="8">
        <v>40027.5</v>
      </c>
      <c r="R93" s="8">
        <v>72455.5</v>
      </c>
      <c r="S93" s="8">
        <v>58095.333333333336</v>
      </c>
      <c r="T93" s="8">
        <v>35749</v>
      </c>
    </row>
    <row r="94">
      <c r="G94" s="7" t="s">
        <v>5</v>
      </c>
      <c r="H94" s="8">
        <v>13042</v>
      </c>
      <c r="I94" s="8">
        <v>37565</v>
      </c>
      <c r="J94" s="8">
        <v>50645</v>
      </c>
      <c r="K94" s="8" t="s">
        <v>536</v>
      </c>
      <c r="L94" s="8">
        <v>52123</v>
      </c>
      <c r="M94" s="8">
        <v>57541</v>
      </c>
      <c r="N94" s="8">
        <v>44322</v>
      </c>
      <c r="O94" s="8" t="s">
        <v>536</v>
      </c>
      <c r="P94" s="8">
        <v>64781</v>
      </c>
      <c r="Q94" s="8">
        <v>45449.5</v>
      </c>
      <c r="R94" s="8">
        <v>29970</v>
      </c>
      <c r="S94" s="8">
        <v>67166.33333333333</v>
      </c>
      <c r="T94" s="8">
        <v>82622.25</v>
      </c>
    </row>
    <row r="95">
      <c r="G95" s="7" t="s">
        <v>21</v>
      </c>
      <c r="H95" s="8" t="s">
        <v>536</v>
      </c>
      <c r="I95" s="8" t="s">
        <v>536</v>
      </c>
      <c r="J95" s="8">
        <v>43572.5</v>
      </c>
      <c r="K95" s="8" t="s">
        <v>536</v>
      </c>
      <c r="L95" s="8">
        <v>52776.5</v>
      </c>
      <c r="M95" s="8">
        <v>35881</v>
      </c>
      <c r="N95" s="8">
        <v>87487</v>
      </c>
      <c r="O95" s="8" t="s">
        <v>536</v>
      </c>
      <c r="P95" s="8">
        <v>71360.33333333333</v>
      </c>
      <c r="Q95" s="8" t="s">
        <v>536</v>
      </c>
      <c r="R95" s="8">
        <v>14407</v>
      </c>
      <c r="S95" s="8">
        <v>71232.75</v>
      </c>
      <c r="T95" s="8">
        <v>78011</v>
      </c>
    </row>
    <row r="96">
      <c r="K96" t="str">
        <v/>
      </c>
    </row>
    <row r="97">
      <c r="K97" t="str">
        <v/>
      </c>
    </row>
    <row r="98">
      <c r="K98" t="str">
        <v/>
      </c>
    </row>
    <row r="99">
      <c r="K99" t="str">
        <v/>
      </c>
    </row>
    <row r="100">
      <c r="K100" t="str">
        <v/>
      </c>
    </row>
    <row r="101">
      <c r="K101" t="str">
        <v/>
      </c>
    </row>
    <row r="102">
      <c r="K102" t="str">
        <v/>
      </c>
    </row>
    <row r="103">
      <c r="K103" t="str">
        <v/>
      </c>
    </row>
    <row r="104">
      <c r="K104" t="str">
        <v/>
      </c>
    </row>
    <row r="105">
      <c r="K105" t="str">
        <v/>
      </c>
    </row>
    <row r="106">
      <c r="K106" t="str">
        <v/>
      </c>
    </row>
    <row r="107">
      <c r="K107" t="str">
        <v/>
      </c>
    </row>
    <row r="108">
      <c r="K108" t="str">
        <v/>
      </c>
    </row>
    <row r="109">
      <c r="K109" t="str">
        <v/>
      </c>
    </row>
    <row r="110">
      <c r="K110" t="str">
        <v/>
      </c>
    </row>
    <row r="111">
      <c r="K111" t="str">
        <v/>
      </c>
    </row>
    <row r="112">
      <c r="K112" t="str">
        <v/>
      </c>
    </row>
    <row r="113">
      <c r="K113" t="str">
        <v/>
      </c>
    </row>
    <row r="114">
      <c r="K114" t="str">
        <v/>
      </c>
    </row>
    <row r="115">
      <c r="K115" t="str">
        <v/>
      </c>
    </row>
    <row r="116">
      <c r="K116" t="str">
        <v/>
      </c>
    </row>
    <row r="117">
      <c r="K117" t="str">
        <v/>
      </c>
    </row>
    <row r="118">
      <c r="K118" t="str">
        <v/>
      </c>
    </row>
    <row r="119">
      <c r="K119" t="str">
        <v/>
      </c>
    </row>
    <row r="120">
      <c r="K120" t="str">
        <v/>
      </c>
    </row>
    <row r="121">
      <c r="K121" t="str">
        <v/>
      </c>
    </row>
    <row r="122">
      <c r="K122" t="str">
        <v/>
      </c>
    </row>
    <row r="123">
      <c r="K123" t="str">
        <v/>
      </c>
    </row>
    <row r="124">
      <c r="K124" t="str">
        <v/>
      </c>
    </row>
    <row r="125">
      <c r="K125" t="str">
        <v/>
      </c>
    </row>
    <row r="126">
      <c r="K126" t="str">
        <v/>
      </c>
    </row>
    <row r="127">
      <c r="K127" t="str">
        <v/>
      </c>
    </row>
    <row r="128">
      <c r="K128" t="str">
        <v/>
      </c>
    </row>
    <row r="129">
      <c r="K129" t="str">
        <v/>
      </c>
    </row>
    <row r="130">
      <c r="K130" t="str">
        <v/>
      </c>
    </row>
    <row r="131">
      <c r="K131" t="str">
        <v/>
      </c>
    </row>
    <row r="132">
      <c r="K132" t="str">
        <v/>
      </c>
    </row>
    <row r="133">
      <c r="K133" t="str">
        <v/>
      </c>
    </row>
    <row r="134">
      <c r="K134" t="str">
        <v/>
      </c>
    </row>
    <row r="135">
      <c r="K135" t="str">
        <v/>
      </c>
    </row>
    <row r="136">
      <c r="K136" t="str">
        <v/>
      </c>
    </row>
    <row r="137">
      <c r="K137" t="str">
        <v/>
      </c>
    </row>
    <row r="138">
      <c r="K138" t="str">
        <v/>
      </c>
    </row>
    <row r="139">
      <c r="K139" t="str">
        <v/>
      </c>
    </row>
    <row r="140">
      <c r="K140" t="str">
        <v/>
      </c>
    </row>
    <row r="141">
      <c r="K141" t="str">
        <v/>
      </c>
    </row>
    <row r="142">
      <c r="K142" t="str">
        <v/>
      </c>
    </row>
    <row r="143">
      <c r="K143" t="str">
        <v/>
      </c>
    </row>
    <row r="144">
      <c r="K144" t="str">
        <v/>
      </c>
    </row>
    <row r="145">
      <c r="K145" t="str">
        <v/>
      </c>
    </row>
    <row r="146">
      <c r="K146" t="str">
        <v/>
      </c>
    </row>
    <row r="147">
      <c r="K147" t="str">
        <v/>
      </c>
    </row>
    <row r="148">
      <c r="K148" t="str">
        <v/>
      </c>
    </row>
    <row r="149">
      <c r="K149" t="str">
        <v/>
      </c>
    </row>
    <row r="150">
      <c r="K150" t="str">
        <v/>
      </c>
    </row>
    <row r="151">
      <c r="K151" t="str">
        <v/>
      </c>
    </row>
    <row r="152">
      <c r="K152" t="str">
        <v/>
      </c>
    </row>
    <row r="153">
      <c r="K153" t="str">
        <v/>
      </c>
    </row>
    <row r="154">
      <c r="K154" t="str">
        <v/>
      </c>
    </row>
    <row r="155">
      <c r="K155" t="str">
        <v/>
      </c>
    </row>
    <row r="156">
      <c r="K156" t="str">
        <v/>
      </c>
    </row>
    <row r="157">
      <c r="K157" t="str">
        <v/>
      </c>
    </row>
    <row r="158">
      <c r="K158" t="str">
        <v/>
      </c>
    </row>
    <row r="159">
      <c r="K159" t="str">
        <v/>
      </c>
    </row>
    <row r="160">
      <c r="K160" t="str">
        <v/>
      </c>
    </row>
    <row r="161">
      <c r="K161" t="str">
        <v/>
      </c>
    </row>
    <row r="162">
      <c r="K162" t="str">
        <v/>
      </c>
    </row>
    <row r="163">
      <c r="K163" t="str">
        <v/>
      </c>
    </row>
    <row r="164">
      <c r="K164" t="str">
        <v/>
      </c>
    </row>
    <row r="165">
      <c r="K165" t="str">
        <v/>
      </c>
    </row>
    <row r="166">
      <c r="K166" t="str">
        <v/>
      </c>
    </row>
    <row r="167">
      <c r="K167" t="str">
        <v/>
      </c>
    </row>
    <row r="168">
      <c r="K168" t="str">
        <v/>
      </c>
    </row>
    <row r="169">
      <c r="K169" t="str">
        <v/>
      </c>
    </row>
    <row r="170">
      <c r="K170" t="str">
        <v/>
      </c>
    </row>
    <row r="171">
      <c r="K171" t="str">
        <v/>
      </c>
    </row>
    <row r="172">
      <c r="K172" t="str">
        <v/>
      </c>
    </row>
    <row r="173">
      <c r="K173" t="str">
        <v/>
      </c>
    </row>
    <row r="174">
      <c r="K174" t="str">
        <v/>
      </c>
    </row>
    <row r="175">
      <c r="K175" t="str">
        <v/>
      </c>
    </row>
    <row r="176">
      <c r="K176" t="str">
        <v/>
      </c>
    </row>
    <row r="177">
      <c r="K177" t="str">
        <v/>
      </c>
    </row>
    <row r="178">
      <c r="K178" t="str">
        <v/>
      </c>
    </row>
    <row r="179">
      <c r="K179" t="str">
        <v/>
      </c>
    </row>
    <row r="180">
      <c r="K180" t="str">
        <v/>
      </c>
    </row>
    <row r="181">
      <c r="K181" t="str">
        <v/>
      </c>
    </row>
    <row r="182">
      <c r="K182" t="str">
        <v/>
      </c>
    </row>
    <row r="183">
      <c r="K183" t="str">
        <v/>
      </c>
    </row>
    <row r="184">
      <c r="K184" t="str">
        <v/>
      </c>
    </row>
    <row r="185">
      <c r="K185" t="str">
        <v/>
      </c>
    </row>
    <row r="186">
      <c r="K186" t="str">
        <v/>
      </c>
    </row>
    <row r="187">
      <c r="K187" t="str">
        <v/>
      </c>
    </row>
    <row r="188">
      <c r="K188" t="str">
        <v/>
      </c>
    </row>
    <row r="189">
      <c r="K189" t="str">
        <v/>
      </c>
    </row>
    <row r="190">
      <c r="K190" t="str">
        <v/>
      </c>
    </row>
    <row r="191">
      <c r="K191" t="str">
        <v/>
      </c>
    </row>
    <row r="192">
      <c r="K192" t="str">
        <v/>
      </c>
    </row>
    <row r="193">
      <c r="K193" t="str">
        <v/>
      </c>
    </row>
    <row r="194">
      <c r="K194" t="str">
        <v/>
      </c>
    </row>
    <row r="195">
      <c r="K195" t="str">
        <v/>
      </c>
    </row>
    <row r="196">
      <c r="K196" t="str">
        <v/>
      </c>
    </row>
    <row r="197">
      <c r="K197" t="str">
        <v/>
      </c>
    </row>
    <row r="198">
      <c r="K198" t="str">
        <v/>
      </c>
    </row>
    <row r="199">
      <c r="K199" t="str">
        <v/>
      </c>
    </row>
    <row r="200">
      <c r="K200" t="str">
        <v/>
      </c>
    </row>
    <row r="201">
      <c r="K201" t="str">
        <v/>
      </c>
    </row>
    <row r="202">
      <c r="K202" t="str">
        <v/>
      </c>
    </row>
    <row r="203">
      <c r="K203" t="str">
        <v/>
      </c>
    </row>
    <row r="204">
      <c r="K204" t="str">
        <v/>
      </c>
    </row>
    <row r="205">
      <c r="K205" t="str">
        <v/>
      </c>
    </row>
    <row r="206">
      <c r="K206" t="str">
        <v/>
      </c>
    </row>
    <row r="207">
      <c r="K207" t="str">
        <v/>
      </c>
    </row>
    <row r="208">
      <c r="K208" t="str">
        <v/>
      </c>
    </row>
    <row r="209">
      <c r="K209" t="str">
        <v/>
      </c>
    </row>
    <row r="210">
      <c r="K210" t="str">
        <v/>
      </c>
    </row>
    <row r="211">
      <c r="K211" t="str">
        <v/>
      </c>
    </row>
    <row r="212">
      <c r="K212" t="str">
        <v/>
      </c>
    </row>
    <row r="213">
      <c r="K213" t="str">
        <v/>
      </c>
    </row>
    <row r="214">
      <c r="K214" t="str">
        <v/>
      </c>
    </row>
    <row r="215">
      <c r="K215" t="str">
        <v/>
      </c>
    </row>
    <row r="216">
      <c r="K216" t="str">
        <v/>
      </c>
    </row>
    <row r="217">
      <c r="K217" t="str">
        <v/>
      </c>
    </row>
    <row r="218">
      <c r="K218" t="str">
        <v/>
      </c>
    </row>
    <row r="219">
      <c r="K219" t="str">
        <v/>
      </c>
    </row>
    <row r="220">
      <c r="K220" t="str">
        <v/>
      </c>
    </row>
    <row r="221">
      <c r="K221" t="str">
        <v/>
      </c>
    </row>
    <row r="222">
      <c r="K222" t="str">
        <v/>
      </c>
    </row>
    <row r="223">
      <c r="K223" t="str">
        <v/>
      </c>
    </row>
    <row r="224">
      <c r="K224" t="str">
        <v/>
      </c>
    </row>
    <row r="225">
      <c r="K225" t="str">
        <v/>
      </c>
    </row>
    <row r="226">
      <c r="K226" t="str">
        <v/>
      </c>
    </row>
    <row r="227">
      <c r="K227" t="str">
        <v/>
      </c>
    </row>
    <row r="228">
      <c r="K228" t="str">
        <v/>
      </c>
    </row>
    <row r="229">
      <c r="K229" t="str">
        <v/>
      </c>
    </row>
    <row r="230">
      <c r="K230" t="str">
        <v/>
      </c>
    </row>
    <row r="231">
      <c r="K231" t="str">
        <v/>
      </c>
    </row>
    <row r="232">
      <c r="K232" t="str">
        <v/>
      </c>
    </row>
    <row r="233">
      <c r="K233" t="str">
        <v/>
      </c>
    </row>
    <row r="234">
      <c r="K234" t="str">
        <v/>
      </c>
    </row>
    <row r="235">
      <c r="K235" t="str">
        <v/>
      </c>
    </row>
    <row r="236">
      <c r="K236" t="str">
        <v/>
      </c>
    </row>
    <row r="237">
      <c r="K237" t="str">
        <v/>
      </c>
    </row>
    <row r="238">
      <c r="K238" t="str">
        <v/>
      </c>
    </row>
    <row r="239">
      <c r="K239" t="str">
        <v/>
      </c>
    </row>
    <row r="240">
      <c r="K240" t="str">
        <v/>
      </c>
    </row>
    <row r="241">
      <c r="K241" t="str">
        <v/>
      </c>
    </row>
    <row r="242">
      <c r="K242" t="str">
        <v/>
      </c>
    </row>
    <row r="243">
      <c r="K243" t="str">
        <v/>
      </c>
    </row>
    <row r="244">
      <c r="K244" t="str">
        <v/>
      </c>
    </row>
    <row r="245">
      <c r="K245" t="str">
        <v/>
      </c>
    </row>
    <row r="246">
      <c r="K246" t="str">
        <v/>
      </c>
    </row>
    <row r="247">
      <c r="K247" t="str">
        <v/>
      </c>
    </row>
    <row r="248">
      <c r="K248" t="str">
        <v/>
      </c>
    </row>
    <row r="249">
      <c r="K249" t="str">
        <v/>
      </c>
    </row>
    <row r="250">
      <c r="K250" t="str">
        <v/>
      </c>
    </row>
    <row r="251">
      <c r="K251" t="str">
        <v/>
      </c>
    </row>
    <row r="252">
      <c r="K252" t="str">
        <v/>
      </c>
    </row>
    <row r="253">
      <c r="K253" t="str">
        <v/>
      </c>
    </row>
    <row r="254">
      <c r="K254" t="str">
        <v/>
      </c>
    </row>
    <row r="255">
      <c r="K255" t="str">
        <v/>
      </c>
    </row>
    <row r="256">
      <c r="K256" t="str">
        <v/>
      </c>
    </row>
    <row r="257">
      <c r="K257" t="str">
        <v/>
      </c>
    </row>
    <row r="258">
      <c r="K258" t="str">
        <v/>
      </c>
    </row>
    <row r="259">
      <c r="K259" t="str">
        <v/>
      </c>
    </row>
    <row r="260">
      <c r="K260" t="str">
        <v/>
      </c>
    </row>
    <row r="261">
      <c r="K261" t="str">
        <v/>
      </c>
    </row>
    <row r="262">
      <c r="K262" t="str">
        <v/>
      </c>
    </row>
    <row r="263">
      <c r="K263" t="str">
        <v/>
      </c>
    </row>
    <row r="264">
      <c r="K264" t="str">
        <v/>
      </c>
    </row>
    <row r="265">
      <c r="K265" t="str">
        <v/>
      </c>
    </row>
    <row r="266">
      <c r="K266" t="str">
        <v/>
      </c>
    </row>
    <row r="267">
      <c r="K267" t="str">
        <v/>
      </c>
    </row>
    <row r="268">
      <c r="K268" t="str">
        <v/>
      </c>
    </row>
    <row r="269">
      <c r="K269" t="str">
        <v/>
      </c>
    </row>
    <row r="270">
      <c r="K270" t="str">
        <v/>
      </c>
    </row>
    <row r="271">
      <c r="K271" t="str">
        <v/>
      </c>
    </row>
    <row r="272">
      <c r="K272" t="str">
        <v/>
      </c>
    </row>
    <row r="273">
      <c r="K273" t="str">
        <v/>
      </c>
    </row>
    <row r="274">
      <c r="K274" t="str">
        <v/>
      </c>
    </row>
    <row r="275">
      <c r="K275" t="str">
        <v/>
      </c>
    </row>
    <row r="276">
      <c r="K276" t="str">
        <v/>
      </c>
    </row>
    <row r="277">
      <c r="K277" t="str">
        <v/>
      </c>
    </row>
    <row r="278">
      <c r="K278" t="str">
        <v/>
      </c>
    </row>
    <row r="279">
      <c r="K279" t="str">
        <v/>
      </c>
    </row>
    <row r="280">
      <c r="K280" t="str">
        <v/>
      </c>
    </row>
    <row r="281">
      <c r="K281" t="str">
        <v/>
      </c>
    </row>
    <row r="282">
      <c r="K282" t="str">
        <v/>
      </c>
    </row>
    <row r="283">
      <c r="K283" t="str">
        <v/>
      </c>
    </row>
    <row r="284">
      <c r="K284" t="str">
        <v/>
      </c>
    </row>
    <row r="285">
      <c r="K285" t="str">
        <v/>
      </c>
    </row>
    <row r="286">
      <c r="K286" t="str">
        <v/>
      </c>
    </row>
    <row r="287">
      <c r="K287" t="str">
        <v/>
      </c>
    </row>
    <row r="288">
      <c r="K288" t="str">
        <v/>
      </c>
    </row>
    <row r="289">
      <c r="K289" t="str">
        <v/>
      </c>
    </row>
    <row r="290">
      <c r="K290" t="str">
        <v/>
      </c>
    </row>
    <row r="291">
      <c r="K291" t="str">
        <v/>
      </c>
    </row>
    <row r="292">
      <c r="K292" t="str">
        <v/>
      </c>
    </row>
    <row r="293">
      <c r="K293" t="str">
        <v/>
      </c>
    </row>
    <row r="294">
      <c r="K294" t="str">
        <v/>
      </c>
    </row>
    <row r="295">
      <c r="K295" t="str">
        <v/>
      </c>
    </row>
    <row r="296">
      <c r="K296" t="str">
        <v/>
      </c>
    </row>
    <row r="297">
      <c r="K297" t="str">
        <v/>
      </c>
    </row>
    <row r="298">
      <c r="K298" t="str">
        <v/>
      </c>
    </row>
    <row r="299">
      <c r="K299" t="str">
        <v/>
      </c>
    </row>
    <row r="300">
      <c r="K300" t="str">
        <v/>
      </c>
    </row>
    <row r="301">
      <c r="K301" t="str">
        <v/>
      </c>
    </row>
    <row r="302">
      <c r="K302" t="str">
        <v/>
      </c>
    </row>
    <row r="303">
      <c r="K303" t="str">
        <v/>
      </c>
    </row>
    <row r="304">
      <c r="K304" t="str">
        <v/>
      </c>
    </row>
    <row r="305">
      <c r="K305" t="str">
        <v/>
      </c>
    </row>
    <row r="306">
      <c r="K306" t="str">
        <v/>
      </c>
    </row>
    <row r="307">
      <c r="K307" t="str">
        <v/>
      </c>
    </row>
    <row r="308">
      <c r="K308" t="str">
        <v/>
      </c>
    </row>
    <row r="309">
      <c r="K309" t="str">
        <v/>
      </c>
    </row>
    <row r="310">
      <c r="K310" t="str">
        <v/>
      </c>
    </row>
    <row r="311">
      <c r="K311" t="str">
        <v/>
      </c>
    </row>
    <row r="312">
      <c r="K312" t="str">
        <v/>
      </c>
    </row>
    <row r="313">
      <c r="K313" t="str">
        <v/>
      </c>
    </row>
    <row r="314">
      <c r="K314" t="str">
        <v/>
      </c>
    </row>
    <row r="315">
      <c r="K315" t="str">
        <v/>
      </c>
    </row>
    <row r="316">
      <c r="K316" t="str">
        <v/>
      </c>
    </row>
    <row r="317">
      <c r="K317" t="str">
        <v/>
      </c>
    </row>
    <row r="318">
      <c r="K318" t="str">
        <v/>
      </c>
    </row>
    <row r="319">
      <c r="K319" t="str">
        <v/>
      </c>
    </row>
    <row r="320">
      <c r="K320" t="str">
        <v/>
      </c>
    </row>
    <row r="321">
      <c r="K321" t="str">
        <v/>
      </c>
    </row>
    <row r="322">
      <c r="K322" t="str">
        <v/>
      </c>
    </row>
    <row r="323">
      <c r="K323" t="str">
        <v/>
      </c>
    </row>
    <row r="324">
      <c r="K324" t="str">
        <v/>
      </c>
    </row>
    <row r="325">
      <c r="K325" t="str">
        <v/>
      </c>
    </row>
    <row r="326">
      <c r="K326" t="str">
        <v/>
      </c>
    </row>
    <row r="327">
      <c r="K327" t="str">
        <v/>
      </c>
    </row>
    <row r="328">
      <c r="K328" t="str">
        <v/>
      </c>
    </row>
    <row r="329">
      <c r="K329" t="str">
        <v/>
      </c>
    </row>
    <row r="330">
      <c r="K330" t="str">
        <v/>
      </c>
    </row>
    <row r="331">
      <c r="K331" t="str">
        <v/>
      </c>
    </row>
    <row r="332">
      <c r="K332" t="str">
        <v/>
      </c>
    </row>
    <row r="333">
      <c r="K333" t="str">
        <v/>
      </c>
    </row>
    <row r="334">
      <c r="K334" t="str">
        <v/>
      </c>
    </row>
    <row r="335">
      <c r="K335" t="str">
        <v/>
      </c>
    </row>
    <row r="336">
      <c r="K336" t="str">
        <v/>
      </c>
    </row>
    <row r="337">
      <c r="K337" t="str">
        <v/>
      </c>
    </row>
    <row r="338">
      <c r="K338" t="str">
        <v/>
      </c>
    </row>
    <row r="339">
      <c r="K339" t="str">
        <v/>
      </c>
    </row>
    <row r="340">
      <c r="K340" t="str">
        <v/>
      </c>
    </row>
    <row r="341">
      <c r="K341" t="str">
        <v/>
      </c>
    </row>
    <row r="342">
      <c r="K342" t="str">
        <v/>
      </c>
    </row>
    <row r="343">
      <c r="K343" t="str">
        <v/>
      </c>
    </row>
    <row r="344">
      <c r="K344" t="str">
        <v/>
      </c>
    </row>
    <row r="345">
      <c r="K345" t="str">
        <v/>
      </c>
    </row>
    <row r="346">
      <c r="K346" t="str">
        <v/>
      </c>
    </row>
    <row r="347">
      <c r="K347" t="str">
        <v/>
      </c>
    </row>
    <row r="348">
      <c r="K348" t="str">
        <v/>
      </c>
    </row>
    <row r="349">
      <c r="K349" t="str">
        <v/>
      </c>
    </row>
    <row r="350">
      <c r="K350" t="str">
        <v/>
      </c>
    </row>
    <row r="351">
      <c r="K351" t="str">
        <v/>
      </c>
    </row>
    <row r="352">
      <c r="K352" t="str">
        <v/>
      </c>
    </row>
    <row r="353">
      <c r="K353" t="str">
        <v/>
      </c>
    </row>
    <row r="354">
      <c r="K354" t="str">
        <v/>
      </c>
    </row>
    <row r="355">
      <c r="K355" t="str">
        <v/>
      </c>
    </row>
    <row r="356">
      <c r="K356" t="str">
        <v/>
      </c>
    </row>
    <row r="357">
      <c r="K357" t="str">
        <v/>
      </c>
    </row>
    <row r="358">
      <c r="K358" t="str">
        <v/>
      </c>
    </row>
    <row r="359">
      <c r="K359" t="str">
        <v/>
      </c>
    </row>
    <row r="360">
      <c r="K360" t="str">
        <v/>
      </c>
    </row>
    <row r="361">
      <c r="K361" t="str">
        <v/>
      </c>
    </row>
    <row r="362">
      <c r="K362" t="str">
        <v/>
      </c>
    </row>
    <row r="363">
      <c r="K363" t="str">
        <v/>
      </c>
    </row>
    <row r="364">
      <c r="K364" t="str">
        <v/>
      </c>
    </row>
    <row r="365">
      <c r="K365" t="str">
        <v/>
      </c>
    </row>
    <row r="366">
      <c r="K366" t="str">
        <v/>
      </c>
    </row>
    <row r="367">
      <c r="K367" t="str">
        <v/>
      </c>
    </row>
    <row r="368">
      <c r="K368" t="str">
        <v/>
      </c>
    </row>
    <row r="369">
      <c r="K369" t="str">
        <v/>
      </c>
    </row>
    <row r="370">
      <c r="K370" t="str">
        <v/>
      </c>
    </row>
    <row r="371">
      <c r="K371" t="str">
        <v/>
      </c>
    </row>
    <row r="372">
      <c r="K372" t="str">
        <v/>
      </c>
    </row>
    <row r="373">
      <c r="K373" t="str">
        <v/>
      </c>
    </row>
    <row r="374">
      <c r="K374" t="str">
        <v/>
      </c>
    </row>
    <row r="375">
      <c r="K375" t="str">
        <v/>
      </c>
    </row>
    <row r="376">
      <c r="K376" t="str">
        <v/>
      </c>
    </row>
    <row r="377">
      <c r="K377" t="str">
        <v/>
      </c>
    </row>
    <row r="378">
      <c r="K378" t="str">
        <v/>
      </c>
    </row>
    <row r="379">
      <c r="K379" t="str">
        <v/>
      </c>
    </row>
    <row r="380">
      <c r="K380" t="str">
        <v/>
      </c>
    </row>
    <row r="381">
      <c r="K381" t="str">
        <v/>
      </c>
    </row>
    <row r="382">
      <c r="K382" t="str">
        <v/>
      </c>
    </row>
    <row r="383">
      <c r="K383" t="str">
        <v/>
      </c>
    </row>
    <row r="384">
      <c r="K384" t="str">
        <v/>
      </c>
    </row>
    <row r="385">
      <c r="K385" t="str">
        <v/>
      </c>
    </row>
    <row r="386">
      <c r="K386" t="str">
        <v/>
      </c>
    </row>
    <row r="387">
      <c r="K387" t="str">
        <v/>
      </c>
    </row>
    <row r="388">
      <c r="K388" t="str">
        <v/>
      </c>
    </row>
    <row r="389">
      <c r="K389" t="str">
        <v/>
      </c>
    </row>
    <row r="390">
      <c r="K390" t="str">
        <v/>
      </c>
    </row>
    <row r="391">
      <c r="K391" t="str">
        <v/>
      </c>
    </row>
    <row r="392">
      <c r="K392" t="str">
        <v/>
      </c>
    </row>
    <row r="393">
      <c r="K393" t="str">
        <v/>
      </c>
    </row>
    <row r="394">
      <c r="K394" t="str">
        <v/>
      </c>
    </row>
    <row r="395">
      <c r="K395" t="str">
        <v/>
      </c>
    </row>
    <row r="396">
      <c r="K396" t="str">
        <v/>
      </c>
    </row>
    <row r="397">
      <c r="K397" t="str">
        <v/>
      </c>
    </row>
    <row r="398">
      <c r="K398" t="str">
        <v/>
      </c>
    </row>
    <row r="399">
      <c r="K399" t="str">
        <v/>
      </c>
    </row>
    <row r="400">
      <c r="K400" t="str">
        <v/>
      </c>
    </row>
    <row r="401">
      <c r="K401" t="str">
        <v/>
      </c>
    </row>
    <row r="402">
      <c r="K402" t="str">
        <v/>
      </c>
    </row>
    <row r="403">
      <c r="K403" t="str">
        <v/>
      </c>
    </row>
    <row r="404">
      <c r="K404" t="str">
        <v/>
      </c>
    </row>
    <row r="405">
      <c r="K405" t="str">
        <v/>
      </c>
    </row>
    <row r="406">
      <c r="K406" t="str">
        <v/>
      </c>
    </row>
    <row r="407">
      <c r="K407" t="str">
        <v/>
      </c>
    </row>
    <row r="408">
      <c r="K408" t="str">
        <v/>
      </c>
    </row>
    <row r="409">
      <c r="K409" t="str">
        <v/>
      </c>
    </row>
    <row r="410">
      <c r="K410" t="str">
        <v/>
      </c>
    </row>
    <row r="411">
      <c r="K411" t="str">
        <v/>
      </c>
    </row>
    <row r="412">
      <c r="K412" t="str">
        <v/>
      </c>
    </row>
    <row r="413">
      <c r="K413" t="str">
        <v/>
      </c>
    </row>
    <row r="414">
      <c r="K414" t="str">
        <v/>
      </c>
    </row>
    <row r="415">
      <c r="K415" t="str">
        <v/>
      </c>
    </row>
    <row r="416">
      <c r="K416" t="str">
        <v/>
      </c>
    </row>
    <row r="417">
      <c r="K417" t="str">
        <v/>
      </c>
    </row>
    <row r="418">
      <c r="K418" t="str">
        <v/>
      </c>
    </row>
    <row r="419">
      <c r="K419" t="str">
        <v/>
      </c>
    </row>
    <row r="420">
      <c r="K420" t="str">
        <v/>
      </c>
    </row>
    <row r="421">
      <c r="K421" t="str">
        <v/>
      </c>
    </row>
    <row r="422">
      <c r="K422" t="str">
        <v/>
      </c>
    </row>
    <row r="423">
      <c r="K423" t="str">
        <v/>
      </c>
    </row>
    <row r="424">
      <c r="K424" t="str">
        <v/>
      </c>
    </row>
    <row r="425">
      <c r="K425" t="str">
        <v/>
      </c>
    </row>
    <row r="426">
      <c r="K426" t="str">
        <v/>
      </c>
    </row>
    <row r="427">
      <c r="K427" t="str">
        <v/>
      </c>
    </row>
    <row r="428">
      <c r="K428" t="str">
        <v/>
      </c>
    </row>
    <row r="429">
      <c r="K429" t="str">
        <v/>
      </c>
    </row>
    <row r="430">
      <c r="K430" t="str">
        <v/>
      </c>
    </row>
    <row r="431">
      <c r="K431" t="str">
        <v/>
      </c>
    </row>
    <row r="432">
      <c r="K432" t="str">
        <v/>
      </c>
    </row>
    <row r="433">
      <c r="K433" t="str">
        <v/>
      </c>
    </row>
    <row r="434">
      <c r="K434" t="str">
        <v/>
      </c>
    </row>
    <row r="435">
      <c r="K435" t="str">
        <v/>
      </c>
    </row>
    <row r="436">
      <c r="K436" t="str">
        <v/>
      </c>
    </row>
    <row r="437">
      <c r="K437" t="str">
        <v/>
      </c>
    </row>
    <row r="438">
      <c r="K438" t="str">
        <v/>
      </c>
    </row>
    <row r="439">
      <c r="K439" t="str">
        <v/>
      </c>
    </row>
    <row r="440">
      <c r="K440" t="str">
        <v/>
      </c>
    </row>
    <row r="441">
      <c r="K441" t="str">
        <v/>
      </c>
    </row>
    <row r="442">
      <c r="K442" t="str">
        <v/>
      </c>
    </row>
    <row r="443">
      <c r="K443" t="str">
        <v/>
      </c>
    </row>
    <row r="444">
      <c r="K444" t="str">
        <v/>
      </c>
    </row>
    <row r="445">
      <c r="K445" t="str">
        <v/>
      </c>
    </row>
    <row r="446">
      <c r="K446" t="str">
        <v/>
      </c>
    </row>
    <row r="447">
      <c r="K447" t="str">
        <v/>
      </c>
    </row>
    <row r="448">
      <c r="K448" t="str">
        <v/>
      </c>
    </row>
    <row r="449">
      <c r="K449" t="str">
        <v/>
      </c>
    </row>
    <row r="450">
      <c r="K450" t="str">
        <v/>
      </c>
    </row>
    <row r="451">
      <c r="K451" t="str">
        <v/>
      </c>
    </row>
    <row r="452">
      <c r="K452" t="str">
        <v/>
      </c>
    </row>
    <row r="453">
      <c r="K453" t="str">
        <v/>
      </c>
    </row>
    <row r="454">
      <c r="K454" t="str">
        <v/>
      </c>
    </row>
    <row r="455">
      <c r="K455" t="str">
        <v/>
      </c>
    </row>
    <row r="456">
      <c r="K456" t="str">
        <v/>
      </c>
    </row>
    <row r="457">
      <c r="K457" t="str">
        <v/>
      </c>
    </row>
    <row r="458">
      <c r="K458" t="str">
        <v/>
      </c>
    </row>
    <row r="459">
      <c r="K459" t="str">
        <v/>
      </c>
    </row>
    <row r="460">
      <c r="K460" t="str">
        <v/>
      </c>
    </row>
    <row r="461">
      <c r="K461" t="str">
        <v/>
      </c>
    </row>
    <row r="462">
      <c r="K462" t="str">
        <v/>
      </c>
    </row>
    <row r="463">
      <c r="K463" t="str">
        <v/>
      </c>
    </row>
    <row r="464">
      <c r="K464" t="str">
        <v/>
      </c>
    </row>
    <row r="465">
      <c r="K465" t="str">
        <v/>
      </c>
    </row>
    <row r="466">
      <c r="K466" t="str">
        <v/>
      </c>
    </row>
    <row r="467">
      <c r="K467" t="str">
        <v/>
      </c>
    </row>
    <row r="468">
      <c r="K468" t="str">
        <v/>
      </c>
    </row>
    <row r="469">
      <c r="K469" t="str">
        <v/>
      </c>
    </row>
    <row r="470">
      <c r="K470" t="str">
        <v/>
      </c>
    </row>
    <row r="471">
      <c r="K471" t="str">
        <v/>
      </c>
    </row>
    <row r="472">
      <c r="K472" t="str">
        <v/>
      </c>
    </row>
    <row r="473">
      <c r="K473" t="str">
        <v/>
      </c>
    </row>
    <row r="474">
      <c r="K474" t="str">
        <v/>
      </c>
    </row>
    <row r="475">
      <c r="K475" t="str">
        <v/>
      </c>
    </row>
    <row r="476">
      <c r="K476" t="str">
        <v/>
      </c>
    </row>
    <row r="477">
      <c r="K477" t="str">
        <v/>
      </c>
    </row>
    <row r="478">
      <c r="K478" t="str">
        <v/>
      </c>
    </row>
    <row r="479">
      <c r="K479" t="str">
        <v/>
      </c>
    </row>
    <row r="480">
      <c r="K480" t="str">
        <v/>
      </c>
    </row>
    <row r="481">
      <c r="K481" t="str">
        <v/>
      </c>
    </row>
    <row r="482">
      <c r="K482" t="str">
        <v/>
      </c>
    </row>
    <row r="483">
      <c r="K483" t="str">
        <v/>
      </c>
    </row>
    <row r="484">
      <c r="K484" t="str">
        <v/>
      </c>
    </row>
    <row r="485">
      <c r="K485" t="str">
        <v/>
      </c>
    </row>
    <row r="486">
      <c r="K486" t="str">
        <v/>
      </c>
    </row>
    <row r="487">
      <c r="K487" t="str">
        <v/>
      </c>
    </row>
    <row r="488">
      <c r="K488" t="str">
        <v/>
      </c>
    </row>
    <row r="489">
      <c r="K489" t="str">
        <v/>
      </c>
    </row>
    <row r="490">
      <c r="K490" t="str">
        <v/>
      </c>
    </row>
    <row r="491">
      <c r="K491" t="str">
        <v/>
      </c>
    </row>
    <row r="492">
      <c r="K492" t="str">
        <v/>
      </c>
    </row>
    <row r="493">
      <c r="K493" t="str">
        <v/>
      </c>
    </row>
    <row r="494">
      <c r="K494" t="str">
        <v/>
      </c>
    </row>
    <row r="495">
      <c r="K495" t="str">
        <v/>
      </c>
    </row>
    <row r="496">
      <c r="K496" t="str">
        <v/>
      </c>
    </row>
    <row r="497">
      <c r="K497" t="str">
        <v/>
      </c>
    </row>
    <row r="498">
      <c r="K498" t="str">
        <v/>
      </c>
    </row>
    <row r="499">
      <c r="K499" t="str">
        <v/>
      </c>
    </row>
    <row r="500">
      <c r="K500" t="str">
        <v/>
      </c>
    </row>
    <row r="501">
      <c r="K501" t="str">
        <v/>
      </c>
    </row>
    <row r="502">
      <c r="K502" t="str">
        <v/>
      </c>
    </row>
    <row r="503">
      <c r="K503" t="str">
        <v/>
      </c>
    </row>
    <row r="504">
      <c r="K504" t="str">
        <v/>
      </c>
    </row>
    <row r="505">
      <c r="K505" t="str">
        <v/>
      </c>
    </row>
    <row r="506">
      <c r="K506" t="str">
        <v/>
      </c>
    </row>
    <row r="507">
      <c r="K507" t="str">
        <v/>
      </c>
    </row>
    <row r="508">
      <c r="K508" t="str">
        <v/>
      </c>
    </row>
    <row r="509">
      <c r="K509" t="str">
        <v/>
      </c>
    </row>
    <row r="510">
      <c r="K510" t="str">
        <v/>
      </c>
    </row>
    <row r="511">
      <c r="K511" t="str">
        <v/>
      </c>
    </row>
    <row r="512">
      <c r="K512" t="str">
        <v/>
      </c>
    </row>
    <row r="513">
      <c r="K513" t="str">
        <v/>
      </c>
    </row>
    <row r="514">
      <c r="K514" t="str">
        <v/>
      </c>
    </row>
    <row r="515">
      <c r="K515" t="str">
        <v/>
      </c>
    </row>
    <row r="516">
      <c r="K516" t="str">
        <v/>
      </c>
    </row>
    <row r="517">
      <c r="K517" t="str">
        <v/>
      </c>
    </row>
    <row r="518">
      <c r="K518" t="str">
        <v/>
      </c>
    </row>
    <row r="519">
      <c r="K519" t="str">
        <v/>
      </c>
    </row>
    <row r="520">
      <c r="K520" t="str">
        <v/>
      </c>
    </row>
    <row r="521">
      <c r="K521" t="str">
        <v/>
      </c>
    </row>
    <row r="522">
      <c r="K522" t="str">
        <v/>
      </c>
    </row>
    <row r="523">
      <c r="K523" t="str">
        <v/>
      </c>
    </row>
    <row r="524">
      <c r="K524" t="str">
        <v/>
      </c>
    </row>
    <row r="525">
      <c r="K525" t="str">
        <v/>
      </c>
    </row>
    <row r="526">
      <c r="K526" t="str">
        <v/>
      </c>
    </row>
    <row r="527">
      <c r="K527" t="str">
        <v/>
      </c>
    </row>
    <row r="528">
      <c r="K528" t="str">
        <v/>
      </c>
    </row>
    <row r="529">
      <c r="K529" t="str">
        <v/>
      </c>
    </row>
    <row r="530">
      <c r="K530" t="str">
        <v/>
      </c>
    </row>
    <row r="531">
      <c r="K531" t="str">
        <v/>
      </c>
    </row>
    <row r="532">
      <c r="K532" t="str">
        <v/>
      </c>
    </row>
    <row r="533">
      <c r="K533" t="str">
        <v/>
      </c>
    </row>
    <row r="534">
      <c r="K534" t="str">
        <v/>
      </c>
    </row>
    <row r="535">
      <c r="K535" t="str">
        <v/>
      </c>
    </row>
    <row r="536">
      <c r="K536" t="str">
        <v/>
      </c>
    </row>
    <row r="537">
      <c r="K537" t="str">
        <v/>
      </c>
    </row>
    <row r="538">
      <c r="K538" t="str">
        <v/>
      </c>
    </row>
    <row r="539">
      <c r="K539" t="str">
        <v/>
      </c>
    </row>
    <row r="540">
      <c r="K540" t="str">
        <v/>
      </c>
    </row>
    <row r="541">
      <c r="K541" t="str">
        <v/>
      </c>
    </row>
    <row r="542">
      <c r="K542" t="str">
        <v/>
      </c>
    </row>
    <row r="543">
      <c r="K543" t="str">
        <v/>
      </c>
    </row>
    <row r="544">
      <c r="K544" t="str">
        <v/>
      </c>
    </row>
    <row r="545">
      <c r="K545" t="str">
        <v/>
      </c>
    </row>
    <row r="546">
      <c r="K546" t="str">
        <v/>
      </c>
    </row>
    <row r="547">
      <c r="K547" t="str">
        <v/>
      </c>
    </row>
    <row r="548">
      <c r="K548" t="str">
        <v/>
      </c>
    </row>
    <row r="549">
      <c r="K549" t="str">
        <v/>
      </c>
    </row>
    <row r="550">
      <c r="K550" t="str">
        <v/>
      </c>
    </row>
    <row r="551">
      <c r="K551" t="str">
        <v/>
      </c>
    </row>
    <row r="552">
      <c r="K552" t="str">
        <v/>
      </c>
    </row>
    <row r="553">
      <c r="K553" t="str">
        <v/>
      </c>
    </row>
    <row r="554">
      <c r="K554" t="str">
        <v/>
      </c>
    </row>
    <row r="555">
      <c r="K555" t="str">
        <v/>
      </c>
    </row>
    <row r="556">
      <c r="K556" t="str">
        <v/>
      </c>
    </row>
    <row r="557">
      <c r="K557" t="str">
        <v/>
      </c>
    </row>
    <row r="558">
      <c r="K558" t="str">
        <v/>
      </c>
    </row>
    <row r="559">
      <c r="K559" t="str">
        <v/>
      </c>
    </row>
    <row r="560">
      <c r="K560" t="str">
        <v/>
      </c>
    </row>
    <row r="561">
      <c r="K561" t="str">
        <v/>
      </c>
    </row>
    <row r="562">
      <c r="K562" t="str">
        <v/>
      </c>
    </row>
    <row r="563">
      <c r="K563" t="str">
        <v/>
      </c>
    </row>
    <row r="564">
      <c r="K564" t="str">
        <v/>
      </c>
    </row>
    <row r="565">
      <c r="K565" t="str">
        <v/>
      </c>
    </row>
    <row r="566">
      <c r="K566" t="str">
        <v/>
      </c>
    </row>
    <row r="567">
      <c r="K567" t="str">
        <v/>
      </c>
    </row>
    <row r="568">
      <c r="K568" t="str">
        <v/>
      </c>
    </row>
    <row r="569">
      <c r="K569" t="str">
        <v/>
      </c>
    </row>
    <row r="570">
      <c r="K570" t="str">
        <v/>
      </c>
    </row>
    <row r="571">
      <c r="K571" t="str">
        <v/>
      </c>
    </row>
    <row r="572">
      <c r="K572" t="str">
        <v/>
      </c>
    </row>
    <row r="573">
      <c r="K573" t="str">
        <v/>
      </c>
    </row>
    <row r="574">
      <c r="K574" t="str">
        <v/>
      </c>
    </row>
    <row r="575">
      <c r="K575" t="str">
        <v/>
      </c>
    </row>
    <row r="576">
      <c r="K576" t="str">
        <v/>
      </c>
    </row>
    <row r="577">
      <c r="K577" t="str">
        <v/>
      </c>
    </row>
    <row r="578">
      <c r="K578" t="str">
        <v/>
      </c>
    </row>
    <row r="579">
      <c r="K579" t="str">
        <v/>
      </c>
    </row>
    <row r="580">
      <c r="K580" t="str">
        <v/>
      </c>
    </row>
    <row r="581">
      <c r="K581" t="str">
        <v/>
      </c>
    </row>
    <row r="582">
      <c r="K582" t="str">
        <v/>
      </c>
    </row>
    <row r="583">
      <c r="K583" t="str">
        <v/>
      </c>
    </row>
    <row r="584">
      <c r="K584" t="str">
        <v/>
      </c>
    </row>
    <row r="585">
      <c r="K585" t="str">
        <v/>
      </c>
    </row>
    <row r="586">
      <c r="K586" t="str">
        <v/>
      </c>
    </row>
    <row r="587">
      <c r="K587" t="str">
        <v/>
      </c>
    </row>
    <row r="588">
      <c r="K588" t="str">
        <v/>
      </c>
    </row>
    <row r="589">
      <c r="K589" t="str">
        <v/>
      </c>
    </row>
    <row r="590">
      <c r="K590" t="str">
        <v/>
      </c>
    </row>
    <row r="591">
      <c r="K591" t="str">
        <v/>
      </c>
    </row>
    <row r="592">
      <c r="K592" t="str">
        <v/>
      </c>
    </row>
    <row r="593">
      <c r="K593" t="str">
        <v/>
      </c>
    </row>
    <row r="594">
      <c r="K594" t="str">
        <v/>
      </c>
    </row>
    <row r="595">
      <c r="K595" t="str">
        <v/>
      </c>
    </row>
    <row r="596">
      <c r="K596" t="str">
        <v/>
      </c>
    </row>
    <row r="597">
      <c r="K597" t="str">
        <v/>
      </c>
    </row>
    <row r="598">
      <c r="K598" t="str">
        <v/>
      </c>
    </row>
    <row r="599">
      <c r="K599" t="str">
        <v/>
      </c>
    </row>
    <row r="600">
      <c r="K600" t="str">
        <v/>
      </c>
    </row>
    <row r="601">
      <c r="K601" t="str">
        <v/>
      </c>
    </row>
    <row r="602">
      <c r="K602" t="str">
        <v/>
      </c>
    </row>
    <row r="603">
      <c r="K603" t="str">
        <v/>
      </c>
    </row>
    <row r="604">
      <c r="K604" t="str">
        <v/>
      </c>
    </row>
    <row r="605">
      <c r="K605" t="str">
        <v/>
      </c>
    </row>
    <row r="606">
      <c r="K606" t="str">
        <v/>
      </c>
    </row>
    <row r="607">
      <c r="K607" t="str">
        <v/>
      </c>
    </row>
    <row r="608">
      <c r="K608" t="str">
        <v/>
      </c>
    </row>
    <row r="609">
      <c r="K609" t="str">
        <v/>
      </c>
    </row>
    <row r="610">
      <c r="K610" t="str">
        <v/>
      </c>
    </row>
    <row r="611">
      <c r="K611" t="str">
        <v/>
      </c>
    </row>
    <row r="612">
      <c r="K612" t="str">
        <v/>
      </c>
    </row>
    <row r="613">
      <c r="K613" t="str">
        <v/>
      </c>
    </row>
    <row r="614">
      <c r="K614" t="str">
        <v/>
      </c>
    </row>
    <row r="615">
      <c r="K615" t="str">
        <v/>
      </c>
    </row>
    <row r="616">
      <c r="K616" t="str">
        <v/>
      </c>
    </row>
    <row r="617">
      <c r="K617" t="str">
        <v/>
      </c>
    </row>
    <row r="618">
      <c r="K618" t="str">
        <v/>
      </c>
    </row>
    <row r="619">
      <c r="K619" t="str">
        <v/>
      </c>
    </row>
    <row r="620">
      <c r="K620" t="str">
        <v/>
      </c>
    </row>
    <row r="621">
      <c r="K621" t="str">
        <v/>
      </c>
    </row>
    <row r="622">
      <c r="K622" t="str">
        <v/>
      </c>
    </row>
    <row r="623">
      <c r="K623" t="str">
        <v/>
      </c>
    </row>
    <row r="624">
      <c r="K624" t="str">
        <v/>
      </c>
    </row>
    <row r="625">
      <c r="K625" t="str">
        <v/>
      </c>
    </row>
    <row r="626">
      <c r="K626" t="str">
        <v/>
      </c>
    </row>
    <row r="627">
      <c r="K627" t="str">
        <v/>
      </c>
    </row>
    <row r="628">
      <c r="K628" t="str">
        <v/>
      </c>
    </row>
    <row r="629">
      <c r="K629" t="str">
        <v/>
      </c>
    </row>
    <row r="630">
      <c r="K630" t="str">
        <v/>
      </c>
    </row>
    <row r="631">
      <c r="K631" t="str">
        <v/>
      </c>
    </row>
    <row r="632">
      <c r="K632" t="str">
        <v/>
      </c>
    </row>
    <row r="633">
      <c r="K633" t="str">
        <v/>
      </c>
    </row>
    <row r="634">
      <c r="K634" t="str">
        <v/>
      </c>
    </row>
    <row r="635">
      <c r="K635" t="str">
        <v/>
      </c>
    </row>
    <row r="636">
      <c r="K636" t="str">
        <v/>
      </c>
    </row>
    <row r="637">
      <c r="K637" t="str">
        <v/>
      </c>
    </row>
    <row r="638">
      <c r="K638" t="str">
        <v/>
      </c>
    </row>
    <row r="639">
      <c r="K639" t="str">
        <v/>
      </c>
    </row>
    <row r="640">
      <c r="K640" t="str">
        <v/>
      </c>
    </row>
    <row r="641">
      <c r="K641" t="str">
        <v/>
      </c>
    </row>
    <row r="642">
      <c r="K642" t="str">
        <v/>
      </c>
    </row>
    <row r="643">
      <c r="K643" t="str">
        <v/>
      </c>
    </row>
    <row r="644">
      <c r="K644" t="str">
        <v/>
      </c>
    </row>
    <row r="645">
      <c r="K645" t="str">
        <v/>
      </c>
    </row>
    <row r="646">
      <c r="K646" t="str">
        <v/>
      </c>
    </row>
    <row r="647">
      <c r="K647" t="str">
        <v/>
      </c>
    </row>
    <row r="648">
      <c r="K648" t="str">
        <v/>
      </c>
    </row>
    <row r="649">
      <c r="K649" t="str">
        <v/>
      </c>
    </row>
    <row r="650">
      <c r="K650" t="str">
        <v/>
      </c>
    </row>
    <row r="651">
      <c r="K651" t="str">
        <v/>
      </c>
    </row>
    <row r="652">
      <c r="K652" t="str">
        <v/>
      </c>
    </row>
    <row r="653">
      <c r="K653" t="str">
        <v/>
      </c>
    </row>
    <row r="654">
      <c r="K654" t="str">
        <v/>
      </c>
    </row>
    <row r="655">
      <c r="K655" t="str">
        <v/>
      </c>
    </row>
    <row r="656">
      <c r="K656" t="str">
        <v/>
      </c>
    </row>
    <row r="657">
      <c r="K657" t="str">
        <v/>
      </c>
    </row>
    <row r="658">
      <c r="K658" t="str">
        <v/>
      </c>
    </row>
    <row r="659">
      <c r="K659" t="str">
        <v/>
      </c>
    </row>
    <row r="660">
      <c r="K660" t="str">
        <v/>
      </c>
    </row>
    <row r="661">
      <c r="K661" t="str">
        <v/>
      </c>
    </row>
    <row r="662">
      <c r="K662" t="str">
        <v/>
      </c>
    </row>
    <row r="663">
      <c r="K663" t="str">
        <v/>
      </c>
    </row>
    <row r="664">
      <c r="K664" t="str">
        <v/>
      </c>
    </row>
    <row r="665">
      <c r="K665" t="str">
        <v/>
      </c>
    </row>
    <row r="666">
      <c r="K666" t="str">
        <v/>
      </c>
    </row>
    <row r="667">
      <c r="K667" t="str">
        <v/>
      </c>
    </row>
    <row r="668">
      <c r="K668" t="str">
        <v/>
      </c>
    </row>
    <row r="669">
      <c r="K669" t="str">
        <v/>
      </c>
    </row>
    <row r="670">
      <c r="K670" t="str">
        <v/>
      </c>
    </row>
    <row r="671">
      <c r="K671" t="str">
        <v/>
      </c>
    </row>
    <row r="672">
      <c r="K672" t="str">
        <v/>
      </c>
    </row>
    <row r="673">
      <c r="K673" t="str">
        <v/>
      </c>
    </row>
    <row r="674">
      <c r="K674" t="str">
        <v/>
      </c>
    </row>
    <row r="675">
      <c r="K675" t="str">
        <v/>
      </c>
    </row>
    <row r="676">
      <c r="K676" t="str">
        <v/>
      </c>
    </row>
    <row r="677">
      <c r="K677" t="str">
        <v/>
      </c>
    </row>
    <row r="678">
      <c r="K678" t="str">
        <v/>
      </c>
    </row>
    <row r="679">
      <c r="K679" t="str">
        <v/>
      </c>
    </row>
    <row r="680">
      <c r="K680" t="str">
        <v/>
      </c>
    </row>
    <row r="681">
      <c r="K681" t="str">
        <v/>
      </c>
    </row>
    <row r="682">
      <c r="K682" t="str">
        <v/>
      </c>
    </row>
    <row r="683">
      <c r="K683" t="str">
        <v/>
      </c>
    </row>
    <row r="684">
      <c r="K684" t="str">
        <v/>
      </c>
    </row>
    <row r="685">
      <c r="K685" t="str">
        <v/>
      </c>
    </row>
    <row r="686">
      <c r="K686" t="str">
        <v/>
      </c>
    </row>
    <row r="687">
      <c r="K687" t="str">
        <v/>
      </c>
    </row>
    <row r="688">
      <c r="K688" t="str">
        <v/>
      </c>
    </row>
    <row r="689">
      <c r="K689" t="str">
        <v/>
      </c>
    </row>
    <row r="690">
      <c r="K690" t="str">
        <v/>
      </c>
    </row>
    <row r="691">
      <c r="K691" t="str">
        <v/>
      </c>
    </row>
    <row r="692">
      <c r="K692" t="str">
        <v/>
      </c>
    </row>
    <row r="693">
      <c r="K693" t="str">
        <v/>
      </c>
    </row>
    <row r="694">
      <c r="K694" t="str">
        <v/>
      </c>
    </row>
    <row r="695">
      <c r="K695" t="str">
        <v/>
      </c>
    </row>
    <row r="696">
      <c r="K696" t="str">
        <v/>
      </c>
    </row>
    <row r="697">
      <c r="K697" t="str">
        <v/>
      </c>
    </row>
    <row r="698">
      <c r="K698" t="str">
        <v/>
      </c>
    </row>
    <row r="699">
      <c r="K699" t="str">
        <v/>
      </c>
    </row>
    <row r="700">
      <c r="K700" t="str">
        <v/>
      </c>
    </row>
    <row r="701">
      <c r="K701" t="str">
        <v/>
      </c>
    </row>
    <row r="702">
      <c r="K702" t="str">
        <v/>
      </c>
    </row>
    <row r="703">
      <c r="K703" t="str">
        <v/>
      </c>
    </row>
    <row r="704">
      <c r="K704" t="str">
        <v/>
      </c>
    </row>
    <row r="705">
      <c r="K705" t="str">
        <v/>
      </c>
    </row>
    <row r="706">
      <c r="K706" t="str">
        <v/>
      </c>
    </row>
    <row r="707">
      <c r="K707" t="str">
        <v/>
      </c>
    </row>
    <row r="708">
      <c r="K708" t="str">
        <v/>
      </c>
    </row>
    <row r="709">
      <c r="K709" t="str">
        <v/>
      </c>
    </row>
    <row r="710">
      <c r="K710" t="str">
        <v/>
      </c>
    </row>
    <row r="711">
      <c r="K711" t="str">
        <v/>
      </c>
    </row>
    <row r="712">
      <c r="K712" t="str">
        <v/>
      </c>
    </row>
    <row r="713">
      <c r="K713" t="str">
        <v/>
      </c>
    </row>
    <row r="714">
      <c r="K714" t="str">
        <v/>
      </c>
    </row>
    <row r="715">
      <c r="K715" t="str">
        <v/>
      </c>
    </row>
    <row r="716">
      <c r="K716" t="str">
        <v/>
      </c>
    </row>
    <row r="717">
      <c r="K717" t="str">
        <v/>
      </c>
    </row>
    <row r="718">
      <c r="K718" t="str">
        <v/>
      </c>
    </row>
    <row r="719">
      <c r="K719" t="str">
        <v/>
      </c>
    </row>
    <row r="720">
      <c r="K720" t="str">
        <v/>
      </c>
    </row>
    <row r="721">
      <c r="K721" t="str">
        <v/>
      </c>
    </row>
    <row r="722">
      <c r="K722" t="str">
        <v/>
      </c>
    </row>
    <row r="723">
      <c r="K723" t="str">
        <v/>
      </c>
    </row>
    <row r="724">
      <c r="K724" t="str">
        <v/>
      </c>
    </row>
    <row r="725">
      <c r="K725" t="str">
        <v/>
      </c>
    </row>
    <row r="726">
      <c r="K726" t="str">
        <v/>
      </c>
    </row>
    <row r="727">
      <c r="K727" t="str">
        <v/>
      </c>
    </row>
    <row r="728">
      <c r="K728" t="str">
        <v/>
      </c>
    </row>
    <row r="729">
      <c r="K729" t="str">
        <v/>
      </c>
    </row>
    <row r="730">
      <c r="K730" t="str">
        <v/>
      </c>
    </row>
    <row r="731">
      <c r="K731" t="str">
        <v/>
      </c>
    </row>
    <row r="732">
      <c r="K732" t="str">
        <v/>
      </c>
    </row>
    <row r="733">
      <c r="K733" t="str">
        <v/>
      </c>
    </row>
    <row r="734">
      <c r="K734" t="str">
        <v/>
      </c>
    </row>
    <row r="735">
      <c r="K735" t="str">
        <v/>
      </c>
    </row>
    <row r="736">
      <c r="K736" t="str">
        <v/>
      </c>
    </row>
    <row r="737">
      <c r="K737" t="str">
        <v/>
      </c>
    </row>
    <row r="738">
      <c r="K738" t="str">
        <v/>
      </c>
    </row>
    <row r="739">
      <c r="K739" t="str">
        <v/>
      </c>
    </row>
    <row r="740">
      <c r="K740" t="str">
        <v/>
      </c>
    </row>
    <row r="741">
      <c r="K741" t="str">
        <v/>
      </c>
    </row>
    <row r="742">
      <c r="K742" t="str">
        <v/>
      </c>
    </row>
    <row r="743">
      <c r="K743" t="str">
        <v/>
      </c>
    </row>
    <row r="744">
      <c r="K744" t="str">
        <v/>
      </c>
    </row>
    <row r="745">
      <c r="K745" t="str">
        <v/>
      </c>
    </row>
    <row r="746">
      <c r="K746" t="str">
        <v/>
      </c>
    </row>
    <row r="747">
      <c r="K747" t="str">
        <v/>
      </c>
    </row>
    <row r="748">
      <c r="K748" t="str">
        <v/>
      </c>
    </row>
    <row r="749">
      <c r="K749" t="str">
        <v/>
      </c>
    </row>
    <row r="750">
      <c r="K750" t="str">
        <v/>
      </c>
    </row>
    <row r="751">
      <c r="K751" t="str">
        <v/>
      </c>
    </row>
    <row r="752">
      <c r="K752" t="str">
        <v/>
      </c>
    </row>
    <row r="753">
      <c r="K753" t="str">
        <v/>
      </c>
    </row>
    <row r="754">
      <c r="K754" t="str">
        <v/>
      </c>
    </row>
    <row r="755">
      <c r="K755" t="str">
        <v/>
      </c>
    </row>
    <row r="756">
      <c r="K756" t="str">
        <v/>
      </c>
    </row>
    <row r="757">
      <c r="K757" t="str">
        <v/>
      </c>
    </row>
    <row r="758">
      <c r="K758" t="str">
        <v/>
      </c>
    </row>
    <row r="759">
      <c r="K759" t="str">
        <v/>
      </c>
    </row>
    <row r="760">
      <c r="K760" t="str">
        <v/>
      </c>
    </row>
    <row r="761">
      <c r="K761" t="str">
        <v/>
      </c>
    </row>
    <row r="762">
      <c r="K762" t="str">
        <v/>
      </c>
    </row>
    <row r="763">
      <c r="K763" t="str">
        <v/>
      </c>
    </row>
    <row r="764">
      <c r="K764" t="str">
        <v/>
      </c>
    </row>
    <row r="765">
      <c r="K765" t="str">
        <v/>
      </c>
    </row>
    <row r="766">
      <c r="K766" t="str">
        <v/>
      </c>
    </row>
    <row r="767">
      <c r="K767" t="str">
        <v/>
      </c>
    </row>
    <row r="768">
      <c r="K768" t="str">
        <v/>
      </c>
    </row>
    <row r="769">
      <c r="K769" t="str">
        <v/>
      </c>
    </row>
    <row r="770">
      <c r="K770" t="str">
        <v/>
      </c>
    </row>
    <row r="771">
      <c r="K771" t="str">
        <v/>
      </c>
    </row>
    <row r="772">
      <c r="K772" t="str">
        <v/>
      </c>
    </row>
    <row r="773">
      <c r="K773" t="str">
        <v/>
      </c>
    </row>
    <row r="774">
      <c r="K774" t="str">
        <v/>
      </c>
    </row>
    <row r="775">
      <c r="K775" t="str">
        <v/>
      </c>
    </row>
    <row r="776">
      <c r="K776" t="str">
        <v/>
      </c>
    </row>
    <row r="777">
      <c r="K777" t="str">
        <v/>
      </c>
    </row>
    <row r="778">
      <c r="K778" t="str">
        <v/>
      </c>
    </row>
    <row r="779">
      <c r="K779" t="str">
        <v/>
      </c>
    </row>
    <row r="780">
      <c r="K780" t="str">
        <v/>
      </c>
    </row>
    <row r="781">
      <c r="K781" t="str">
        <v/>
      </c>
    </row>
    <row r="782">
      <c r="K782" t="str">
        <v/>
      </c>
    </row>
    <row r="783">
      <c r="K783" t="str">
        <v/>
      </c>
    </row>
    <row r="784">
      <c r="K784" t="str">
        <v/>
      </c>
    </row>
    <row r="785">
      <c r="K785" t="str">
        <v/>
      </c>
    </row>
    <row r="786">
      <c r="K786" t="str">
        <v/>
      </c>
    </row>
    <row r="787">
      <c r="K787" t="str">
        <v/>
      </c>
    </row>
    <row r="788">
      <c r="K788" t="str">
        <v/>
      </c>
    </row>
    <row r="789">
      <c r="K789" t="str">
        <v/>
      </c>
    </row>
    <row r="790">
      <c r="K790" t="str">
        <v/>
      </c>
    </row>
    <row r="791">
      <c r="K791" t="str">
        <v/>
      </c>
    </row>
    <row r="792">
      <c r="K792" t="str">
        <v/>
      </c>
    </row>
    <row r="793">
      <c r="K793" t="str">
        <v/>
      </c>
    </row>
    <row r="794">
      <c r="K794" t="str">
        <v/>
      </c>
    </row>
    <row r="795">
      <c r="K795" t="str">
        <v/>
      </c>
    </row>
    <row r="796">
      <c r="K796" t="str">
        <v/>
      </c>
    </row>
    <row r="797">
      <c r="K797" t="str">
        <v/>
      </c>
    </row>
    <row r="798">
      <c r="K798" t="str">
        <v/>
      </c>
    </row>
    <row r="799">
      <c r="K799" t="str">
        <v/>
      </c>
    </row>
    <row r="800">
      <c r="K800" t="str">
        <v/>
      </c>
    </row>
    <row r="801">
      <c r="K801" t="str">
        <v/>
      </c>
    </row>
    <row r="802">
      <c r="K802" t="str">
        <v/>
      </c>
    </row>
    <row r="803">
      <c r="K803" t="str">
        <v/>
      </c>
    </row>
    <row r="804">
      <c r="K804" t="str">
        <v/>
      </c>
    </row>
    <row r="805">
      <c r="K805" t="str">
        <v/>
      </c>
    </row>
    <row r="806">
      <c r="K806" t="str">
        <v/>
      </c>
    </row>
    <row r="807">
      <c r="K807" t="str">
        <v/>
      </c>
    </row>
    <row r="808">
      <c r="K808" t="str">
        <v/>
      </c>
    </row>
    <row r="809">
      <c r="K809" t="str">
        <v/>
      </c>
    </row>
    <row r="810">
      <c r="K810" t="str">
        <v/>
      </c>
    </row>
    <row r="811">
      <c r="K811" t="str">
        <v/>
      </c>
    </row>
    <row r="812">
      <c r="K812" t="str">
        <v/>
      </c>
    </row>
    <row r="813">
      <c r="K813" t="str">
        <v/>
      </c>
    </row>
    <row r="814">
      <c r="K814" t="str">
        <v/>
      </c>
    </row>
    <row r="815">
      <c r="K815" t="str">
        <v/>
      </c>
    </row>
    <row r="816">
      <c r="K816" t="str">
        <v/>
      </c>
    </row>
    <row r="817">
      <c r="K817" t="str">
        <v/>
      </c>
    </row>
    <row r="818">
      <c r="K818" t="str">
        <v/>
      </c>
    </row>
    <row r="819">
      <c r="K819" t="str">
        <v/>
      </c>
    </row>
    <row r="820">
      <c r="K820" t="str">
        <v/>
      </c>
    </row>
    <row r="821">
      <c r="K821" t="str">
        <v/>
      </c>
    </row>
    <row r="822">
      <c r="K822" t="str">
        <v/>
      </c>
    </row>
    <row r="823">
      <c r="K823" t="str">
        <v/>
      </c>
    </row>
    <row r="824">
      <c r="K824" t="str">
        <v/>
      </c>
    </row>
    <row r="825">
      <c r="K825" t="str">
        <v/>
      </c>
    </row>
    <row r="826">
      <c r="K826" t="str">
        <v/>
      </c>
    </row>
    <row r="827">
      <c r="K827" t="str">
        <v/>
      </c>
    </row>
    <row r="828">
      <c r="K828" t="str">
        <v/>
      </c>
    </row>
    <row r="829">
      <c r="K829" t="str">
        <v/>
      </c>
    </row>
    <row r="830">
      <c r="K830" t="str">
        <v/>
      </c>
    </row>
    <row r="831">
      <c r="K831" t="str">
        <v/>
      </c>
    </row>
    <row r="832">
      <c r="K832" t="str">
        <v/>
      </c>
    </row>
    <row r="833">
      <c r="K833" t="str">
        <v/>
      </c>
    </row>
    <row r="834">
      <c r="K834" t="str">
        <v/>
      </c>
    </row>
    <row r="835">
      <c r="K835" t="str">
        <v/>
      </c>
    </row>
    <row r="836">
      <c r="K836" t="str">
        <v/>
      </c>
    </row>
    <row r="837">
      <c r="K837" t="str">
        <v/>
      </c>
    </row>
    <row r="838">
      <c r="K838" t="str">
        <v/>
      </c>
    </row>
    <row r="839">
      <c r="K839" t="str">
        <v/>
      </c>
    </row>
    <row r="840">
      <c r="K840" t="str">
        <v/>
      </c>
    </row>
    <row r="841">
      <c r="K841" t="str">
        <v/>
      </c>
    </row>
    <row r="842">
      <c r="K842" t="str">
        <v/>
      </c>
    </row>
    <row r="843">
      <c r="K843" t="str">
        <v/>
      </c>
    </row>
    <row r="844">
      <c r="K844" t="str">
        <v/>
      </c>
    </row>
    <row r="845">
      <c r="K845" t="str">
        <v/>
      </c>
    </row>
    <row r="846">
      <c r="K846" t="str">
        <v/>
      </c>
    </row>
    <row r="847">
      <c r="K847" t="str">
        <v/>
      </c>
    </row>
    <row r="848">
      <c r="K848" t="str">
        <v/>
      </c>
    </row>
    <row r="849">
      <c r="K849" t="str">
        <v/>
      </c>
    </row>
    <row r="850">
      <c r="K850" t="str">
        <v/>
      </c>
    </row>
    <row r="851">
      <c r="K851" t="str">
        <v/>
      </c>
    </row>
    <row r="852">
      <c r="K852" t="str">
        <v/>
      </c>
    </row>
    <row r="853">
      <c r="K853" t="str">
        <v/>
      </c>
    </row>
    <row r="854">
      <c r="K854" t="str">
        <v/>
      </c>
    </row>
    <row r="855">
      <c r="K855" t="str">
        <v/>
      </c>
    </row>
    <row r="856">
      <c r="K856" t="str">
        <v/>
      </c>
    </row>
    <row r="857">
      <c r="K857" t="str">
        <v/>
      </c>
    </row>
    <row r="858">
      <c r="K858" t="str">
        <v/>
      </c>
    </row>
    <row r="859">
      <c r="K859" t="str">
        <v/>
      </c>
    </row>
    <row r="860">
      <c r="K860" t="str">
        <v/>
      </c>
    </row>
    <row r="861">
      <c r="K861" t="str">
        <v/>
      </c>
    </row>
    <row r="862">
      <c r="K862" t="str">
        <v/>
      </c>
    </row>
    <row r="863">
      <c r="K863" t="str">
        <v/>
      </c>
    </row>
    <row r="864">
      <c r="K864" t="str">
        <v/>
      </c>
    </row>
    <row r="865">
      <c r="K865" t="str">
        <v/>
      </c>
    </row>
    <row r="866">
      <c r="K866" t="str">
        <v/>
      </c>
    </row>
    <row r="867">
      <c r="K867" t="str">
        <v/>
      </c>
    </row>
    <row r="868">
      <c r="K868" t="str">
        <v/>
      </c>
    </row>
    <row r="869">
      <c r="K869" t="str">
        <v/>
      </c>
    </row>
    <row r="870">
      <c r="K870" t="str">
        <v/>
      </c>
    </row>
    <row r="871">
      <c r="K871" t="str">
        <v/>
      </c>
    </row>
    <row r="872">
      <c r="K872" t="str">
        <v/>
      </c>
    </row>
    <row r="873">
      <c r="K873" t="str">
        <v/>
      </c>
    </row>
    <row r="874">
      <c r="K874" t="str">
        <v/>
      </c>
    </row>
    <row r="875">
      <c r="K875" t="str">
        <v/>
      </c>
    </row>
    <row r="876">
      <c r="K876" t="str">
        <v/>
      </c>
    </row>
    <row r="877">
      <c r="K877" t="str">
        <v/>
      </c>
    </row>
    <row r="878">
      <c r="K878" t="str">
        <v/>
      </c>
    </row>
    <row r="879">
      <c r="K879" t="str">
        <v/>
      </c>
    </row>
    <row r="880">
      <c r="K880" t="str">
        <v/>
      </c>
    </row>
    <row r="881">
      <c r="K881" t="str">
        <v/>
      </c>
    </row>
    <row r="882">
      <c r="K882" t="str">
        <v/>
      </c>
    </row>
    <row r="883">
      <c r="K883" t="str">
        <v/>
      </c>
    </row>
    <row r="884">
      <c r="K884" t="str">
        <v/>
      </c>
    </row>
    <row r="885">
      <c r="K885" t="str">
        <v/>
      </c>
    </row>
    <row r="886">
      <c r="K886" t="str">
        <v/>
      </c>
    </row>
    <row r="887">
      <c r="K887" t="str">
        <v/>
      </c>
    </row>
    <row r="888">
      <c r="K888" t="str">
        <v/>
      </c>
    </row>
    <row r="889">
      <c r="K889" t="str">
        <v/>
      </c>
    </row>
    <row r="890">
      <c r="K890" t="str">
        <v/>
      </c>
    </row>
    <row r="891">
      <c r="K891" t="str">
        <v/>
      </c>
    </row>
    <row r="892">
      <c r="K892" t="str">
        <v/>
      </c>
    </row>
    <row r="893">
      <c r="K893" t="str">
        <v/>
      </c>
    </row>
    <row r="894">
      <c r="K894" t="str">
        <v/>
      </c>
    </row>
    <row r="895">
      <c r="K895" t="str">
        <v/>
      </c>
    </row>
    <row r="896">
      <c r="K896" t="str">
        <v/>
      </c>
    </row>
    <row r="897">
      <c r="K897" t="str">
        <v/>
      </c>
    </row>
    <row r="898">
      <c r="K898" t="str">
        <v/>
      </c>
    </row>
    <row r="899">
      <c r="K899" t="str">
        <v/>
      </c>
    </row>
    <row r="900">
      <c r="K900" t="str">
        <v/>
      </c>
    </row>
    <row r="901">
      <c r="K901" t="str">
        <v/>
      </c>
    </row>
    <row r="902">
      <c r="K902" t="str">
        <v/>
      </c>
    </row>
    <row r="903">
      <c r="K903" t="str">
        <v/>
      </c>
    </row>
    <row r="904">
      <c r="K904" t="str">
        <v/>
      </c>
    </row>
    <row r="905">
      <c r="K905" t="str">
        <v/>
      </c>
    </row>
    <row r="906">
      <c r="K906" t="str">
        <v/>
      </c>
    </row>
    <row r="907">
      <c r="K907" t="str">
        <v/>
      </c>
    </row>
    <row r="908">
      <c r="K908" t="str">
        <v/>
      </c>
    </row>
    <row r="909">
      <c r="K909" t="str">
        <v/>
      </c>
    </row>
    <row r="910">
      <c r="K910" t="str">
        <v/>
      </c>
    </row>
    <row r="911">
      <c r="K911" t="str">
        <v/>
      </c>
    </row>
    <row r="912">
      <c r="K912" t="str">
        <v/>
      </c>
    </row>
    <row r="913">
      <c r="K913" t="str">
        <v/>
      </c>
    </row>
    <row r="914">
      <c r="K914" t="str">
        <v/>
      </c>
    </row>
    <row r="915">
      <c r="K915" t="str">
        <v/>
      </c>
    </row>
    <row r="916">
      <c r="K916" t="str">
        <v/>
      </c>
    </row>
    <row r="917">
      <c r="K917" t="str">
        <v/>
      </c>
    </row>
    <row r="918">
      <c r="K918" t="str">
        <v/>
      </c>
    </row>
    <row r="919">
      <c r="K919" t="str">
        <v/>
      </c>
    </row>
    <row r="920">
      <c r="K920" t="str">
        <v/>
      </c>
    </row>
    <row r="921">
      <c r="K921" t="str">
        <v/>
      </c>
    </row>
    <row r="922">
      <c r="K922" t="str">
        <v/>
      </c>
    </row>
    <row r="923">
      <c r="K923" t="str">
        <v/>
      </c>
    </row>
    <row r="924">
      <c r="K924" t="str">
        <v/>
      </c>
    </row>
    <row r="925">
      <c r="K925" t="str">
        <v/>
      </c>
    </row>
    <row r="926">
      <c r="K926" t="str">
        <v/>
      </c>
    </row>
    <row r="927">
      <c r="K927" t="str">
        <v/>
      </c>
    </row>
    <row r="928">
      <c r="K928" t="str">
        <v/>
      </c>
    </row>
    <row r="929">
      <c r="K929" t="str">
        <v/>
      </c>
    </row>
    <row r="930">
      <c r="K930" t="str">
        <v/>
      </c>
    </row>
    <row r="931">
      <c r="K931" t="str">
        <v/>
      </c>
    </row>
    <row r="932">
      <c r="K932" t="str">
        <v/>
      </c>
    </row>
    <row r="933">
      <c r="K933" t="str">
        <v/>
      </c>
    </row>
    <row r="934">
      <c r="K934" t="str">
        <v/>
      </c>
    </row>
    <row r="935">
      <c r="K935" t="str">
        <v/>
      </c>
    </row>
    <row r="936">
      <c r="K936" t="str">
        <v/>
      </c>
    </row>
    <row r="937">
      <c r="K937" t="str">
        <v/>
      </c>
    </row>
    <row r="938">
      <c r="K938" t="str">
        <v/>
      </c>
    </row>
    <row r="939">
      <c r="K939" t="str">
        <v/>
      </c>
    </row>
    <row r="940">
      <c r="K940" t="str">
        <v/>
      </c>
    </row>
    <row r="941">
      <c r="K941" t="str">
        <v/>
      </c>
    </row>
    <row r="942">
      <c r="K942" t="str">
        <v/>
      </c>
    </row>
    <row r="943">
      <c r="K943" t="str">
        <v/>
      </c>
    </row>
    <row r="944">
      <c r="K944" t="str">
        <v/>
      </c>
    </row>
    <row r="945">
      <c r="K945" t="str">
        <v/>
      </c>
    </row>
    <row r="946">
      <c r="K946" t="str">
        <v/>
      </c>
    </row>
    <row r="947">
      <c r="K947" t="str">
        <v/>
      </c>
    </row>
    <row r="948">
      <c r="K948" t="str">
        <v/>
      </c>
    </row>
    <row r="949">
      <c r="K949" t="str">
        <v/>
      </c>
    </row>
    <row r="950">
      <c r="K950" t="str">
        <v/>
      </c>
    </row>
    <row r="951">
      <c r="K951" t="str">
        <v/>
      </c>
    </row>
    <row r="952">
      <c r="K952" t="str">
        <v/>
      </c>
    </row>
    <row r="953">
      <c r="K953" t="str">
        <v/>
      </c>
    </row>
    <row r="954">
      <c r="K954" t="str">
        <v/>
      </c>
    </row>
    <row r="955">
      <c r="K955" t="str">
        <v/>
      </c>
    </row>
    <row r="956">
      <c r="K956" t="str">
        <v/>
      </c>
    </row>
    <row r="957">
      <c r="K957" t="str">
        <v/>
      </c>
    </row>
    <row r="958">
      <c r="K958" t="str">
        <v/>
      </c>
    </row>
    <row r="959">
      <c r="K959" t="str">
        <v/>
      </c>
    </row>
    <row r="960">
      <c r="K960" t="str">
        <v/>
      </c>
    </row>
    <row r="961">
      <c r="K961" t="str">
        <v/>
      </c>
    </row>
    <row r="962">
      <c r="K962" t="str">
        <v/>
      </c>
    </row>
    <row r="963">
      <c r="K963" t="str">
        <v/>
      </c>
    </row>
    <row r="964">
      <c r="K964" t="str">
        <v/>
      </c>
    </row>
    <row r="965">
      <c r="K965" t="str">
        <v/>
      </c>
    </row>
    <row r="966">
      <c r="K966" t="str">
        <v/>
      </c>
    </row>
    <row r="967">
      <c r="K967" t="str">
        <v/>
      </c>
    </row>
    <row r="968">
      <c r="K968" t="str">
        <v/>
      </c>
    </row>
    <row r="969">
      <c r="K969" t="str">
        <v/>
      </c>
    </row>
    <row r="970">
      <c r="K970" t="str">
        <v/>
      </c>
    </row>
    <row r="971">
      <c r="K971" t="str">
        <v/>
      </c>
    </row>
    <row r="972">
      <c r="K972" t="str">
        <v/>
      </c>
    </row>
    <row r="973">
      <c r="K973" t="str">
        <v/>
      </c>
    </row>
    <row r="974">
      <c r="K974" t="str">
        <v/>
      </c>
    </row>
    <row r="975">
      <c r="K975" t="str">
        <v/>
      </c>
    </row>
    <row r="976">
      <c r="K976" t="str">
        <v/>
      </c>
    </row>
    <row r="977">
      <c r="K977" t="str">
        <v/>
      </c>
    </row>
    <row r="978">
      <c r="K978" t="str">
        <v/>
      </c>
    </row>
    <row r="979">
      <c r="K979" t="str">
        <v/>
      </c>
    </row>
    <row r="980">
      <c r="K980" t="str">
        <v/>
      </c>
    </row>
    <row r="981">
      <c r="K981" t="str">
        <v/>
      </c>
    </row>
    <row r="982">
      <c r="K982" t="str">
        <v/>
      </c>
    </row>
    <row r="983">
      <c r="K983" t="str">
        <v/>
      </c>
    </row>
    <row r="984">
      <c r="K984" t="str">
        <v/>
      </c>
    </row>
    <row r="985">
      <c r="K985" t="str">
        <v/>
      </c>
    </row>
    <row r="986">
      <c r="K986" t="str">
        <v/>
      </c>
    </row>
    <row r="987">
      <c r="K987" t="str">
        <v/>
      </c>
    </row>
    <row r="988">
      <c r="K988" t="str">
        <v/>
      </c>
    </row>
    <row r="989">
      <c r="K989" t="str">
        <v/>
      </c>
    </row>
    <row r="990">
      <c r="K990" t="str">
        <v/>
      </c>
    </row>
    <row r="991">
      <c r="K991" t="str">
        <v/>
      </c>
    </row>
    <row r="992">
      <c r="K992" t="str">
        <v/>
      </c>
    </row>
    <row r="993">
      <c r="K993" t="str">
        <v/>
      </c>
    </row>
    <row r="994">
      <c r="K994" t="str">
        <v/>
      </c>
    </row>
    <row r="995">
      <c r="K995" t="str">
        <v/>
      </c>
    </row>
    <row r="996">
      <c r="K996" t="str">
        <v/>
      </c>
    </row>
    <row r="997">
      <c r="K997" t="str">
        <v/>
      </c>
    </row>
    <row r="998">
      <c r="K998" t="str">
        <v/>
      </c>
    </row>
    <row r="999">
      <c r="K999" t="str">
        <v/>
      </c>
    </row>
    <row r="1000">
      <c r="K1000" t="str">
        <v/>
      </c>
    </row>
    <row r="1001">
      <c r="K1001" t="str">
        <v/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J1" activeCellId="0" sqref="J1"/>
    </sheetView>
  </sheetViews>
  <sheetFormatPr defaultRowHeight="15" outlineLevelRow="0" outlineLevelCol="0"/>
  <cols>
    <col min="1" max="1" width="33" customWidth="1"/>
    <col min="4" max="4" width="27" customWidth="1"/>
    <col min="5" max="5" width="26.33203125" customWidth="1"/>
    <col min="6" max="6" width="13.21875" customWidth="1"/>
    <col min="7" max="7" width="13.21875" customWidth="1"/>
    <col min="9" max="9" width="4.33203125" customWidth="1"/>
    <col min="10" max="10" width="18.109375" customWidth="1"/>
    <col min="11" max="11" width="33" customWidth="1"/>
    <col min="12" max="12" width="33" customWidth="1"/>
    <col min="13" max="13" width="12" customWidth="1"/>
    <col min="14" max="14" width="29.33203125" customWidth="1"/>
    <col min="15" max="15" width="33" customWidth="1"/>
    <col min="16" max="16" width="33" customWidth="1"/>
    <col min="17" max="17" width="12" customWidth="1"/>
  </cols>
  <sheetData>
    <row r="1">
      <c r="A1" s="1" t="s">
        <v>0</v>
      </c>
      <c r="D1" s="1" t="s">
        <v>0</v>
      </c>
      <c r="E1" s="1" t="s">
        <v>1</v>
      </c>
      <c r="F1" t="s">
        <v>542</v>
      </c>
      <c r="G1" t="s">
        <v>544</v>
      </c>
      <c r="H1" t="s">
        <v>547</v>
      </c>
      <c r="J1" s="54" t="s">
        <v>549</v>
      </c>
      <c r="K1" s="1" t="s">
        <v>0</v>
      </c>
      <c r="L1" s="1" t="s">
        <v>1</v>
      </c>
      <c r="M1" s="1" t="s">
        <v>2</v>
      </c>
      <c r="N1" t="s">
        <v>546</v>
      </c>
      <c r="O1" s="1" t="s">
        <v>0</v>
      </c>
      <c r="P1" s="1" t="s">
        <v>1</v>
      </c>
      <c r="Q1" s="1" t="s">
        <v>2</v>
      </c>
    </row>
    <row r="2">
      <c r="A2" t="s">
        <v>47</v>
      </c>
      <c r="D2" t="s">
        <v>47</v>
      </c>
      <c r="E2" t="s">
        <v>70</v>
      </c>
      <c r="F2" t="str">
        <f>VLOOKUP(D2&amp;E2,J:M,4,0)</f>
        <v>2023-09-20</v>
      </c>
      <c r="G2" t="str">
        <f>VLOOKUP(D2&amp;E2,N:Q,4,0)</f>
        <v>2024-07-31</v>
      </c>
      <c r="H2">
        <f>G2-F2</f>
        <v>315</v>
      </c>
      <c r="J2" t="str">
        <f>K2&amp;L2</f>
        <v>Фролов Сергей ВикторовичОрлова Анна Владимировна</v>
      </c>
      <c r="K2" t="s">
        <v>5</v>
      </c>
      <c r="L2" t="s">
        <v>6</v>
      </c>
      <c r="M2" t="s">
        <v>7</v>
      </c>
      <c r="N2" t="str">
        <f>O2&amp;P2</f>
        <v>Фролов Сергей ВикторовичФедоров Алексей Павлович</v>
      </c>
      <c r="O2" t="s">
        <v>5</v>
      </c>
      <c r="P2" t="s">
        <v>174</v>
      </c>
      <c r="Q2" t="s">
        <v>466</v>
      </c>
    </row>
    <row r="3">
      <c r="A3" t="s">
        <v>13</v>
      </c>
      <c r="D3" t="s">
        <v>47</v>
      </c>
      <c r="E3" t="s">
        <v>339</v>
      </c>
      <c r="F3" t="str">
        <f>VLOOKUP(D3&amp;E3,J:M,4,0)</f>
        <v>2024-03-19</v>
      </c>
      <c r="G3" t="str">
        <f>VLOOKUP(D3&amp;E3,N:Q,4,0)</f>
        <v>2024-05-29</v>
      </c>
      <c r="H3">
        <f>G3-F3</f>
        <v>71</v>
      </c>
      <c r="J3" t="str">
        <f>K3&amp;L3</f>
        <v>Кузнецов Дмитрий ЛьвовичИванова Анна Геннадьевна</v>
      </c>
      <c r="K3" t="s">
        <v>8</v>
      </c>
      <c r="L3" t="s">
        <v>9</v>
      </c>
      <c r="M3" t="s">
        <v>10</v>
      </c>
      <c r="N3" t="str">
        <f>O3&amp;P3</f>
        <v>Новикова Ольга ПетровнаВасильева Анна Ильинична</v>
      </c>
      <c r="O3" t="s">
        <v>17</v>
      </c>
      <c r="P3" t="s">
        <v>142</v>
      </c>
      <c r="Q3" t="s">
        <v>465</v>
      </c>
    </row>
    <row r="4">
      <c r="A4" t="s">
        <v>11</v>
      </c>
      <c r="D4" t="s">
        <v>47</v>
      </c>
      <c r="E4" t="s">
        <v>189</v>
      </c>
      <c r="F4" t="str">
        <f>VLOOKUP(D4&amp;E4,J:M,4,0)</f>
        <v>2024-04-18</v>
      </c>
      <c r="G4" t="str">
        <f>VLOOKUP(D4&amp;E4,N:Q,4,0)</f>
        <v>2024-04-18</v>
      </c>
      <c r="H4">
        <f>G4-F4</f>
        <v>0</v>
      </c>
      <c r="J4" t="str">
        <f>K4&amp;L4</f>
        <v>Иванова Анна СергеевнаЕгорова Татьяна Ильинична</v>
      </c>
      <c r="K4" t="s">
        <v>11</v>
      </c>
      <c r="L4" t="s">
        <v>12</v>
      </c>
      <c r="M4" t="s">
        <v>10</v>
      </c>
      <c r="N4" t="str">
        <f>O4&amp;P4</f>
        <v>Орлов Павел ДенисовичНиколаева Дарья Юрьевна</v>
      </c>
      <c r="O4" t="s">
        <v>43</v>
      </c>
      <c r="P4" t="s">
        <v>227</v>
      </c>
      <c r="Q4" t="s">
        <v>465</v>
      </c>
    </row>
    <row r="5">
      <c r="A5" t="s">
        <v>8</v>
      </c>
      <c r="D5" t="s">
        <v>47</v>
      </c>
      <c r="E5" t="s">
        <v>42</v>
      </c>
      <c r="F5" t="str">
        <f>VLOOKUP(D5&amp;E5,J:M,4,0)</f>
        <v>2024-02-05</v>
      </c>
      <c r="G5" t="str">
        <f>VLOOKUP(D5&amp;E5,N:Q,4,0)</f>
        <v>2024-04-04</v>
      </c>
      <c r="H5">
        <f>G5-F5</f>
        <v>59</v>
      </c>
      <c r="J5" t="str">
        <f>K5&amp;L5</f>
        <v>Громова Мария ИльиничнаСидоров Алексей Кириллович</v>
      </c>
      <c r="K5" t="s">
        <v>13</v>
      </c>
      <c r="L5" t="s">
        <v>14</v>
      </c>
      <c r="M5" t="s">
        <v>10</v>
      </c>
      <c r="N5" t="str">
        <f>O5&amp;P5</f>
        <v>Ткаченко Андрей ОлеговичСмирнов Артем Егорович</v>
      </c>
      <c r="O5" t="s">
        <v>24</v>
      </c>
      <c r="P5" t="s">
        <v>316</v>
      </c>
      <c r="Q5" t="s">
        <v>465</v>
      </c>
    </row>
    <row r="6">
      <c r="A6" t="s">
        <v>17</v>
      </c>
      <c r="D6" t="s">
        <v>47</v>
      </c>
      <c r="E6" t="s">
        <v>291</v>
      </c>
      <c r="F6" t="str">
        <f>VLOOKUP(D6&amp;E6,J:M,4,0)</f>
        <v>2024-05-15</v>
      </c>
      <c r="G6" t="str">
        <f>VLOOKUP(D6&amp;E6,N:Q,4,0)</f>
        <v>2024-05-15</v>
      </c>
      <c r="H6">
        <f>G6-F6</f>
        <v>0</v>
      </c>
      <c r="J6" t="str">
        <f>K6&amp;L6</f>
        <v>Сидорова Елена ВасильевнаИванов Матвей Юрьевич</v>
      </c>
      <c r="K6" t="s">
        <v>15</v>
      </c>
      <c r="L6" t="s">
        <v>16</v>
      </c>
      <c r="M6" t="s">
        <v>10</v>
      </c>
      <c r="N6" t="str">
        <f>O6&amp;P6</f>
        <v>Ткаченко Андрей ОлеговичСидорова Екатерина Романовна</v>
      </c>
      <c r="O6" t="s">
        <v>24</v>
      </c>
      <c r="P6" t="s">
        <v>257</v>
      </c>
      <c r="Q6" t="s">
        <v>465</v>
      </c>
    </row>
    <row r="7">
      <c r="A7" t="s">
        <v>43</v>
      </c>
      <c r="D7" t="s">
        <v>47</v>
      </c>
      <c r="E7" t="s">
        <v>18</v>
      </c>
      <c r="F7" t="str">
        <f>VLOOKUP(D7&amp;E7,J:M,4,0)</f>
        <v>2024-05-30</v>
      </c>
      <c r="G7" t="str">
        <f>VLOOKUP(D7&amp;E7,N:Q,4,0)</f>
        <v>2024-05-30</v>
      </c>
      <c r="H7">
        <f>G7-F7</f>
        <v>0</v>
      </c>
      <c r="J7" t="str">
        <f>K7&amp;L7</f>
        <v>Новикова Ольга ПетровнаВасильев Дмитрий Алексеевич</v>
      </c>
      <c r="K7" t="s">
        <v>17</v>
      </c>
      <c r="L7" t="s">
        <v>18</v>
      </c>
      <c r="M7" t="s">
        <v>10</v>
      </c>
      <c r="N7" t="str">
        <f>O7&amp;P7</f>
        <v>Кузнецов Дмитрий ЛьвовичНиколаев Артем Александрович</v>
      </c>
      <c r="O7" t="s">
        <v>8</v>
      </c>
      <c r="P7" t="s">
        <v>248</v>
      </c>
      <c r="Q7" t="s">
        <v>464</v>
      </c>
    </row>
    <row r="8">
      <c r="A8" t="s">
        <v>28</v>
      </c>
      <c r="D8" t="s">
        <v>47</v>
      </c>
      <c r="E8" t="s">
        <v>284</v>
      </c>
      <c r="F8" t="str">
        <f>VLOOKUP(D8&amp;E8,J:M,4,0)</f>
        <v>2024-04-15</v>
      </c>
      <c r="G8" t="str">
        <f>VLOOKUP(D8&amp;E8,N:Q,4,0)</f>
        <v>2024-04-15</v>
      </c>
      <c r="H8">
        <f>G8-F8</f>
        <v>0</v>
      </c>
      <c r="J8" t="str">
        <f>K8&amp;L8</f>
        <v>Кузнецов Дмитрий ЛьвовичОрлова Людмила Артемовна</v>
      </c>
      <c r="K8" t="s">
        <v>8</v>
      </c>
      <c r="L8" t="s">
        <v>19</v>
      </c>
      <c r="M8" t="s">
        <v>10</v>
      </c>
      <c r="N8" t="str">
        <f>O8&amp;P8</f>
        <v>Семенова Ирина ВалерьевнаВасильева Ирина Артемовна</v>
      </c>
      <c r="O8" t="s">
        <v>57</v>
      </c>
      <c r="P8" t="s">
        <v>231</v>
      </c>
      <c r="Q8" t="s">
        <v>464</v>
      </c>
    </row>
    <row r="9">
      <c r="A9" t="s">
        <v>57</v>
      </c>
      <c r="D9" t="s">
        <v>47</v>
      </c>
      <c r="E9" t="s">
        <v>48</v>
      </c>
      <c r="F9" t="str">
        <f>VLOOKUP(D9&amp;E9,J:M,4,0)</f>
        <v>2023-09-12</v>
      </c>
      <c r="G9" t="str">
        <f>VLOOKUP(D9&amp;E9,N:Q,4,0)</f>
        <v>2023-09-12</v>
      </c>
      <c r="H9">
        <f>G9-F9</f>
        <v>0</v>
      </c>
      <c r="J9" t="str">
        <f>K9&amp;L9</f>
        <v>Иванова Анна СергеевнаПопова Ксения Никитична</v>
      </c>
      <c r="K9" t="s">
        <v>11</v>
      </c>
      <c r="L9" t="s">
        <v>20</v>
      </c>
      <c r="M9" t="s">
        <v>10</v>
      </c>
      <c r="N9" t="str">
        <f>O9&amp;P9</f>
        <v>Кузнецов Дмитрий ЛьвовичСтепанова Анна Олеговна</v>
      </c>
      <c r="O9" t="s">
        <v>8</v>
      </c>
      <c r="P9" t="s">
        <v>263</v>
      </c>
      <c r="Q9" t="s">
        <v>464</v>
      </c>
    </row>
    <row r="10">
      <c r="A10" t="s">
        <v>15</v>
      </c>
      <c r="D10" t="s">
        <v>47</v>
      </c>
      <c r="E10" t="s">
        <v>256</v>
      </c>
      <c r="F10" t="str">
        <f>VLOOKUP(D10&amp;E10,J:M,4,0)</f>
        <v>2024-04-22</v>
      </c>
      <c r="G10" t="str">
        <f>VLOOKUP(D10&amp;E10,N:Q,4,0)</f>
        <v>2024-06-07</v>
      </c>
      <c r="H10">
        <f>G10-F10</f>
        <v>46</v>
      </c>
      <c r="J10" t="str">
        <f>K10&amp;L10</f>
        <v>Яковлев Артем ИгоревичКузнецов Дмитрий Андреевич</v>
      </c>
      <c r="K10" t="s">
        <v>21</v>
      </c>
      <c r="L10" t="s">
        <v>22</v>
      </c>
      <c r="M10" t="s">
        <v>23</v>
      </c>
      <c r="N10" t="str">
        <f>O10&amp;P10</f>
        <v>Яковлев Артем ИгоревичФедорова Екатерина Сергеевна</v>
      </c>
      <c r="O10" t="s">
        <v>21</v>
      </c>
      <c r="P10" t="s">
        <v>143</v>
      </c>
      <c r="Q10" t="s">
        <v>463</v>
      </c>
    </row>
    <row r="11">
      <c r="A11" t="s">
        <v>24</v>
      </c>
      <c r="D11" t="s">
        <v>47</v>
      </c>
      <c r="E11" t="s">
        <v>79</v>
      </c>
      <c r="F11" t="str">
        <f>VLOOKUP(D11&amp;E11,J:M,4,0)</f>
        <v>2023-12-25</v>
      </c>
      <c r="G11" t="str">
        <f>VLOOKUP(D11&amp;E11,N:Q,4,0)</f>
        <v>2023-12-25</v>
      </c>
      <c r="H11">
        <f>G11-F11</f>
        <v>0</v>
      </c>
      <c r="J11" t="str">
        <f>K11&amp;L11</f>
        <v>Ткаченко Андрей ОлеговичПавлов Кирилл Иванович</v>
      </c>
      <c r="K11" t="s">
        <v>24</v>
      </c>
      <c r="L11" t="s">
        <v>25</v>
      </c>
      <c r="M11" t="s">
        <v>23</v>
      </c>
      <c r="N11" t="str">
        <f>O11&amp;P11</f>
        <v>Орлов Павел ДенисовичВасильев Алексей Андреевич</v>
      </c>
      <c r="O11" t="s">
        <v>43</v>
      </c>
      <c r="P11" t="s">
        <v>81</v>
      </c>
      <c r="Q11" t="s">
        <v>463</v>
      </c>
    </row>
    <row r="12">
      <c r="A12" t="s">
        <v>5</v>
      </c>
      <c r="D12" t="s">
        <v>47</v>
      </c>
      <c r="E12" t="s">
        <v>321</v>
      </c>
      <c r="F12" t="str">
        <f>VLOOKUP(D12&amp;E12,J:M,4,0)</f>
        <v>2024-02-23</v>
      </c>
      <c r="G12" t="str">
        <f>VLOOKUP(D12&amp;E12,N:Q,4,0)</f>
        <v>2024-02-23</v>
      </c>
      <c r="H12">
        <f>G12-F12</f>
        <v>0</v>
      </c>
      <c r="J12" t="str">
        <f>K12&amp;L12</f>
        <v>Новикова Ольга ПетровнаЕгоров Владимир Артемович</v>
      </c>
      <c r="K12" t="s">
        <v>17</v>
      </c>
      <c r="L12" t="s">
        <v>26</v>
      </c>
      <c r="M12" t="s">
        <v>27</v>
      </c>
      <c r="N12" t="str">
        <f>O12&amp;P12</f>
        <v>Семенова Ирина ВалерьевнаАлексеева Наталья Андреевна</v>
      </c>
      <c r="O12" t="s">
        <v>57</v>
      </c>
      <c r="P12" t="s">
        <v>42</v>
      </c>
      <c r="Q12" t="s">
        <v>461</v>
      </c>
    </row>
    <row r="13">
      <c r="A13" t="s">
        <v>21</v>
      </c>
      <c r="D13" t="s">
        <v>47</v>
      </c>
      <c r="E13" t="s">
        <v>223</v>
      </c>
      <c r="F13" t="str">
        <f>VLOOKUP(D13&amp;E13,J:M,4,0)</f>
        <v>2024-04-22</v>
      </c>
      <c r="G13" t="str">
        <f>VLOOKUP(D13&amp;E13,N:Q,4,0)</f>
        <v>2024-04-22</v>
      </c>
      <c r="H13">
        <f>G13-F13</f>
        <v>0</v>
      </c>
      <c r="J13" t="str">
        <f>K13&amp;L13</f>
        <v>Петров Владимир КирилловичКузнецова Юлия Павловна</v>
      </c>
      <c r="K13" t="s">
        <v>28</v>
      </c>
      <c r="L13" t="s">
        <v>29</v>
      </c>
      <c r="M13" t="s">
        <v>27</v>
      </c>
      <c r="N13" t="str">
        <f>O13&amp;P13</f>
        <v>Белов Алексей КонстантиновичИванов Михаил Никитич</v>
      </c>
      <c r="O13" t="s">
        <v>47</v>
      </c>
      <c r="P13" t="s">
        <v>462</v>
      </c>
      <c r="Q13" t="s">
        <v>461</v>
      </c>
    </row>
    <row r="14">
      <c r="D14" t="s">
        <v>47</v>
      </c>
      <c r="E14" t="s">
        <v>161</v>
      </c>
      <c r="F14" t="str">
        <f>VLOOKUP(D14&amp;E14,J:M,4,0)</f>
        <v>2023-11-23</v>
      </c>
      <c r="G14" t="str">
        <f>VLOOKUP(D14&amp;E14,N:Q,4,0)</f>
        <v>2023-11-23</v>
      </c>
      <c r="H14">
        <f>G14-F14</f>
        <v>0</v>
      </c>
      <c r="J14" t="str">
        <f>K14&amp;L14</f>
        <v>Иванова Анна СергеевнаСеменов Сергей Викторович</v>
      </c>
      <c r="K14" t="s">
        <v>11</v>
      </c>
      <c r="L14" t="s">
        <v>30</v>
      </c>
      <c r="M14" t="s">
        <v>27</v>
      </c>
      <c r="N14" t="str">
        <f>O14&amp;P14</f>
        <v>Новикова Ольга ПетровнаСтепанов Матвей Михайлович</v>
      </c>
      <c r="O14" t="s">
        <v>17</v>
      </c>
      <c r="P14" t="s">
        <v>144</v>
      </c>
      <c r="Q14" t="s">
        <v>461</v>
      </c>
    </row>
    <row r="15">
      <c r="D15" t="s">
        <v>47</v>
      </c>
      <c r="E15" t="s">
        <v>95</v>
      </c>
      <c r="F15" t="str">
        <f>VLOOKUP(D15&amp;E15,J:M,4,0)</f>
        <v>2024-05-20</v>
      </c>
      <c r="G15" t="str">
        <f>VLOOKUP(D15&amp;E15,N:Q,4,0)</f>
        <v>2024-05-20</v>
      </c>
      <c r="H15">
        <f>G15-F15</f>
        <v>0</v>
      </c>
      <c r="J15" t="str">
        <f>K15&amp;L15</f>
        <v>Кузнецов Дмитрий ЛьвовичСмирнова Алиса Артемовна</v>
      </c>
      <c r="K15" t="s">
        <v>8</v>
      </c>
      <c r="L15" t="s">
        <v>31</v>
      </c>
      <c r="M15" t="s">
        <v>32</v>
      </c>
      <c r="N15" t="str">
        <f>O15&amp;P15</f>
        <v>Сидорова Елена ВасильевнаСидоров Сергей Егорович</v>
      </c>
      <c r="O15" t="s">
        <v>15</v>
      </c>
      <c r="P15" t="s">
        <v>128</v>
      </c>
      <c r="Q15" t="s">
        <v>461</v>
      </c>
    </row>
    <row r="16">
      <c r="D16" t="s">
        <v>47</v>
      </c>
      <c r="E16" t="s">
        <v>26</v>
      </c>
      <c r="F16" t="str">
        <f>VLOOKUP(D16&amp;E16,J:M,4,0)</f>
        <v>2024-04-19</v>
      </c>
      <c r="G16" t="str">
        <f>VLOOKUP(D16&amp;E16,N:Q,4,0)</f>
        <v>2024-04-19</v>
      </c>
      <c r="H16">
        <f>G16-F16</f>
        <v>0</v>
      </c>
      <c r="J16" t="str">
        <f>K16&amp;L16</f>
        <v>Новикова Ольга ПетровнаИванова Виктория Михайловна</v>
      </c>
      <c r="K16" t="s">
        <v>17</v>
      </c>
      <c r="L16" t="s">
        <v>33</v>
      </c>
      <c r="M16" t="s">
        <v>34</v>
      </c>
      <c r="N16" t="str">
        <f>O16&amp;P16</f>
        <v>Ткаченко Андрей ОлеговичОрлова Людмила Артемовна</v>
      </c>
      <c r="O16" t="s">
        <v>24</v>
      </c>
      <c r="P16" t="s">
        <v>19</v>
      </c>
      <c r="Q16" t="s">
        <v>460</v>
      </c>
    </row>
    <row r="17">
      <c r="D17" t="s">
        <v>47</v>
      </c>
      <c r="E17" t="s">
        <v>140</v>
      </c>
      <c r="F17" t="str">
        <f>VLOOKUP(D17&amp;E17,J:M,4,0)</f>
        <v>2024-03-28</v>
      </c>
      <c r="G17" t="str">
        <f>VLOOKUP(D17&amp;E17,N:Q,4,0)</f>
        <v>2024-07-22</v>
      </c>
      <c r="H17">
        <f>G17-F17</f>
        <v>116</v>
      </c>
      <c r="J17" t="str">
        <f>K17&amp;L17</f>
        <v>Ткаченко Андрей ОлеговичНовикова Анна Ильинична</v>
      </c>
      <c r="K17" t="s">
        <v>24</v>
      </c>
      <c r="L17" t="s">
        <v>35</v>
      </c>
      <c r="M17" t="s">
        <v>34</v>
      </c>
      <c r="N17" t="str">
        <f>O17&amp;P17</f>
        <v>Орлов Павел ДенисовичСидоров Сергей Егорович</v>
      </c>
      <c r="O17" t="s">
        <v>43</v>
      </c>
      <c r="P17" t="s">
        <v>128</v>
      </c>
      <c r="Q17" t="s">
        <v>460</v>
      </c>
    </row>
    <row r="18">
      <c r="D18" t="s">
        <v>47</v>
      </c>
      <c r="E18" t="s">
        <v>83</v>
      </c>
      <c r="F18" t="str">
        <f>VLOOKUP(D18&amp;E18,J:M,4,0)</f>
        <v>2024-01-08</v>
      </c>
      <c r="G18" t="str">
        <f>VLOOKUP(D18&amp;E18,N:Q,4,0)</f>
        <v>2024-01-08</v>
      </c>
      <c r="H18">
        <f>G18-F18</f>
        <v>0</v>
      </c>
      <c r="J18" t="str">
        <f>K18&amp;L18</f>
        <v>Петров Владимир КирилловичКузнецов Дмитрий Андреевич</v>
      </c>
      <c r="K18" t="s">
        <v>28</v>
      </c>
      <c r="L18" t="s">
        <v>22</v>
      </c>
      <c r="M18" t="s">
        <v>36</v>
      </c>
      <c r="N18" t="str">
        <f>O18&amp;P18</f>
        <v>Кузнецов Дмитрий ЛьвовичФедорова Анна Михайловна</v>
      </c>
      <c r="O18" t="s">
        <v>8</v>
      </c>
      <c r="P18" t="s">
        <v>157</v>
      </c>
      <c r="Q18" t="s">
        <v>460</v>
      </c>
    </row>
    <row r="19">
      <c r="D19" t="s">
        <v>47</v>
      </c>
      <c r="E19" t="s">
        <v>12</v>
      </c>
      <c r="F19" t="str">
        <f>VLOOKUP(D19&amp;E19,J:M,4,0)</f>
        <v>2024-04-23</v>
      </c>
      <c r="G19" t="str">
        <f>VLOOKUP(D19&amp;E19,N:Q,4,0)</f>
        <v>2024-04-23</v>
      </c>
      <c r="H19">
        <f>G19-F19</f>
        <v>0</v>
      </c>
      <c r="J19" t="str">
        <f>K19&amp;L19</f>
        <v>Петров Владимир КирилловичНиколаев Дмитрий Павлович</v>
      </c>
      <c r="K19" t="s">
        <v>28</v>
      </c>
      <c r="L19" t="s">
        <v>37</v>
      </c>
      <c r="M19" t="s">
        <v>36</v>
      </c>
      <c r="N19" t="str">
        <f>O19&amp;P19</f>
        <v>Кузнецов Дмитрий ЛьвовичАлексеева Ирина Андреевна</v>
      </c>
      <c r="O19" t="s">
        <v>8</v>
      </c>
      <c r="P19" t="s">
        <v>189</v>
      </c>
      <c r="Q19" t="s">
        <v>460</v>
      </c>
    </row>
    <row r="20">
      <c r="D20" t="s">
        <v>47</v>
      </c>
      <c r="E20" t="s">
        <v>16</v>
      </c>
      <c r="F20" t="str">
        <f>VLOOKUP(D20&amp;E20,J:M,4,0)</f>
        <v>2024-01-29</v>
      </c>
      <c r="G20" t="str">
        <f>VLOOKUP(D20&amp;E20,N:Q,4,0)</f>
        <v>2024-01-29</v>
      </c>
      <c r="H20">
        <f>G20-F20</f>
        <v>0</v>
      </c>
      <c r="J20" t="str">
        <f>K20&amp;L20</f>
        <v>Сидорова Елена ВасильевнаИванова Валерия Алексеевна</v>
      </c>
      <c r="K20" t="s">
        <v>15</v>
      </c>
      <c r="L20" t="s">
        <v>38</v>
      </c>
      <c r="M20" t="s">
        <v>36</v>
      </c>
      <c r="N20" t="str">
        <f>O20&amp;P20</f>
        <v>Новикова Ольга ПетровнаФедорова Анна Кирилловна</v>
      </c>
      <c r="O20" t="s">
        <v>17</v>
      </c>
      <c r="P20" t="s">
        <v>363</v>
      </c>
      <c r="Q20" t="s">
        <v>460</v>
      </c>
    </row>
    <row r="21">
      <c r="D21" t="s">
        <v>47</v>
      </c>
      <c r="E21" t="s">
        <v>462</v>
      </c>
      <c r="F21" t="str">
        <f>VLOOKUP(D21&amp;E21,J:M,4,0)</f>
        <v>2024-08-27</v>
      </c>
      <c r="G21" t="str">
        <f>VLOOKUP(D21&amp;E21,N:Q,4,0)</f>
        <v>2024-08-27</v>
      </c>
      <c r="H21">
        <f>G21-F21</f>
        <v>0</v>
      </c>
      <c r="J21" t="str">
        <f>K21&amp;L21</f>
        <v>Яковлев Артем ИгоревичМорозов Матвей Романович</v>
      </c>
      <c r="K21" t="s">
        <v>21</v>
      </c>
      <c r="L21" t="s">
        <v>39</v>
      </c>
      <c r="M21" t="s">
        <v>36</v>
      </c>
      <c r="N21" t="str">
        <f>O21&amp;P21</f>
        <v>Кузнецов Дмитрий ЛьвовичАлексеева София Андреевна</v>
      </c>
      <c r="O21" t="s">
        <v>8</v>
      </c>
      <c r="P21" t="s">
        <v>276</v>
      </c>
      <c r="Q21" t="s">
        <v>460</v>
      </c>
    </row>
    <row r="22">
      <c r="D22" t="s">
        <v>47</v>
      </c>
      <c r="E22" t="s">
        <v>80</v>
      </c>
      <c r="F22" t="str">
        <f>VLOOKUP(D22&amp;E22,J:M,4,0)</f>
        <v>2024-01-18</v>
      </c>
      <c r="G22" t="str">
        <f>VLOOKUP(D22&amp;E22,N:Q,4,0)</f>
        <v>2024-01-18</v>
      </c>
      <c r="H22">
        <f>G22-F22</f>
        <v>0</v>
      </c>
      <c r="J22" t="str">
        <f>K22&amp;L22</f>
        <v>Кузнецов Дмитрий ЛьвовичКузнецова София Александровна</v>
      </c>
      <c r="K22" t="s">
        <v>8</v>
      </c>
      <c r="L22" t="s">
        <v>40</v>
      </c>
      <c r="M22" t="s">
        <v>36</v>
      </c>
      <c r="N22" t="str">
        <f>O22&amp;P22</f>
        <v>Иванова Анна СергеевнаСмирнов Константин Егорович</v>
      </c>
      <c r="O22" t="s">
        <v>11</v>
      </c>
      <c r="P22" t="s">
        <v>403</v>
      </c>
      <c r="Q22" t="s">
        <v>460</v>
      </c>
    </row>
    <row r="23">
      <c r="D23" t="s">
        <v>47</v>
      </c>
      <c r="E23" t="s">
        <v>265</v>
      </c>
      <c r="F23" t="str">
        <f>VLOOKUP(D23&amp;E23,J:M,4,0)</f>
        <v>2024-05-03</v>
      </c>
      <c r="G23" t="str">
        <f>VLOOKUP(D23&amp;E23,N:Q,4,0)</f>
        <v>2024-05-03</v>
      </c>
      <c r="H23">
        <f>G23-F23</f>
        <v>0</v>
      </c>
      <c r="J23" t="str">
        <f>K23&amp;L23</f>
        <v>Сидорова Елена ВасильевнаОрлова Дарья Станиславовна</v>
      </c>
      <c r="K23" t="s">
        <v>15</v>
      </c>
      <c r="L23" t="s">
        <v>41</v>
      </c>
      <c r="M23" t="s">
        <v>36</v>
      </c>
      <c r="N23" t="str">
        <f>O23&amp;P23</f>
        <v>Кузнецов Дмитрий ЛьвовичИванова Валерия Алексеевна</v>
      </c>
      <c r="O23" t="s">
        <v>8</v>
      </c>
      <c r="P23" t="s">
        <v>38</v>
      </c>
      <c r="Q23" t="s">
        <v>460</v>
      </c>
    </row>
    <row r="24">
      <c r="D24" t="s">
        <v>47</v>
      </c>
      <c r="E24" t="s">
        <v>185</v>
      </c>
      <c r="F24" t="str">
        <f>VLOOKUP(D24&amp;E24,J:M,4,0)</f>
        <v>2024-05-03</v>
      </c>
      <c r="G24" t="str">
        <f>VLOOKUP(D24&amp;E24,N:Q,4,0)</f>
        <v>2024-07-10</v>
      </c>
      <c r="H24">
        <f>G24-F24</f>
        <v>68</v>
      </c>
      <c r="J24" t="str">
        <f>K24&amp;L24</f>
        <v>Громова Мария ИльиничнаАлексеева Наталья Андреевна</v>
      </c>
      <c r="K24" t="s">
        <v>13</v>
      </c>
      <c r="L24" t="s">
        <v>42</v>
      </c>
      <c r="M24" t="s">
        <v>36</v>
      </c>
      <c r="N24" t="str">
        <f>O24&amp;P24</f>
        <v>Ткаченко Андрей ОлеговичСидорова Екатерина Романовна</v>
      </c>
      <c r="O24" t="s">
        <v>24</v>
      </c>
      <c r="P24" t="s">
        <v>257</v>
      </c>
      <c r="Q24" t="s">
        <v>459</v>
      </c>
    </row>
    <row r="25">
      <c r="D25" t="s">
        <v>47</v>
      </c>
      <c r="E25" t="s">
        <v>22</v>
      </c>
      <c r="F25" t="str">
        <f>VLOOKUP(D25&amp;E25,J:M,4,0)</f>
        <v>2023-09-19</v>
      </c>
      <c r="G25" t="str">
        <f>VLOOKUP(D25&amp;E25,N:Q,4,0)</f>
        <v>2023-09-20</v>
      </c>
      <c r="H25">
        <f>G25-F25</f>
        <v>1</v>
      </c>
      <c r="J25" t="str">
        <f>K25&amp;L25</f>
        <v>Фролов Сергей ВикторовичСидоров Алексей Кириллович</v>
      </c>
      <c r="K25" t="s">
        <v>5</v>
      </c>
      <c r="L25" t="s">
        <v>14</v>
      </c>
      <c r="M25" t="s">
        <v>36</v>
      </c>
      <c r="N25" t="str">
        <f>O25&amp;P25</f>
        <v>Новикова Ольга ПетровнаНиколаев Артем Александрович</v>
      </c>
      <c r="O25" t="s">
        <v>17</v>
      </c>
      <c r="P25" t="s">
        <v>248</v>
      </c>
      <c r="Q25" t="s">
        <v>459</v>
      </c>
    </row>
    <row r="26">
      <c r="D26" t="s">
        <v>47</v>
      </c>
      <c r="E26" t="s">
        <v>92</v>
      </c>
      <c r="F26" t="str">
        <f>VLOOKUP(D26&amp;E26,J:M,4,0)</f>
        <v>2024-05-06</v>
      </c>
      <c r="G26" t="str">
        <f>VLOOKUP(D26&amp;E26,N:Q,4,0)</f>
        <v>2024-05-06</v>
      </c>
      <c r="H26">
        <f>G26-F26</f>
        <v>0</v>
      </c>
      <c r="J26" t="str">
        <f>K26&amp;L26</f>
        <v>Орлов Павел ДенисовичСтепанов Георгий Иванович</v>
      </c>
      <c r="K26" t="s">
        <v>43</v>
      </c>
      <c r="L26" t="s">
        <v>44</v>
      </c>
      <c r="M26" t="s">
        <v>36</v>
      </c>
      <c r="N26" t="str">
        <f>O26&amp;P26</f>
        <v>Петров Владимир КирилловичСеменов Константин Артемович</v>
      </c>
      <c r="O26" t="s">
        <v>28</v>
      </c>
      <c r="P26" t="s">
        <v>102</v>
      </c>
      <c r="Q26" t="s">
        <v>458</v>
      </c>
    </row>
    <row r="27">
      <c r="D27" t="s">
        <v>47</v>
      </c>
      <c r="E27" t="s">
        <v>273</v>
      </c>
      <c r="F27" t="str">
        <f>VLOOKUP(D27&amp;E27,J:M,4,0)</f>
        <v>2024-07-24</v>
      </c>
      <c r="G27" t="str">
        <f>VLOOKUP(D27&amp;E27,N:Q,4,0)</f>
        <v>2024-07-24</v>
      </c>
      <c r="H27">
        <f>G27-F27</f>
        <v>0</v>
      </c>
      <c r="J27" t="str">
        <f>K27&amp;L27</f>
        <v>Кузнецов Дмитрий ЛьвовичСтепанова Ирина Артемовна</v>
      </c>
      <c r="K27" t="s">
        <v>8</v>
      </c>
      <c r="L27" t="s">
        <v>45</v>
      </c>
      <c r="M27" t="s">
        <v>36</v>
      </c>
      <c r="N27" t="str">
        <f>O27&amp;P27</f>
        <v>Петров Владимир КирилловичЛебедев Владимир Ильич</v>
      </c>
      <c r="O27" t="s">
        <v>28</v>
      </c>
      <c r="P27" t="s">
        <v>237</v>
      </c>
      <c r="Q27" t="s">
        <v>458</v>
      </c>
    </row>
    <row r="28">
      <c r="D28" t="s">
        <v>47</v>
      </c>
      <c r="E28" t="s">
        <v>138</v>
      </c>
      <c r="F28" t="str">
        <f>VLOOKUP(D28&amp;E28,J:M,4,0)</f>
        <v>2023-11-14</v>
      </c>
      <c r="G28" t="str">
        <f>VLOOKUP(D28&amp;E28,N:Q,4,0)</f>
        <v>2023-11-14</v>
      </c>
      <c r="H28">
        <f>G28-F28</f>
        <v>0</v>
      </c>
      <c r="J28" t="str">
        <f>K28&amp;L28</f>
        <v>Кузнецов Дмитрий ЛьвовичСидоров Алексей Кириллович</v>
      </c>
      <c r="K28" t="s">
        <v>8</v>
      </c>
      <c r="L28" t="s">
        <v>14</v>
      </c>
      <c r="M28" t="s">
        <v>46</v>
      </c>
      <c r="N28" t="str">
        <f>O28&amp;P28</f>
        <v>Орлов Павел ДенисовичИванов Андрей Владимирович</v>
      </c>
      <c r="O28" t="s">
        <v>43</v>
      </c>
      <c r="P28" t="s">
        <v>198</v>
      </c>
      <c r="Q28" t="s">
        <v>458</v>
      </c>
    </row>
    <row r="29">
      <c r="D29" t="s">
        <v>47</v>
      </c>
      <c r="E29" t="s">
        <v>65</v>
      </c>
      <c r="F29" t="str">
        <f>VLOOKUP(D29&amp;E29,J:M,4,0)</f>
        <v>2024-07-08</v>
      </c>
      <c r="G29" t="str">
        <f>VLOOKUP(D29&amp;E29,N:Q,4,0)</f>
        <v>2024-07-08</v>
      </c>
      <c r="H29">
        <f>G29-F29</f>
        <v>0</v>
      </c>
      <c r="J29" t="str">
        <f>K29&amp;L29</f>
        <v>Белов Алексей КонстантиновичВасильева Юлия Геннадьевна</v>
      </c>
      <c r="K29" t="s">
        <v>47</v>
      </c>
      <c r="L29" t="s">
        <v>48</v>
      </c>
      <c r="M29" t="s">
        <v>46</v>
      </c>
      <c r="N29" t="str">
        <f>O29&amp;P29</f>
        <v>Семенова Ирина ВалерьевнаСеменов Михаил Никитич</v>
      </c>
      <c r="O29" t="s">
        <v>57</v>
      </c>
      <c r="P29" t="s">
        <v>172</v>
      </c>
      <c r="Q29" t="s">
        <v>458</v>
      </c>
    </row>
    <row r="30">
      <c r="D30" t="s">
        <v>47</v>
      </c>
      <c r="E30" t="s">
        <v>209</v>
      </c>
      <c r="F30" t="str">
        <f>VLOOKUP(D30&amp;E30,J:M,4,0)</f>
        <v>2023-12-12</v>
      </c>
      <c r="G30" t="str">
        <f>VLOOKUP(D30&amp;E30,N:Q,4,0)</f>
        <v>2023-12-12</v>
      </c>
      <c r="H30">
        <f>G30-F30</f>
        <v>0</v>
      </c>
      <c r="J30" t="str">
        <f>K30&amp;L30</f>
        <v>Кузнецов Дмитрий ЛьвовичИванова Валерия Алексеевна</v>
      </c>
      <c r="K30" t="s">
        <v>8</v>
      </c>
      <c r="L30" t="s">
        <v>38</v>
      </c>
      <c r="M30" t="s">
        <v>46</v>
      </c>
      <c r="N30" t="str">
        <f>O30&amp;P30</f>
        <v>Яковлев Артем ИгоревичСтепанов Егор Геннадьевич</v>
      </c>
      <c r="O30" t="s">
        <v>21</v>
      </c>
      <c r="P30" t="s">
        <v>302</v>
      </c>
      <c r="Q30" t="s">
        <v>457</v>
      </c>
    </row>
    <row r="31">
      <c r="D31" t="s">
        <v>47</v>
      </c>
      <c r="E31" t="s">
        <v>108</v>
      </c>
      <c r="F31" t="str">
        <f>VLOOKUP(D31&amp;E31,J:M,4,0)</f>
        <v>2024-01-08</v>
      </c>
      <c r="G31" t="str">
        <f>VLOOKUP(D31&amp;E31,N:Q,4,0)</f>
        <v>2024-01-08</v>
      </c>
      <c r="H31">
        <f>G31-F31</f>
        <v>0</v>
      </c>
      <c r="J31" t="str">
        <f>K31&amp;L31</f>
        <v>Орлов Павел ДенисовичЕгоров Никита Станиславович</v>
      </c>
      <c r="K31" t="s">
        <v>43</v>
      </c>
      <c r="L31" t="s">
        <v>49</v>
      </c>
      <c r="M31" t="s">
        <v>46</v>
      </c>
      <c r="N31" t="str">
        <f>O31&amp;P31</f>
        <v>Семенова Ирина ВалерьевнаПетрова Татьяна Дмитриевна</v>
      </c>
      <c r="O31" t="s">
        <v>57</v>
      </c>
      <c r="P31" t="s">
        <v>234</v>
      </c>
      <c r="Q31" t="s">
        <v>456</v>
      </c>
    </row>
    <row r="32">
      <c r="D32" t="s">
        <v>47</v>
      </c>
      <c r="E32" t="s">
        <v>218</v>
      </c>
      <c r="F32" t="str">
        <f>VLOOKUP(D32&amp;E32,J:M,4,0)</f>
        <v>2023-12-01</v>
      </c>
      <c r="G32" t="str">
        <f>VLOOKUP(D32&amp;E32,N:Q,4,0)</f>
        <v>2023-12-01</v>
      </c>
      <c r="H32">
        <f>G32-F32</f>
        <v>0</v>
      </c>
      <c r="J32" t="str">
        <f>K32&amp;L32</f>
        <v>Яковлев Артем ИгоревичСидоров Артур Алексеевич</v>
      </c>
      <c r="K32" t="s">
        <v>21</v>
      </c>
      <c r="L32" t="s">
        <v>50</v>
      </c>
      <c r="M32" t="s">
        <v>51</v>
      </c>
      <c r="N32" t="str">
        <f>O32&amp;P32</f>
        <v>Кузнецов Дмитрий ЛьвовичИванов Кирилл Кириллович</v>
      </c>
      <c r="O32" t="s">
        <v>8</v>
      </c>
      <c r="P32" t="s">
        <v>250</v>
      </c>
      <c r="Q32" t="s">
        <v>456</v>
      </c>
    </row>
    <row r="33">
      <c r="D33" t="s">
        <v>47</v>
      </c>
      <c r="E33" t="s">
        <v>280</v>
      </c>
      <c r="F33" t="str">
        <f>VLOOKUP(D33&amp;E33,J:M,4,0)</f>
        <v>2024-01-15</v>
      </c>
      <c r="G33" t="str">
        <f>VLOOKUP(D33&amp;E33,N:Q,4,0)</f>
        <v>2024-02-12</v>
      </c>
      <c r="H33">
        <f>G33-F33</f>
        <v>28</v>
      </c>
      <c r="J33" t="str">
        <f>K33&amp;L33</f>
        <v>Кузнецов Дмитрий ЛьвовичПетров Сергей Андреевич</v>
      </c>
      <c r="K33" t="s">
        <v>8</v>
      </c>
      <c r="L33" t="s">
        <v>52</v>
      </c>
      <c r="M33" t="s">
        <v>51</v>
      </c>
      <c r="N33" t="str">
        <f>O33&amp;P33</f>
        <v>Яковлев Артем ИгоревичНиколаева Дарья Алексеевна</v>
      </c>
      <c r="O33" t="s">
        <v>21</v>
      </c>
      <c r="P33" t="s">
        <v>252</v>
      </c>
      <c r="Q33" t="s">
        <v>456</v>
      </c>
    </row>
    <row r="34">
      <c r="D34" t="s">
        <v>47</v>
      </c>
      <c r="E34" t="s">
        <v>186</v>
      </c>
      <c r="F34" t="str">
        <f>VLOOKUP(D34&amp;E34,J:M,4,0)</f>
        <v>2024-04-24</v>
      </c>
      <c r="G34" t="str">
        <f>VLOOKUP(D34&amp;E34,N:Q,4,0)</f>
        <v>2024-04-24</v>
      </c>
      <c r="H34">
        <f>G34-F34</f>
        <v>0</v>
      </c>
      <c r="J34" t="str">
        <f>K34&amp;L34</f>
        <v>Кузнецов Дмитрий ЛьвовичСидоров Артур Алексеевич</v>
      </c>
      <c r="K34" t="s">
        <v>8</v>
      </c>
      <c r="L34" t="s">
        <v>50</v>
      </c>
      <c r="M34" t="s">
        <v>53</v>
      </c>
      <c r="N34" t="str">
        <f>O34&amp;P34</f>
        <v>Орлов Павел ДенисовичИванова Людмила Алексеевна</v>
      </c>
      <c r="O34" t="s">
        <v>43</v>
      </c>
      <c r="P34" t="s">
        <v>59</v>
      </c>
      <c r="Q34" t="s">
        <v>456</v>
      </c>
    </row>
    <row r="35">
      <c r="D35" t="s">
        <v>47</v>
      </c>
      <c r="E35" t="s">
        <v>119</v>
      </c>
      <c r="F35" t="str">
        <f>VLOOKUP(D35&amp;E35,J:M,4,0)</f>
        <v>2024-03-21</v>
      </c>
      <c r="G35" t="str">
        <f>VLOOKUP(D35&amp;E35,N:Q,4,0)</f>
        <v>2024-03-21</v>
      </c>
      <c r="H35">
        <f>G35-F35</f>
        <v>0</v>
      </c>
      <c r="J35" t="str">
        <f>K35&amp;L35</f>
        <v>Кузнецов Дмитрий ЛьвовичКузнецова София Александровна</v>
      </c>
      <c r="K35" t="s">
        <v>8</v>
      </c>
      <c r="L35" t="s">
        <v>40</v>
      </c>
      <c r="M35" t="s">
        <v>54</v>
      </c>
      <c r="N35" t="str">
        <f>O35&amp;P35</f>
        <v>Орлов Павел ДенисовичЕгорова Ольга Юрьевна</v>
      </c>
      <c r="O35" t="s">
        <v>43</v>
      </c>
      <c r="P35" t="s">
        <v>83</v>
      </c>
      <c r="Q35" t="s">
        <v>456</v>
      </c>
    </row>
    <row r="36">
      <c r="D36" t="s">
        <v>47</v>
      </c>
      <c r="E36" t="s">
        <v>208</v>
      </c>
      <c r="F36" t="str">
        <f>VLOOKUP(D36&amp;E36,J:M,4,0)</f>
        <v>2024-08-01</v>
      </c>
      <c r="G36" t="str">
        <f>VLOOKUP(D36&amp;E36,N:Q,4,0)</f>
        <v>2024-08-01</v>
      </c>
      <c r="H36">
        <f>G36-F36</f>
        <v>0</v>
      </c>
      <c r="J36" t="str">
        <f>K36&amp;L36</f>
        <v>Новикова Ольга ПетровнаКузнецова Людмила Сергеевна</v>
      </c>
      <c r="K36" t="s">
        <v>17</v>
      </c>
      <c r="L36" t="s">
        <v>55</v>
      </c>
      <c r="M36" t="s">
        <v>54</v>
      </c>
      <c r="N36" t="str">
        <f>O36&amp;P36</f>
        <v>Семенова Ирина ВалерьевнаНиколаева Алиса Ивановна</v>
      </c>
      <c r="O36" t="s">
        <v>57</v>
      </c>
      <c r="P36" t="s">
        <v>119</v>
      </c>
      <c r="Q36" t="s">
        <v>456</v>
      </c>
    </row>
    <row r="37">
      <c r="D37" t="s">
        <v>47</v>
      </c>
      <c r="E37" t="s">
        <v>35</v>
      </c>
      <c r="F37" t="str">
        <f>VLOOKUP(D37&amp;E37,J:M,4,0)</f>
        <v>2024-06-17</v>
      </c>
      <c r="G37" t="str">
        <f>VLOOKUP(D37&amp;E37,N:Q,4,0)</f>
        <v>2024-06-26</v>
      </c>
      <c r="H37">
        <f>G37-F37</f>
        <v>9</v>
      </c>
      <c r="J37" t="str">
        <f>K37&amp;L37</f>
        <v>Сидорова Елена ВасильевнаФедоров Дмитрий Сергеевич</v>
      </c>
      <c r="K37" t="s">
        <v>15</v>
      </c>
      <c r="L37" t="s">
        <v>56</v>
      </c>
      <c r="M37" t="s">
        <v>54</v>
      </c>
      <c r="N37" t="str">
        <f>O37&amp;P37</f>
        <v>Петров Владимир КирилловичПетров Сергей Александрович</v>
      </c>
      <c r="O37" t="s">
        <v>28</v>
      </c>
      <c r="P37" t="s">
        <v>89</v>
      </c>
      <c r="Q37" t="s">
        <v>456</v>
      </c>
    </row>
    <row r="38">
      <c r="D38" t="s">
        <v>47</v>
      </c>
      <c r="E38" t="s">
        <v>147</v>
      </c>
      <c r="F38" t="str">
        <f>VLOOKUP(D38&amp;E38,J:M,4,0)</f>
        <v>2024-05-21</v>
      </c>
      <c r="G38" t="str">
        <f>VLOOKUP(D38&amp;E38,N:Q,4,0)</f>
        <v>2024-05-21</v>
      </c>
      <c r="H38">
        <f>G38-F38</f>
        <v>0</v>
      </c>
      <c r="J38" t="str">
        <f>K38&amp;L38</f>
        <v>Семенова Ирина ВалерьевнаПетров Андрей Алексеевич</v>
      </c>
      <c r="K38" t="s">
        <v>57</v>
      </c>
      <c r="L38" t="s">
        <v>58</v>
      </c>
      <c r="M38" t="s">
        <v>54</v>
      </c>
      <c r="N38" t="str">
        <f>O38&amp;P38</f>
        <v>Орлов Павел ДенисовичМорозова Вероника Олеговна</v>
      </c>
      <c r="O38" t="s">
        <v>43</v>
      </c>
      <c r="P38" t="s">
        <v>68</v>
      </c>
      <c r="Q38" t="s">
        <v>456</v>
      </c>
    </row>
    <row r="39">
      <c r="D39" t="s">
        <v>47</v>
      </c>
      <c r="E39" t="s">
        <v>170</v>
      </c>
      <c r="F39" t="str">
        <f>VLOOKUP(D39&amp;E39,J:M,4,0)</f>
        <v>2023-11-17</v>
      </c>
      <c r="G39" t="str">
        <f>VLOOKUP(D39&amp;E39,N:Q,4,0)</f>
        <v>2023-11-17</v>
      </c>
      <c r="H39">
        <f>G39-F39</f>
        <v>0</v>
      </c>
      <c r="J39" t="str">
        <f>K39&amp;L39</f>
        <v>Петров Владимир КирилловичИванова Людмила Алексеевна</v>
      </c>
      <c r="K39" t="s">
        <v>28</v>
      </c>
      <c r="L39" t="s">
        <v>59</v>
      </c>
      <c r="M39" t="s">
        <v>54</v>
      </c>
      <c r="N39" t="str">
        <f>O39&amp;P39</f>
        <v>Петров Владимир КирилловичНиколаев Владимир Геннадьевич</v>
      </c>
      <c r="O39" t="s">
        <v>28</v>
      </c>
      <c r="P39" t="s">
        <v>267</v>
      </c>
      <c r="Q39" t="s">
        <v>455</v>
      </c>
    </row>
    <row r="40">
      <c r="D40" t="s">
        <v>47</v>
      </c>
      <c r="E40" t="s">
        <v>6</v>
      </c>
      <c r="F40" t="str">
        <f>VLOOKUP(D40&amp;E40,J:M,4,0)</f>
        <v>2023-11-20</v>
      </c>
      <c r="G40" t="str">
        <f>VLOOKUP(D40&amp;E40,N:Q,4,0)</f>
        <v>2023-11-20</v>
      </c>
      <c r="H40">
        <f>G40-F40</f>
        <v>0</v>
      </c>
      <c r="J40" t="str">
        <f>K40&amp;L40</f>
        <v>Громова Мария ИльиничнаОрлова Анна Владимировна</v>
      </c>
      <c r="K40" t="s">
        <v>13</v>
      </c>
      <c r="L40" t="s">
        <v>6</v>
      </c>
      <c r="M40" t="s">
        <v>54</v>
      </c>
      <c r="N40" t="str">
        <f>O40&amp;P40</f>
        <v>Яковлев Артем ИгоревичОрлова Дарья Станиславовна</v>
      </c>
      <c r="O40" t="s">
        <v>21</v>
      </c>
      <c r="P40" t="s">
        <v>41</v>
      </c>
      <c r="Q40" t="s">
        <v>455</v>
      </c>
    </row>
    <row r="41">
      <c r="D41" t="s">
        <v>47</v>
      </c>
      <c r="E41" t="s">
        <v>131</v>
      </c>
      <c r="F41" t="str">
        <f>VLOOKUP(D41&amp;E41,J:M,4,0)</f>
        <v>2024-08-02</v>
      </c>
      <c r="G41" t="str">
        <f>VLOOKUP(D41&amp;E41,N:Q,4,0)</f>
        <v>2024-08-02</v>
      </c>
      <c r="H41">
        <f>G41-F41</f>
        <v>0</v>
      </c>
      <c r="J41" t="str">
        <f>K41&amp;L41</f>
        <v>Новикова Ольга ПетровнаСтепанов Алексей Михайлович</v>
      </c>
      <c r="K41" t="s">
        <v>17</v>
      </c>
      <c r="L41" t="s">
        <v>60</v>
      </c>
      <c r="M41" t="s">
        <v>54</v>
      </c>
      <c r="N41" t="str">
        <f>O41&amp;P41</f>
        <v>Яковлев Артем ИгоревичКозлов Дмитрий Сергеевич</v>
      </c>
      <c r="O41" t="s">
        <v>21</v>
      </c>
      <c r="P41" t="s">
        <v>222</v>
      </c>
      <c r="Q41" t="s">
        <v>455</v>
      </c>
    </row>
    <row r="42">
      <c r="D42" t="s">
        <v>47</v>
      </c>
      <c r="E42" t="s">
        <v>292</v>
      </c>
      <c r="F42" t="str">
        <f>VLOOKUP(D42&amp;E42,J:M,4,0)</f>
        <v>2024-01-24</v>
      </c>
      <c r="G42" t="str">
        <f>VLOOKUP(D42&amp;E42,N:Q,4,0)</f>
        <v>2024-01-24</v>
      </c>
      <c r="H42">
        <f>G42-F42</f>
        <v>0</v>
      </c>
      <c r="J42" t="str">
        <f>K42&amp;L42</f>
        <v>Кузнецов Дмитрий ЛьвовичКузнецова Ольга Геннадьевна</v>
      </c>
      <c r="K42" t="s">
        <v>8</v>
      </c>
      <c r="L42" t="s">
        <v>61</v>
      </c>
      <c r="M42" t="s">
        <v>62</v>
      </c>
      <c r="N42" t="str">
        <f>O42&amp;P42</f>
        <v>Новикова Ольга ПетровнаСмирнова Екатерина Егоровна</v>
      </c>
      <c r="O42" t="s">
        <v>17</v>
      </c>
      <c r="P42" t="s">
        <v>212</v>
      </c>
      <c r="Q42" t="s">
        <v>455</v>
      </c>
    </row>
    <row r="43">
      <c r="D43" t="s">
        <v>47</v>
      </c>
      <c r="E43" t="s">
        <v>158</v>
      </c>
      <c r="F43" t="str">
        <f>VLOOKUP(D43&amp;E43,J:M,4,0)</f>
        <v>2024-05-24</v>
      </c>
      <c r="G43" t="str">
        <f>VLOOKUP(D43&amp;E43,N:Q,4,0)</f>
        <v>2024-05-24</v>
      </c>
      <c r="H43">
        <f>G43-F43</f>
        <v>0</v>
      </c>
      <c r="J43" t="str">
        <f>K43&amp;L43</f>
        <v>Белов Алексей КонстантиновичКузнецов Дмитрий Андреевич</v>
      </c>
      <c r="K43" t="s">
        <v>47</v>
      </c>
      <c r="L43" t="s">
        <v>22</v>
      </c>
      <c r="M43" t="s">
        <v>62</v>
      </c>
      <c r="N43" t="str">
        <f>O43&amp;P43</f>
        <v>Ткаченко Андрей ОлеговичФедорова Анна Михайловна</v>
      </c>
      <c r="O43" t="s">
        <v>24</v>
      </c>
      <c r="P43" t="s">
        <v>157</v>
      </c>
      <c r="Q43" t="s">
        <v>454</v>
      </c>
    </row>
    <row r="44">
      <c r="D44" t="s">
        <v>47</v>
      </c>
      <c r="E44" t="s">
        <v>239</v>
      </c>
      <c r="F44" t="str">
        <f>VLOOKUP(D44&amp;E44,J:M,4,0)</f>
        <v>2023-12-18</v>
      </c>
      <c r="G44" t="str">
        <f>VLOOKUP(D44&amp;E44,N:Q,4,0)</f>
        <v>2024-01-08</v>
      </c>
      <c r="H44">
        <f>G44-F44</f>
        <v>21</v>
      </c>
      <c r="J44" t="str">
        <f>K44&amp;L44</f>
        <v>Орлов Павел ДенисовичСмирнова Валерия Викторовна</v>
      </c>
      <c r="K44" t="s">
        <v>43</v>
      </c>
      <c r="L44" t="s">
        <v>63</v>
      </c>
      <c r="M44" t="s">
        <v>62</v>
      </c>
      <c r="N44" t="str">
        <f>O44&amp;P44</f>
        <v>Сидорова Елена ВасильевнаНиколаева Дарья Алексеевна</v>
      </c>
      <c r="O44" t="s">
        <v>15</v>
      </c>
      <c r="P44" t="s">
        <v>252</v>
      </c>
      <c r="Q44" t="s">
        <v>454</v>
      </c>
    </row>
    <row r="45">
      <c r="D45" t="s">
        <v>47</v>
      </c>
      <c r="E45" t="s">
        <v>78</v>
      </c>
      <c r="F45" t="str">
        <f>VLOOKUP(D45&amp;E45,J:M,4,0)</f>
        <v>2024-06-03</v>
      </c>
      <c r="G45" t="str">
        <f>VLOOKUP(D45&amp;E45,N:Q,4,0)</f>
        <v>2024-06-03</v>
      </c>
      <c r="H45">
        <f>G45-F45</f>
        <v>0</v>
      </c>
      <c r="J45" t="str">
        <f>K45&amp;L45</f>
        <v>Ткаченко Андрей ОлеговичСидоров Матвей Владимирович</v>
      </c>
      <c r="K45" t="s">
        <v>24</v>
      </c>
      <c r="L45" t="s">
        <v>64</v>
      </c>
      <c r="M45" t="s">
        <v>62</v>
      </c>
      <c r="N45" t="str">
        <f>O45&amp;P45</f>
        <v>Петров Владимир КирилловичЕгоров Дмитрий Ильич</v>
      </c>
      <c r="O45" t="s">
        <v>28</v>
      </c>
      <c r="P45" t="s">
        <v>365</v>
      </c>
      <c r="Q45" t="s">
        <v>454</v>
      </c>
    </row>
    <row r="46">
      <c r="D46" t="s">
        <v>47</v>
      </c>
      <c r="E46" t="s">
        <v>305</v>
      </c>
      <c r="F46" t="str">
        <f>VLOOKUP(D46&amp;E46,J:M,4,0)</f>
        <v>2024-02-12</v>
      </c>
      <c r="G46" t="str">
        <f>VLOOKUP(D46&amp;E46,N:Q,4,0)</f>
        <v>2024-02-12</v>
      </c>
      <c r="H46">
        <f>G46-F46</f>
        <v>0</v>
      </c>
      <c r="J46" t="str">
        <f>K46&amp;L46</f>
        <v>Сидорова Елена ВасильевнаМорозова Екатерина Олеговна</v>
      </c>
      <c r="K46" t="s">
        <v>15</v>
      </c>
      <c r="L46" t="s">
        <v>65</v>
      </c>
      <c r="M46" t="s">
        <v>62</v>
      </c>
      <c r="N46" t="str">
        <f>O46&amp;P46</f>
        <v>Белов Алексей КонстантиновичСтепанова Валерия Романовна</v>
      </c>
      <c r="O46" t="s">
        <v>47</v>
      </c>
      <c r="P46" t="s">
        <v>99</v>
      </c>
      <c r="Q46" t="s">
        <v>454</v>
      </c>
    </row>
    <row r="47">
      <c r="D47" t="s">
        <v>47</v>
      </c>
      <c r="E47" t="s">
        <v>111</v>
      </c>
      <c r="F47" t="str">
        <f>VLOOKUP(D47&amp;E47,J:M,4,0)</f>
        <v>2024-01-18</v>
      </c>
      <c r="G47" t="str">
        <f>VLOOKUP(D47&amp;E47,N:Q,4,0)</f>
        <v>2024-01-18</v>
      </c>
      <c r="H47">
        <f>G47-F47</f>
        <v>0</v>
      </c>
      <c r="J47" t="str">
        <f>K47&amp;L47</f>
        <v>Белов Алексей КонстантиновичКузнецов Дмитрий Андреевич</v>
      </c>
      <c r="K47" t="s">
        <v>47</v>
      </c>
      <c r="L47" t="s">
        <v>22</v>
      </c>
      <c r="M47" t="s">
        <v>66</v>
      </c>
      <c r="N47" t="str">
        <f>O47&amp;P47</f>
        <v>Белов Алексей КонстантиновичСтепанов Алексей Михайлович</v>
      </c>
      <c r="O47" t="s">
        <v>47</v>
      </c>
      <c r="P47" t="s">
        <v>60</v>
      </c>
      <c r="Q47" t="s">
        <v>453</v>
      </c>
    </row>
    <row r="48">
      <c r="D48" t="s">
        <v>47</v>
      </c>
      <c r="E48" t="s">
        <v>100</v>
      </c>
      <c r="F48" t="str">
        <f>VLOOKUP(D48&amp;E48,J:M,4,0)</f>
        <v>2023-12-22</v>
      </c>
      <c r="G48" t="str">
        <f>VLOOKUP(D48&amp;E48,N:Q,4,0)</f>
        <v>2023-12-22</v>
      </c>
      <c r="H48">
        <f>G48-F48</f>
        <v>0</v>
      </c>
      <c r="J48" t="str">
        <f>K48&amp;L48</f>
        <v>Фролов Сергей ВикторовичСтепанова Алиса Станиславовна</v>
      </c>
      <c r="K48" t="s">
        <v>5</v>
      </c>
      <c r="L48" t="s">
        <v>67</v>
      </c>
      <c r="M48" t="s">
        <v>66</v>
      </c>
      <c r="N48" t="str">
        <f>O48&amp;P48</f>
        <v>Новикова Ольга ПетровнаСтепанов Егор Геннадьевич</v>
      </c>
      <c r="O48" t="s">
        <v>17</v>
      </c>
      <c r="P48" t="s">
        <v>302</v>
      </c>
      <c r="Q48" t="s">
        <v>453</v>
      </c>
    </row>
    <row r="49">
      <c r="D49" t="s">
        <v>47</v>
      </c>
      <c r="E49" t="s">
        <v>89</v>
      </c>
      <c r="F49" t="str">
        <f>VLOOKUP(D49&amp;E49,J:M,4,0)</f>
        <v>2023-10-26</v>
      </c>
      <c r="G49" t="str">
        <f>VLOOKUP(D49&amp;E49,N:Q,4,0)</f>
        <v>2023-10-26</v>
      </c>
      <c r="H49">
        <f>G49-F49</f>
        <v>0</v>
      </c>
      <c r="J49" t="str">
        <f>K49&amp;L49</f>
        <v>Петров Владимир КирилловичМорозова Вероника Олеговна</v>
      </c>
      <c r="K49" t="s">
        <v>28</v>
      </c>
      <c r="L49" t="s">
        <v>68</v>
      </c>
      <c r="M49" t="s">
        <v>66</v>
      </c>
      <c r="N49" t="str">
        <f>O49&amp;P49</f>
        <v>Яковлев Артем ИгоревичСтепанов Георгий Иванович</v>
      </c>
      <c r="O49" t="s">
        <v>21</v>
      </c>
      <c r="P49" t="s">
        <v>44</v>
      </c>
      <c r="Q49" t="s">
        <v>452</v>
      </c>
    </row>
    <row r="50">
      <c r="D50" t="s">
        <v>47</v>
      </c>
      <c r="E50" t="s">
        <v>52</v>
      </c>
      <c r="F50" t="str">
        <f>VLOOKUP(D50&amp;E50,J:M,4,0)</f>
        <v>2024-03-01</v>
      </c>
      <c r="G50" t="str">
        <f>VLOOKUP(D50&amp;E50,N:Q,4,0)</f>
        <v>2024-03-01</v>
      </c>
      <c r="H50">
        <f>G50-F50</f>
        <v>0</v>
      </c>
      <c r="J50" t="str">
        <f>K50&amp;L50</f>
        <v>Кузнецов Дмитрий ЛьвовичПопова Светлана Дмитриевна</v>
      </c>
      <c r="K50" t="s">
        <v>8</v>
      </c>
      <c r="L50" t="s">
        <v>69</v>
      </c>
      <c r="M50" t="s">
        <v>66</v>
      </c>
      <c r="N50" t="str">
        <f>O50&amp;P50</f>
        <v>Орлов Павел ДенисовичВолкова Мария Ильинична</v>
      </c>
      <c r="O50" t="s">
        <v>43</v>
      </c>
      <c r="P50" t="s">
        <v>95</v>
      </c>
      <c r="Q50" t="s">
        <v>452</v>
      </c>
    </row>
    <row r="51">
      <c r="D51" t="s">
        <v>47</v>
      </c>
      <c r="E51" t="s">
        <v>106</v>
      </c>
      <c r="F51" t="str">
        <f>VLOOKUP(D51&amp;E51,J:M,4,0)</f>
        <v>2024-02-15</v>
      </c>
      <c r="G51" t="str">
        <f>VLOOKUP(D51&amp;E51,N:Q,4,0)</f>
        <v>2024-02-15</v>
      </c>
      <c r="H51">
        <f>G51-F51</f>
        <v>0</v>
      </c>
      <c r="J51" t="str">
        <f>K51&amp;L51</f>
        <v>Белов Алексей КонстантиновичАлексеев Иван Иванович</v>
      </c>
      <c r="K51" t="s">
        <v>47</v>
      </c>
      <c r="L51" t="s">
        <v>70</v>
      </c>
      <c r="M51" t="s">
        <v>66</v>
      </c>
      <c r="N51" t="str">
        <f>O51&amp;P51</f>
        <v>Громова Мария ИльиничнаИванов Георгий Иванович</v>
      </c>
      <c r="O51" t="s">
        <v>13</v>
      </c>
      <c r="P51" t="s">
        <v>240</v>
      </c>
      <c r="Q51" t="s">
        <v>452</v>
      </c>
    </row>
    <row r="52">
      <c r="D52" t="s">
        <v>47</v>
      </c>
      <c r="E52" t="s">
        <v>20</v>
      </c>
      <c r="F52" t="str">
        <f>VLOOKUP(D52&amp;E52,J:M,4,0)</f>
        <v>2024-03-15</v>
      </c>
      <c r="G52" t="str">
        <f>VLOOKUP(D52&amp;E52,N:Q,4,0)</f>
        <v>2024-06-24</v>
      </c>
      <c r="H52">
        <f>G52-F52</f>
        <v>101</v>
      </c>
      <c r="J52" t="str">
        <f>K52&amp;L52</f>
        <v>Фролов Сергей ВикторовичИванов Никита Павлович</v>
      </c>
      <c r="K52" t="s">
        <v>5</v>
      </c>
      <c r="L52" t="s">
        <v>71</v>
      </c>
      <c r="M52" t="s">
        <v>72</v>
      </c>
      <c r="N52" t="str">
        <f>O52&amp;P52</f>
        <v>Яковлев Артем ИгоревичПетров Егор Викторович</v>
      </c>
      <c r="O52" t="s">
        <v>21</v>
      </c>
      <c r="P52" t="s">
        <v>117</v>
      </c>
      <c r="Q52" t="s">
        <v>451</v>
      </c>
    </row>
    <row r="53">
      <c r="D53" t="s">
        <v>47</v>
      </c>
      <c r="E53" t="s">
        <v>192</v>
      </c>
      <c r="F53" t="str">
        <f>VLOOKUP(D53&amp;E53,J:M,4,0)</f>
        <v>2024-08-12</v>
      </c>
      <c r="G53" t="str">
        <f>VLOOKUP(D53&amp;E53,N:Q,4,0)</f>
        <v>2024-08-12</v>
      </c>
      <c r="H53">
        <f>G53-F53</f>
        <v>0</v>
      </c>
      <c r="J53" t="str">
        <f>K53&amp;L53</f>
        <v>Кузнецов Дмитрий ЛьвовичСтепанов Георгий Иванович</v>
      </c>
      <c r="K53" t="s">
        <v>8</v>
      </c>
      <c r="L53" t="s">
        <v>44</v>
      </c>
      <c r="M53" t="s">
        <v>72</v>
      </c>
      <c r="N53" t="str">
        <f>O53&amp;P53</f>
        <v>Новикова Ольга ПетровнаЕгоров Андрей Дмитриевич</v>
      </c>
      <c r="O53" t="s">
        <v>17</v>
      </c>
      <c r="P53" t="s">
        <v>272</v>
      </c>
      <c r="Q53" t="s">
        <v>451</v>
      </c>
    </row>
    <row r="54">
      <c r="D54" t="s">
        <v>47</v>
      </c>
      <c r="E54" t="s">
        <v>69</v>
      </c>
      <c r="F54" t="str">
        <f>VLOOKUP(D54&amp;E54,J:M,4,0)</f>
        <v>2024-07-01</v>
      </c>
      <c r="G54" t="str">
        <f>VLOOKUP(D54&amp;E54,N:Q,4,0)</f>
        <v>2024-07-01</v>
      </c>
      <c r="H54">
        <f>G54-F54</f>
        <v>0</v>
      </c>
      <c r="J54" t="str">
        <f>K54&amp;L54</f>
        <v>Фролов Сергей ВикторовичНиколаева Елена Геннадьевна</v>
      </c>
      <c r="K54" t="s">
        <v>5</v>
      </c>
      <c r="L54" t="s">
        <v>73</v>
      </c>
      <c r="M54" t="s">
        <v>74</v>
      </c>
      <c r="N54" t="str">
        <f>O54&amp;P54</f>
        <v>Фролов Сергей ВикторовичВасильев Александр Павлович</v>
      </c>
      <c r="O54" t="s">
        <v>5</v>
      </c>
      <c r="P54" t="s">
        <v>291</v>
      </c>
      <c r="Q54" t="s">
        <v>451</v>
      </c>
    </row>
    <row r="55">
      <c r="D55" t="s">
        <v>47</v>
      </c>
      <c r="E55" t="s">
        <v>288</v>
      </c>
      <c r="F55" t="str">
        <f>VLOOKUP(D55&amp;E55,J:M,4,0)</f>
        <v>2024-01-22</v>
      </c>
      <c r="G55" t="str">
        <f>VLOOKUP(D55&amp;E55,N:Q,4,0)</f>
        <v>2024-03-04</v>
      </c>
      <c r="H55">
        <f>G55-F55</f>
        <v>42</v>
      </c>
      <c r="J55" t="str">
        <f>K55&amp;L55</f>
        <v>Ткаченко Андрей ОлеговичЛебедев Дмитрий Олегович</v>
      </c>
      <c r="K55" t="s">
        <v>24</v>
      </c>
      <c r="L55" t="s">
        <v>75</v>
      </c>
      <c r="M55" t="s">
        <v>76</v>
      </c>
      <c r="N55" t="str">
        <f>O55&amp;P55</f>
        <v>Белов Алексей КонстантиновичПопова Полина Романовна</v>
      </c>
      <c r="O55" t="s">
        <v>47</v>
      </c>
      <c r="P55" t="s">
        <v>192</v>
      </c>
      <c r="Q55" t="s">
        <v>451</v>
      </c>
    </row>
    <row r="56">
      <c r="D56" t="s">
        <v>47</v>
      </c>
      <c r="E56" t="s">
        <v>102</v>
      </c>
      <c r="F56" t="str">
        <f>VLOOKUP(D56&amp;E56,J:M,4,0)</f>
        <v>2023-10-10</v>
      </c>
      <c r="G56" t="str">
        <f>VLOOKUP(D56&amp;E56,N:Q,4,0)</f>
        <v>2023-10-10</v>
      </c>
      <c r="H56">
        <f>G56-F56</f>
        <v>0</v>
      </c>
      <c r="J56" t="str">
        <f>K56&amp;L56</f>
        <v>Сидорова Елена ВасильевнаПавлова Виктория Викторовна</v>
      </c>
      <c r="K56" t="s">
        <v>15</v>
      </c>
      <c r="L56" t="s">
        <v>77</v>
      </c>
      <c r="M56" t="s">
        <v>76</v>
      </c>
      <c r="N56" t="str">
        <f>O56&amp;P56</f>
        <v>Громова Мария ИльиничнаПетров Михаил Егорович</v>
      </c>
      <c r="O56" t="s">
        <v>13</v>
      </c>
      <c r="P56" t="s">
        <v>149</v>
      </c>
      <c r="Q56" t="s">
        <v>451</v>
      </c>
    </row>
    <row r="57">
      <c r="D57" t="s">
        <v>47</v>
      </c>
      <c r="E57" t="s">
        <v>128</v>
      </c>
      <c r="F57" t="str">
        <f>VLOOKUP(D57&amp;E57,J:M,4,0)</f>
        <v>2023-12-11</v>
      </c>
      <c r="G57" t="str">
        <f>VLOOKUP(D57&amp;E57,N:Q,4,0)</f>
        <v>2023-12-11</v>
      </c>
      <c r="H57">
        <f>G57-F57</f>
        <v>0</v>
      </c>
      <c r="J57" t="str">
        <f>K57&amp;L57</f>
        <v>Семенова Ирина ВалерьевнаПавлова Дарья Андреевна</v>
      </c>
      <c r="K57" t="s">
        <v>57</v>
      </c>
      <c r="L57" t="s">
        <v>78</v>
      </c>
      <c r="M57" t="s">
        <v>76</v>
      </c>
      <c r="N57" t="str">
        <f>O57&amp;P57</f>
        <v>Новикова Ольга ПетровнаИванов Матвей Юрьевич</v>
      </c>
      <c r="O57" t="s">
        <v>17</v>
      </c>
      <c r="P57" t="s">
        <v>16</v>
      </c>
      <c r="Q57" t="s">
        <v>450</v>
      </c>
    </row>
    <row r="58">
      <c r="D58" t="s">
        <v>47</v>
      </c>
      <c r="E58" t="s">
        <v>171</v>
      </c>
      <c r="F58" t="str">
        <f>VLOOKUP(D58&amp;E58,J:M,4,0)</f>
        <v>2024-04-15</v>
      </c>
      <c r="G58" t="str">
        <f>VLOOKUP(D58&amp;E58,N:Q,4,0)</f>
        <v>2024-04-15</v>
      </c>
      <c r="H58">
        <f>G58-F58</f>
        <v>0</v>
      </c>
      <c r="J58" t="str">
        <f>K58&amp;L58</f>
        <v>Громова Мария ИльиничнаВолков Константин Дмитриевич</v>
      </c>
      <c r="K58" t="s">
        <v>13</v>
      </c>
      <c r="L58" t="s">
        <v>79</v>
      </c>
      <c r="M58" t="s">
        <v>76</v>
      </c>
      <c r="N58" t="str">
        <f>O58&amp;P58</f>
        <v>Новикова Ольга ПетровнаНовиков Дмитрий Иванович</v>
      </c>
      <c r="O58" t="s">
        <v>17</v>
      </c>
      <c r="P58" t="s">
        <v>184</v>
      </c>
      <c r="Q58" t="s">
        <v>450</v>
      </c>
    </row>
    <row r="59">
      <c r="D59" t="s">
        <v>47</v>
      </c>
      <c r="E59" t="s">
        <v>63</v>
      </c>
      <c r="F59" t="str">
        <f>VLOOKUP(D59&amp;E59,J:M,4,0)</f>
        <v>2024-06-03</v>
      </c>
      <c r="G59" t="str">
        <f>VLOOKUP(D59&amp;E59,N:Q,4,0)</f>
        <v>2024-07-18</v>
      </c>
      <c r="H59">
        <f>G59-F59</f>
        <v>45</v>
      </c>
      <c r="J59" t="str">
        <f>K59&amp;L59</f>
        <v>Орлов Павел ДенисовичИванов Павел Павлович</v>
      </c>
      <c r="K59" t="s">
        <v>43</v>
      </c>
      <c r="L59" t="s">
        <v>80</v>
      </c>
      <c r="M59" t="s">
        <v>76</v>
      </c>
      <c r="N59" t="str">
        <f>O59&amp;P59</f>
        <v>Яковлев Артем ИгоревичПопова Светлана Дмитриевна</v>
      </c>
      <c r="O59" t="s">
        <v>21</v>
      </c>
      <c r="P59" t="s">
        <v>69</v>
      </c>
      <c r="Q59" t="s">
        <v>450</v>
      </c>
    </row>
    <row r="60">
      <c r="D60" t="s">
        <v>47</v>
      </c>
      <c r="E60" t="s">
        <v>212</v>
      </c>
      <c r="F60" t="str">
        <f>VLOOKUP(D60&amp;E60,J:M,4,0)</f>
        <v>2024-06-14</v>
      </c>
      <c r="G60" t="str">
        <f>VLOOKUP(D60&amp;E60,N:Q,4,0)</f>
        <v>2024-06-14</v>
      </c>
      <c r="H60">
        <f>G60-F60</f>
        <v>0</v>
      </c>
      <c r="J60" t="str">
        <f>K60&amp;L60</f>
        <v>Громова Мария ИльиничнаВасильев Алексей Андреевич</v>
      </c>
      <c r="K60" t="s">
        <v>13</v>
      </c>
      <c r="L60" t="s">
        <v>81</v>
      </c>
      <c r="M60" t="s">
        <v>76</v>
      </c>
      <c r="N60" t="str">
        <f>O60&amp;P60</f>
        <v>Семенова Ирина ВалерьевнаЕгоров Андрей Дмитриевич</v>
      </c>
      <c r="O60" t="s">
        <v>57</v>
      </c>
      <c r="P60" t="s">
        <v>272</v>
      </c>
      <c r="Q60" t="s">
        <v>449</v>
      </c>
    </row>
    <row r="61">
      <c r="D61" t="s">
        <v>47</v>
      </c>
      <c r="E61" t="s">
        <v>60</v>
      </c>
      <c r="F61" t="str">
        <f>VLOOKUP(D61&amp;E61,J:M,4,0)</f>
        <v>2024-08-14</v>
      </c>
      <c r="G61" t="str">
        <f>VLOOKUP(D61&amp;E61,N:Q,4,0)</f>
        <v>2024-08-14</v>
      </c>
      <c r="H61">
        <f>G61-F61</f>
        <v>0</v>
      </c>
      <c r="J61" t="str">
        <f>K61&amp;L61</f>
        <v>Фролов Сергей ВикторовичВолкова Дарья Юрьевна</v>
      </c>
      <c r="K61" t="s">
        <v>5</v>
      </c>
      <c r="L61" t="s">
        <v>82</v>
      </c>
      <c r="M61" t="s">
        <v>76</v>
      </c>
      <c r="N61" t="str">
        <f>O61&amp;P61</f>
        <v>Петров Владимир КирилловичФедорова Екатерина Михайловна</v>
      </c>
      <c r="O61" t="s">
        <v>28</v>
      </c>
      <c r="P61" t="s">
        <v>204</v>
      </c>
      <c r="Q61" t="s">
        <v>449</v>
      </c>
    </row>
    <row r="62">
      <c r="D62" t="s">
        <v>47</v>
      </c>
      <c r="E62" t="s">
        <v>144</v>
      </c>
      <c r="F62" t="str">
        <f>VLOOKUP(D62&amp;E62,J:M,4,0)</f>
        <v>2024-03-04</v>
      </c>
      <c r="G62" t="str">
        <f>VLOOKUP(D62&amp;E62,N:Q,4,0)</f>
        <v>2024-03-04</v>
      </c>
      <c r="H62">
        <f>G62-F62</f>
        <v>0</v>
      </c>
      <c r="J62" t="str">
        <f>K62&amp;L62</f>
        <v>Новикова Ольга ПетровнаЕгорова Ольга Юрьевна</v>
      </c>
      <c r="K62" t="s">
        <v>17</v>
      </c>
      <c r="L62" t="s">
        <v>83</v>
      </c>
      <c r="M62" t="s">
        <v>84</v>
      </c>
      <c r="N62" t="str">
        <f>O62&amp;P62</f>
        <v>Яковлев Артем ИгоревичПавлов Андрей Викторович</v>
      </c>
      <c r="O62" t="s">
        <v>21</v>
      </c>
      <c r="P62" t="s">
        <v>131</v>
      </c>
      <c r="Q62" t="s">
        <v>449</v>
      </c>
    </row>
    <row r="63">
      <c r="D63" t="s">
        <v>47</v>
      </c>
      <c r="E63" t="s">
        <v>99</v>
      </c>
      <c r="F63" t="str">
        <f>VLOOKUP(D63&amp;E63,J:M,4,0)</f>
        <v>2024-08-15</v>
      </c>
      <c r="G63" t="str">
        <f>VLOOKUP(D63&amp;E63,N:Q,4,0)</f>
        <v>2024-08-15</v>
      </c>
      <c r="H63">
        <f>G63-F63</f>
        <v>0</v>
      </c>
      <c r="J63" t="str">
        <f>K63&amp;L63</f>
        <v>Орлов Павел ДенисовичОрлова Анна Владимировна</v>
      </c>
      <c r="K63" t="s">
        <v>43</v>
      </c>
      <c r="L63" t="s">
        <v>6</v>
      </c>
      <c r="M63" t="s">
        <v>84</v>
      </c>
      <c r="N63" t="str">
        <f>O63&amp;P63</f>
        <v>Громова Мария ИльиничнаОрлова Дарья Владимировна</v>
      </c>
      <c r="O63" t="s">
        <v>13</v>
      </c>
      <c r="P63" t="s">
        <v>87</v>
      </c>
      <c r="Q63" t="s">
        <v>449</v>
      </c>
    </row>
    <row r="64">
      <c r="D64" t="s">
        <v>47</v>
      </c>
      <c r="E64" t="s">
        <v>45</v>
      </c>
      <c r="F64" t="str">
        <f>VLOOKUP(D64&amp;E64,J:M,4,0)</f>
        <v>2024-01-09</v>
      </c>
      <c r="G64" t="str">
        <f>VLOOKUP(D64&amp;E64,N:Q,4,0)</f>
        <v>2024-03-29</v>
      </c>
      <c r="H64">
        <f>G64-F64</f>
        <v>80</v>
      </c>
      <c r="J64" t="str">
        <f>K64&amp;L64</f>
        <v>Яковлев Артем ИгоревичСтепанов Алексей Михайлович</v>
      </c>
      <c r="K64" t="s">
        <v>21</v>
      </c>
      <c r="L64" t="s">
        <v>60</v>
      </c>
      <c r="M64" t="s">
        <v>84</v>
      </c>
      <c r="N64" t="str">
        <f>O64&amp;P64</f>
        <v>Иванова Анна СергеевнаФедоров Георгий Егорович</v>
      </c>
      <c r="O64" t="s">
        <v>11</v>
      </c>
      <c r="P64" t="s">
        <v>370</v>
      </c>
      <c r="Q64" t="s">
        <v>449</v>
      </c>
    </row>
    <row r="65">
      <c r="D65" t="s">
        <v>47</v>
      </c>
      <c r="E65" t="s">
        <v>370</v>
      </c>
      <c r="F65" t="str">
        <f>VLOOKUP(D65&amp;E65,J:M,4,0)</f>
        <v>2024-04-22</v>
      </c>
      <c r="G65" t="str">
        <f>VLOOKUP(D65&amp;E65,N:Q,4,0)</f>
        <v>2024-04-22</v>
      </c>
      <c r="H65">
        <f>G65-F65</f>
        <v>0</v>
      </c>
      <c r="J65" t="str">
        <f>K65&amp;L65</f>
        <v>Новикова Ольга ПетровнаКузнецова Ольга Геннадьевна</v>
      </c>
      <c r="K65" t="s">
        <v>17</v>
      </c>
      <c r="L65" t="s">
        <v>61</v>
      </c>
      <c r="M65" t="s">
        <v>84</v>
      </c>
      <c r="N65" t="str">
        <f>O65&amp;P65</f>
        <v>Новикова Ольга ПетровнаКузнецова Вероника Геннадьевна</v>
      </c>
      <c r="O65" t="s">
        <v>17</v>
      </c>
      <c r="P65" t="s">
        <v>278</v>
      </c>
      <c r="Q65" t="s">
        <v>448</v>
      </c>
    </row>
    <row r="66">
      <c r="D66" t="s">
        <v>47</v>
      </c>
      <c r="E66" t="s">
        <v>363</v>
      </c>
      <c r="F66" t="str">
        <f>VLOOKUP(D66&amp;E66,J:M,4,0)</f>
        <v>2024-04-15</v>
      </c>
      <c r="G66" t="str">
        <f>VLOOKUP(D66&amp;E66,N:Q,4,0)</f>
        <v>2024-04-15</v>
      </c>
      <c r="H66">
        <f>G66-F66</f>
        <v>0</v>
      </c>
      <c r="J66" t="str">
        <f>K66&amp;L66</f>
        <v>Кузнецов Дмитрий ЛьвовичЕгорова Валерия Сергеевна</v>
      </c>
      <c r="K66" t="s">
        <v>8</v>
      </c>
      <c r="L66" t="s">
        <v>85</v>
      </c>
      <c r="M66" t="s">
        <v>84</v>
      </c>
      <c r="N66" t="str">
        <f>O66&amp;P66</f>
        <v>Яковлев Артем ИгоревичНиколаева Дарья Юрьевна</v>
      </c>
      <c r="O66" t="s">
        <v>21</v>
      </c>
      <c r="P66" t="s">
        <v>227</v>
      </c>
      <c r="Q66" t="s">
        <v>448</v>
      </c>
    </row>
    <row r="67">
      <c r="D67" t="s">
        <v>47</v>
      </c>
      <c r="E67" t="s">
        <v>215</v>
      </c>
      <c r="F67" t="str">
        <f>VLOOKUP(D67&amp;E67,J:M,4,0)</f>
        <v>2023-12-21</v>
      </c>
      <c r="G67" t="str">
        <f>VLOOKUP(D67&amp;E67,N:Q,4,0)</f>
        <v>2023-12-21</v>
      </c>
      <c r="H67">
        <f>G67-F67</f>
        <v>0</v>
      </c>
      <c r="J67" t="str">
        <f>K67&amp;L67</f>
        <v>Кузнецов Дмитрий ЛьвовичЕгоров Никита Станиславович</v>
      </c>
      <c r="K67" t="s">
        <v>8</v>
      </c>
      <c r="L67" t="s">
        <v>49</v>
      </c>
      <c r="M67" t="s">
        <v>86</v>
      </c>
      <c r="N67" t="str">
        <f>O67&amp;P67</f>
        <v>Кузнецов Дмитрий ЛьвовичОрлова Дарья Сергеевна</v>
      </c>
      <c r="O67" t="s">
        <v>8</v>
      </c>
      <c r="P67" t="s">
        <v>97</v>
      </c>
      <c r="Q67" t="s">
        <v>448</v>
      </c>
    </row>
    <row r="68">
      <c r="D68" t="s">
        <v>13</v>
      </c>
      <c r="E68" t="s">
        <v>70</v>
      </c>
      <c r="F68" t="str">
        <f>VLOOKUP(D68&amp;E68,J:M,4,0)</f>
        <v>2024-01-04</v>
      </c>
      <c r="G68" t="str">
        <f>VLOOKUP(D68&amp;E68,N:Q,4,0)</f>
        <v>2024-01-04</v>
      </c>
      <c r="H68">
        <f>G68-F68</f>
        <v>0</v>
      </c>
      <c r="J68" t="str">
        <f>K68&amp;L68</f>
        <v>Семенова Ирина ВалерьевнаПавлов Кирилл Иванович</v>
      </c>
      <c r="K68" t="s">
        <v>57</v>
      </c>
      <c r="L68" t="s">
        <v>25</v>
      </c>
      <c r="M68" t="s">
        <v>86</v>
      </c>
      <c r="N68" t="str">
        <f>O68&amp;P68</f>
        <v>Громова Мария ИльиничнаФедорова Мария Ивановна</v>
      </c>
      <c r="O68" t="s">
        <v>13</v>
      </c>
      <c r="P68" t="s">
        <v>344</v>
      </c>
      <c r="Q68" t="s">
        <v>448</v>
      </c>
    </row>
    <row r="69">
      <c r="D69" t="s">
        <v>13</v>
      </c>
      <c r="E69" t="s">
        <v>189</v>
      </c>
      <c r="F69" t="str">
        <f>VLOOKUP(D69&amp;E69,J:M,4,0)</f>
        <v>2024-02-23</v>
      </c>
      <c r="G69" t="str">
        <f>VLOOKUP(D69&amp;E69,N:Q,4,0)</f>
        <v>2024-02-23</v>
      </c>
      <c r="H69">
        <f>G69-F69</f>
        <v>0</v>
      </c>
      <c r="J69" t="str">
        <f>K69&amp;L69</f>
        <v>Громова Мария ИльиничнаОрлова Дарья Владимировна</v>
      </c>
      <c r="K69" t="s">
        <v>13</v>
      </c>
      <c r="L69" t="s">
        <v>87</v>
      </c>
      <c r="M69" t="s">
        <v>88</v>
      </c>
      <c r="N69" t="str">
        <f>O69&amp;P69</f>
        <v>Ткаченко Андрей ОлеговичСтепанов Егор Геннадьевич</v>
      </c>
      <c r="O69" t="s">
        <v>24</v>
      </c>
      <c r="P69" t="s">
        <v>302</v>
      </c>
      <c r="Q69" t="s">
        <v>447</v>
      </c>
    </row>
    <row r="70">
      <c r="D70" t="s">
        <v>13</v>
      </c>
      <c r="E70" t="s">
        <v>42</v>
      </c>
      <c r="F70" t="str">
        <f>VLOOKUP(D70&amp;E70,J:M,4,0)</f>
        <v>2023-09-11</v>
      </c>
      <c r="G70" t="str">
        <f>VLOOKUP(D70&amp;E70,N:Q,4,0)</f>
        <v>2023-09-11</v>
      </c>
      <c r="H70">
        <f>G70-F70</f>
        <v>0</v>
      </c>
      <c r="J70" t="str">
        <f>K70&amp;L70</f>
        <v>Семенова Ирина ВалерьевнаПетров Сергей Александрович</v>
      </c>
      <c r="K70" t="s">
        <v>57</v>
      </c>
      <c r="L70" t="s">
        <v>89</v>
      </c>
      <c r="M70" t="s">
        <v>88</v>
      </c>
      <c r="N70" t="str">
        <f>O70&amp;P70</f>
        <v>Орлов Павел ДенисовичПопова Дарья Сергеевна</v>
      </c>
      <c r="O70" t="s">
        <v>43</v>
      </c>
      <c r="P70" t="s">
        <v>206</v>
      </c>
      <c r="Q70" t="s">
        <v>447</v>
      </c>
    </row>
    <row r="71">
      <c r="D71" t="s">
        <v>13</v>
      </c>
      <c r="E71" t="s">
        <v>291</v>
      </c>
      <c r="F71" t="str">
        <f>VLOOKUP(D71&amp;E71,J:M,4,0)</f>
        <v>2024-05-16</v>
      </c>
      <c r="G71" t="str">
        <f>VLOOKUP(D71&amp;E71,N:Q,4,0)</f>
        <v>2024-05-16</v>
      </c>
      <c r="H71">
        <f>G71-F71</f>
        <v>0</v>
      </c>
      <c r="J71" t="str">
        <f>K71&amp;L71</f>
        <v>Ткаченко Андрей ОлеговичМорозова Вероника Олеговна</v>
      </c>
      <c r="K71" t="s">
        <v>24</v>
      </c>
      <c r="L71" t="s">
        <v>68</v>
      </c>
      <c r="M71" t="s">
        <v>90</v>
      </c>
      <c r="N71" t="str">
        <f>O71&amp;P71</f>
        <v>Семенова Ирина ВалерьевнаКозлова София Олеговна</v>
      </c>
      <c r="O71" t="s">
        <v>57</v>
      </c>
      <c r="P71" t="s">
        <v>185</v>
      </c>
      <c r="Q71" t="s">
        <v>447</v>
      </c>
    </row>
    <row r="72">
      <c r="D72" t="s">
        <v>13</v>
      </c>
      <c r="E72" t="s">
        <v>81</v>
      </c>
      <c r="F72" t="str">
        <f>VLOOKUP(D72&amp;E72,J:M,4,0)</f>
        <v>2023-09-25</v>
      </c>
      <c r="G72" t="str">
        <f>VLOOKUP(D72&amp;E72,N:Q,4,0)</f>
        <v>2023-09-25</v>
      </c>
      <c r="H72">
        <f>G72-F72</f>
        <v>0</v>
      </c>
      <c r="J72" t="str">
        <f>K72&amp;L72</f>
        <v>Ткаченко Андрей ОлеговичНиколаев Георгий Ильич</v>
      </c>
      <c r="K72" t="s">
        <v>24</v>
      </c>
      <c r="L72" t="s">
        <v>91</v>
      </c>
      <c r="M72" t="s">
        <v>90</v>
      </c>
      <c r="N72" t="str">
        <f>O72&amp;P72</f>
        <v>Фролов Сергей ВикторовичКозлова Полина Викторовна</v>
      </c>
      <c r="O72" t="s">
        <v>5</v>
      </c>
      <c r="P72" t="s">
        <v>217</v>
      </c>
      <c r="Q72" t="s">
        <v>447</v>
      </c>
    </row>
    <row r="73">
      <c r="D73" t="s">
        <v>13</v>
      </c>
      <c r="E73" t="s">
        <v>284</v>
      </c>
      <c r="F73" t="str">
        <f>VLOOKUP(D73&amp;E73,J:M,4,0)</f>
        <v>2024-02-01</v>
      </c>
      <c r="G73" t="str">
        <f>VLOOKUP(D73&amp;E73,N:Q,4,0)</f>
        <v>2024-05-20</v>
      </c>
      <c r="H73">
        <f>G73-F73</f>
        <v>109</v>
      </c>
      <c r="J73" t="str">
        <f>K73&amp;L73</f>
        <v>Новикова Ольга ПетровнаКузнецова Екатерина Александровна</v>
      </c>
      <c r="K73" t="s">
        <v>17</v>
      </c>
      <c r="L73" t="s">
        <v>92</v>
      </c>
      <c r="M73" t="s">
        <v>90</v>
      </c>
      <c r="N73" t="str">
        <f>O73&amp;P73</f>
        <v>Петров Владимир КирилловичИванов Павел Сергеевич</v>
      </c>
      <c r="O73" t="s">
        <v>28</v>
      </c>
      <c r="P73" t="s">
        <v>103</v>
      </c>
      <c r="Q73" t="s">
        <v>447</v>
      </c>
    </row>
    <row r="74">
      <c r="D74" t="s">
        <v>13</v>
      </c>
      <c r="E74" t="s">
        <v>231</v>
      </c>
      <c r="F74" t="str">
        <f>VLOOKUP(D74&amp;E74,J:M,4,0)</f>
        <v>2024-06-05</v>
      </c>
      <c r="G74" t="str">
        <f>VLOOKUP(D74&amp;E74,N:Q,4,0)</f>
        <v>2024-06-05</v>
      </c>
      <c r="H74">
        <f>G74-F74</f>
        <v>0</v>
      </c>
      <c r="J74" t="str">
        <f>K74&amp;L74</f>
        <v>Петров Владимир КирилловичСтепанова Юлия Владимировна</v>
      </c>
      <c r="K74" t="s">
        <v>28</v>
      </c>
      <c r="L74" t="s">
        <v>93</v>
      </c>
      <c r="M74" t="s">
        <v>94</v>
      </c>
      <c r="N74" t="str">
        <f>O74&amp;P74</f>
        <v>Семенова Ирина ВалерьевнаКозлов Дмитрий Сергеевич</v>
      </c>
      <c r="O74" t="s">
        <v>57</v>
      </c>
      <c r="P74" t="s">
        <v>222</v>
      </c>
      <c r="Q74" t="s">
        <v>446</v>
      </c>
    </row>
    <row r="75">
      <c r="D75" t="s">
        <v>13</v>
      </c>
      <c r="E75" t="s">
        <v>256</v>
      </c>
      <c r="F75" t="str">
        <f>VLOOKUP(D75&amp;E75,J:M,4,0)</f>
        <v>2024-02-14</v>
      </c>
      <c r="G75" t="str">
        <f>VLOOKUP(D75&amp;E75,N:Q,4,0)</f>
        <v>2024-02-14</v>
      </c>
      <c r="H75">
        <f>G75-F75</f>
        <v>0</v>
      </c>
      <c r="J75" t="str">
        <f>K75&amp;L75</f>
        <v>Иванова Анна СергеевнаВолкова Мария Ильинична</v>
      </c>
      <c r="K75" t="s">
        <v>11</v>
      </c>
      <c r="L75" t="s">
        <v>95</v>
      </c>
      <c r="M75" t="s">
        <v>94</v>
      </c>
      <c r="N75" t="str">
        <f>O75&amp;P75</f>
        <v>Кузнецов Дмитрий ЛьвовичЛебедев Дмитрий Олегович</v>
      </c>
      <c r="O75" t="s">
        <v>8</v>
      </c>
      <c r="P75" t="s">
        <v>75</v>
      </c>
      <c r="Q75" t="s">
        <v>446</v>
      </c>
    </row>
    <row r="76">
      <c r="D76" t="s">
        <v>13</v>
      </c>
      <c r="E76" t="s">
        <v>79</v>
      </c>
      <c r="F76" t="str">
        <f>VLOOKUP(D76&amp;E76,J:M,4,0)</f>
        <v>2023-09-25</v>
      </c>
      <c r="G76" t="str">
        <f>VLOOKUP(D76&amp;E76,N:Q,4,0)</f>
        <v>2023-09-25</v>
      </c>
      <c r="H76">
        <f>G76-F76</f>
        <v>0</v>
      </c>
      <c r="J76" t="str">
        <f>K76&amp;L76</f>
        <v>Яковлев Артем ИгоревичАлексеева Екатерина Павловна</v>
      </c>
      <c r="K76" t="s">
        <v>21</v>
      </c>
      <c r="L76" t="s">
        <v>96</v>
      </c>
      <c r="M76" t="s">
        <v>94</v>
      </c>
      <c r="N76" t="str">
        <f>O76&amp;P76</f>
        <v>Яковлев Артем ИгоревичКузнецова Виктория Ивановна</v>
      </c>
      <c r="O76" t="s">
        <v>21</v>
      </c>
      <c r="P76" t="s">
        <v>287</v>
      </c>
      <c r="Q76" t="s">
        <v>446</v>
      </c>
    </row>
    <row r="77">
      <c r="D77" t="s">
        <v>13</v>
      </c>
      <c r="E77" t="s">
        <v>321</v>
      </c>
      <c r="F77" t="str">
        <f>VLOOKUP(D77&amp;E77,J:M,4,0)</f>
        <v>2024-03-20</v>
      </c>
      <c r="G77" t="str">
        <f>VLOOKUP(D77&amp;E77,N:Q,4,0)</f>
        <v>2024-03-20</v>
      </c>
      <c r="H77">
        <f>G77-F77</f>
        <v>0</v>
      </c>
      <c r="J77" t="str">
        <f>K77&amp;L77</f>
        <v>Иванова Анна СергеевнаОрлова Дарья Сергеевна</v>
      </c>
      <c r="K77" t="s">
        <v>11</v>
      </c>
      <c r="L77" t="s">
        <v>97</v>
      </c>
      <c r="M77" t="s">
        <v>94</v>
      </c>
      <c r="N77" t="str">
        <f>O77&amp;P77</f>
        <v>Сидорова Елена ВасильевнаПавлова Елена Викторовна</v>
      </c>
      <c r="O77" t="s">
        <v>15</v>
      </c>
      <c r="P77" t="s">
        <v>305</v>
      </c>
      <c r="Q77" t="s">
        <v>446</v>
      </c>
    </row>
    <row r="78">
      <c r="D78" t="s">
        <v>13</v>
      </c>
      <c r="E78" t="s">
        <v>223</v>
      </c>
      <c r="F78" t="str">
        <f>VLOOKUP(D78&amp;E78,J:M,4,0)</f>
        <v>2023-12-05</v>
      </c>
      <c r="G78" t="str">
        <f>VLOOKUP(D78&amp;E78,N:Q,4,0)</f>
        <v>2023-12-05</v>
      </c>
      <c r="H78">
        <f>G78-F78</f>
        <v>0</v>
      </c>
      <c r="J78" t="str">
        <f>K78&amp;L78</f>
        <v>Семенова Ирина ВалерьевнаКозлов Артур Андреевич</v>
      </c>
      <c r="K78" t="s">
        <v>57</v>
      </c>
      <c r="L78" t="s">
        <v>98</v>
      </c>
      <c r="M78" t="s">
        <v>94</v>
      </c>
      <c r="N78" t="str">
        <f>O78&amp;P78</f>
        <v>Иванова Анна СергеевнаМорозова Вероника Олеговна</v>
      </c>
      <c r="O78" t="s">
        <v>11</v>
      </c>
      <c r="P78" t="s">
        <v>68</v>
      </c>
      <c r="Q78" t="s">
        <v>446</v>
      </c>
    </row>
    <row r="79">
      <c r="D79" t="s">
        <v>13</v>
      </c>
      <c r="E79" t="s">
        <v>161</v>
      </c>
      <c r="F79" t="str">
        <f>VLOOKUP(D79&amp;E79,J:M,4,0)</f>
        <v>2023-10-30</v>
      </c>
      <c r="G79" t="str">
        <f>VLOOKUP(D79&amp;E79,N:Q,4,0)</f>
        <v>2024-04-23</v>
      </c>
      <c r="H79">
        <f>G79-F79</f>
        <v>176</v>
      </c>
      <c r="J79" t="str">
        <f>K79&amp;L79</f>
        <v>Ткаченко Андрей ОлеговичСтепанова Валерия Романовна</v>
      </c>
      <c r="K79" t="s">
        <v>24</v>
      </c>
      <c r="L79" t="s">
        <v>99</v>
      </c>
      <c r="M79" t="s">
        <v>94</v>
      </c>
      <c r="N79" t="str">
        <f>O79&amp;P79</f>
        <v>Ткаченко Андрей ОлеговичНиколаева Екатерина Никитична</v>
      </c>
      <c r="O79" t="s">
        <v>24</v>
      </c>
      <c r="P79" t="s">
        <v>270</v>
      </c>
      <c r="Q79" t="s">
        <v>446</v>
      </c>
    </row>
    <row r="80">
      <c r="D80" t="s">
        <v>13</v>
      </c>
      <c r="E80" t="s">
        <v>49</v>
      </c>
      <c r="F80" t="str">
        <f>VLOOKUP(D80&amp;E80,J:M,4,0)</f>
        <v>2024-04-15</v>
      </c>
      <c r="G80" t="str">
        <f>VLOOKUP(D80&amp;E80,N:Q,4,0)</f>
        <v>2024-04-15</v>
      </c>
      <c r="H80">
        <f>G80-F80</f>
        <v>0</v>
      </c>
      <c r="J80" t="str">
        <f>K80&amp;L80</f>
        <v>Ткаченко Андрей ОлеговичПетров Артем Иванович</v>
      </c>
      <c r="K80" t="s">
        <v>24</v>
      </c>
      <c r="L80" t="s">
        <v>100</v>
      </c>
      <c r="M80" t="s">
        <v>94</v>
      </c>
      <c r="N80" t="str">
        <f>O80&amp;P80</f>
        <v>Громова Мария ИльиничнаКузнецова Дарья Ильинична</v>
      </c>
      <c r="O80" t="s">
        <v>13</v>
      </c>
      <c r="P80" t="s">
        <v>214</v>
      </c>
      <c r="Q80" t="s">
        <v>446</v>
      </c>
    </row>
    <row r="81">
      <c r="D81" t="s">
        <v>13</v>
      </c>
      <c r="E81" t="s">
        <v>12</v>
      </c>
      <c r="F81" t="str">
        <f>VLOOKUP(D81&amp;E81,J:M,4,0)</f>
        <v>2023-10-09</v>
      </c>
      <c r="G81" t="str">
        <f>VLOOKUP(D81&amp;E81,N:Q,4,0)</f>
        <v>2023-10-09</v>
      </c>
      <c r="H81">
        <f>G81-F81</f>
        <v>0</v>
      </c>
      <c r="J81" t="str">
        <f>K81&amp;L81</f>
        <v>Яковлев Артем ИгоревичПавлова Анна Ивановна</v>
      </c>
      <c r="K81" t="s">
        <v>21</v>
      </c>
      <c r="L81" t="s">
        <v>101</v>
      </c>
      <c r="M81" t="s">
        <v>94</v>
      </c>
      <c r="N81" t="str">
        <f>O81&amp;P81</f>
        <v>Кузнецов Дмитрий ЛьвовичКозлов Дмитрий Сергеевич</v>
      </c>
      <c r="O81" t="s">
        <v>8</v>
      </c>
      <c r="P81" t="s">
        <v>222</v>
      </c>
      <c r="Q81" t="s">
        <v>446</v>
      </c>
    </row>
    <row r="82">
      <c r="D82" t="s">
        <v>13</v>
      </c>
      <c r="E82" t="s">
        <v>240</v>
      </c>
      <c r="F82" t="str">
        <f>VLOOKUP(D82&amp;E82,J:M,4,0)</f>
        <v>2024-08-13</v>
      </c>
      <c r="G82" t="str">
        <f>VLOOKUP(D82&amp;E82,N:Q,4,0)</f>
        <v>2024-08-13</v>
      </c>
      <c r="H82">
        <f>G82-F82</f>
        <v>0</v>
      </c>
      <c r="J82" t="str">
        <f>K82&amp;L82</f>
        <v>Петров Владимир КирилловичСеменов Константин Артемович</v>
      </c>
      <c r="K82" t="s">
        <v>28</v>
      </c>
      <c r="L82" t="s">
        <v>102</v>
      </c>
      <c r="M82" t="s">
        <v>94</v>
      </c>
      <c r="N82" t="str">
        <f>O82&amp;P82</f>
        <v>Фролов Сергей ВикторовичПопова Ксения Никитична</v>
      </c>
      <c r="O82" t="s">
        <v>5</v>
      </c>
      <c r="P82" t="s">
        <v>20</v>
      </c>
      <c r="Q82" t="s">
        <v>446</v>
      </c>
    </row>
    <row r="83">
      <c r="D83" t="s">
        <v>13</v>
      </c>
      <c r="E83" t="s">
        <v>71</v>
      </c>
      <c r="F83" t="str">
        <f>VLOOKUP(D83&amp;E83,J:M,4,0)</f>
        <v>2024-03-04</v>
      </c>
      <c r="G83" t="str">
        <f>VLOOKUP(D83&amp;E83,N:Q,4,0)</f>
        <v>2024-03-04</v>
      </c>
      <c r="H83">
        <f>G83-F83</f>
        <v>0</v>
      </c>
      <c r="J83" t="str">
        <f>K83&amp;L83</f>
        <v>Фролов Сергей ВикторовичИванов Павел Сергеевич</v>
      </c>
      <c r="K83" t="s">
        <v>5</v>
      </c>
      <c r="L83" t="s">
        <v>103</v>
      </c>
      <c r="M83" t="s">
        <v>104</v>
      </c>
      <c r="N83" t="str">
        <f>O83&amp;P83</f>
        <v>Белов Алексей КонстантиновичПавлов Андрей Викторович</v>
      </c>
      <c r="O83" t="s">
        <v>47</v>
      </c>
      <c r="P83" t="s">
        <v>131</v>
      </c>
      <c r="Q83" t="s">
        <v>445</v>
      </c>
    </row>
    <row r="84">
      <c r="D84" t="s">
        <v>13</v>
      </c>
      <c r="E84" t="s">
        <v>103</v>
      </c>
      <c r="F84" t="str">
        <f>VLOOKUP(D84&amp;E84,J:M,4,0)</f>
        <v>2024-01-01</v>
      </c>
      <c r="G84" t="str">
        <f>VLOOKUP(D84&amp;E84,N:Q,4,0)</f>
        <v>2024-01-01</v>
      </c>
      <c r="H84">
        <f>G84-F84</f>
        <v>0</v>
      </c>
      <c r="J84" t="str">
        <f>K84&amp;L84</f>
        <v>Сидорова Елена ВасильевнаФедоров Максим Дмитриевич</v>
      </c>
      <c r="K84" t="s">
        <v>15</v>
      </c>
      <c r="L84" t="s">
        <v>105</v>
      </c>
      <c r="M84" t="s">
        <v>104</v>
      </c>
      <c r="N84" t="str">
        <f>O84&amp;P84</f>
        <v>Белов Алексей КонстантиновичНиколаева Ксения Викторовна</v>
      </c>
      <c r="O84" t="s">
        <v>47</v>
      </c>
      <c r="P84" t="s">
        <v>208</v>
      </c>
      <c r="Q84" t="s">
        <v>444</v>
      </c>
    </row>
    <row r="85">
      <c r="D85" t="s">
        <v>13</v>
      </c>
      <c r="E85" t="s">
        <v>121</v>
      </c>
      <c r="F85" t="str">
        <f>VLOOKUP(D85&amp;E85,J:M,4,0)</f>
        <v>2023-10-10</v>
      </c>
      <c r="G85" t="str">
        <f>VLOOKUP(D85&amp;E85,N:Q,4,0)</f>
        <v>2023-10-10</v>
      </c>
      <c r="H85">
        <f>G85-F85</f>
        <v>0</v>
      </c>
      <c r="J85" t="str">
        <f>K85&amp;L85</f>
        <v>Петров Владимир КирилловичПопов Роман Сергеевич</v>
      </c>
      <c r="K85" t="s">
        <v>28</v>
      </c>
      <c r="L85" t="s">
        <v>106</v>
      </c>
      <c r="M85" t="s">
        <v>107</v>
      </c>
      <c r="N85" t="str">
        <f>O85&amp;P85</f>
        <v>Громова Мария ИльиничнаНовикова Людмила Павловна</v>
      </c>
      <c r="O85" t="s">
        <v>13</v>
      </c>
      <c r="P85" t="s">
        <v>116</v>
      </c>
      <c r="Q85" t="s">
        <v>443</v>
      </c>
    </row>
    <row r="86">
      <c r="D86" t="s">
        <v>13</v>
      </c>
      <c r="E86" t="s">
        <v>222</v>
      </c>
      <c r="F86" t="str">
        <f>VLOOKUP(D86&amp;E86,J:M,4,0)</f>
        <v>2024-03-18</v>
      </c>
      <c r="G86" t="str">
        <f>VLOOKUP(D86&amp;E86,N:Q,4,0)</f>
        <v>2024-07-08</v>
      </c>
      <c r="H86">
        <f>G86-F86</f>
        <v>112</v>
      </c>
      <c r="J86" t="str">
        <f>K86&amp;L86</f>
        <v>Орлов Павел ДенисовичМорозова Светлана Сергеевна</v>
      </c>
      <c r="K86" t="s">
        <v>43</v>
      </c>
      <c r="L86" t="s">
        <v>108</v>
      </c>
      <c r="M86" t="s">
        <v>109</v>
      </c>
      <c r="N86" t="str">
        <f>O86&amp;P86</f>
        <v>Белов Алексей КонстантиновичАлексеев Иван Иванович</v>
      </c>
      <c r="O86" t="s">
        <v>47</v>
      </c>
      <c r="P86" t="s">
        <v>70</v>
      </c>
      <c r="Q86" t="s">
        <v>443</v>
      </c>
    </row>
    <row r="87">
      <c r="D87" t="s">
        <v>13</v>
      </c>
      <c r="E87" t="s">
        <v>162</v>
      </c>
      <c r="F87" t="str">
        <f>VLOOKUP(D87&amp;E87,J:M,4,0)</f>
        <v>2024-01-26</v>
      </c>
      <c r="G87" t="str">
        <f>VLOOKUP(D87&amp;E87,N:Q,4,0)</f>
        <v>2024-01-26</v>
      </c>
      <c r="H87">
        <f>G87-F87</f>
        <v>0</v>
      </c>
      <c r="J87" t="str">
        <f>K87&amp;L87</f>
        <v>Петров Владимир КирилловичКузнецов Алексей Иванович</v>
      </c>
      <c r="K87" t="s">
        <v>28</v>
      </c>
      <c r="L87" t="s">
        <v>110</v>
      </c>
      <c r="M87" t="s">
        <v>109</v>
      </c>
      <c r="N87" t="str">
        <f>O87&amp;P87</f>
        <v>Громова Мария ИльиничнаФедорова Анна Михайловна</v>
      </c>
      <c r="O87" t="s">
        <v>13</v>
      </c>
      <c r="P87" t="s">
        <v>157</v>
      </c>
      <c r="Q87" t="s">
        <v>443</v>
      </c>
    </row>
    <row r="88">
      <c r="D88" t="s">
        <v>13</v>
      </c>
      <c r="E88" t="s">
        <v>175</v>
      </c>
      <c r="F88" t="str">
        <f>VLOOKUP(D88&amp;E88,J:M,4,0)</f>
        <v>2023-11-27</v>
      </c>
      <c r="G88" t="str">
        <f>VLOOKUP(D88&amp;E88,N:Q,4,0)</f>
        <v>2023-11-27</v>
      </c>
      <c r="H88">
        <f>G88-F88</f>
        <v>0</v>
      </c>
      <c r="J88" t="str">
        <f>K88&amp;L88</f>
        <v>Сидорова Елена ВасильевнаПавлова София Артемовна</v>
      </c>
      <c r="K88" t="s">
        <v>15</v>
      </c>
      <c r="L88" t="s">
        <v>111</v>
      </c>
      <c r="M88" t="s">
        <v>112</v>
      </c>
      <c r="N88" t="str">
        <f>O88&amp;P88</f>
        <v>Громова Мария ИльиничнаМорозова Вероника Олеговна</v>
      </c>
      <c r="O88" t="s">
        <v>13</v>
      </c>
      <c r="P88" t="s">
        <v>68</v>
      </c>
      <c r="Q88" t="s">
        <v>443</v>
      </c>
    </row>
    <row r="89">
      <c r="D89" t="s">
        <v>13</v>
      </c>
      <c r="E89" t="s">
        <v>214</v>
      </c>
      <c r="F89" t="str">
        <f>VLOOKUP(D89&amp;E89,J:M,4,0)</f>
        <v>2024-08-05</v>
      </c>
      <c r="G89" t="str">
        <f>VLOOKUP(D89&amp;E89,N:Q,4,0)</f>
        <v>2024-08-05</v>
      </c>
      <c r="H89">
        <f>G89-F89</f>
        <v>0</v>
      </c>
      <c r="J89" t="str">
        <f>K89&amp;L89</f>
        <v>Иванова Анна СергеевнаПопов Матвей Викторович</v>
      </c>
      <c r="K89" t="s">
        <v>11</v>
      </c>
      <c r="L89" t="s">
        <v>113</v>
      </c>
      <c r="M89" t="s">
        <v>114</v>
      </c>
      <c r="N89" t="str">
        <f>O89&amp;P89</f>
        <v>Яковлев Артем ИгоревичКозлов Дмитрий Сергеевич</v>
      </c>
      <c r="O89" t="s">
        <v>21</v>
      </c>
      <c r="P89" t="s">
        <v>222</v>
      </c>
      <c r="Q89" t="s">
        <v>442</v>
      </c>
    </row>
    <row r="90">
      <c r="D90" t="s">
        <v>13</v>
      </c>
      <c r="E90" t="s">
        <v>40</v>
      </c>
      <c r="F90" t="str">
        <f>VLOOKUP(D90&amp;E90,J:M,4,0)</f>
        <v>2024-05-27</v>
      </c>
      <c r="G90" t="str">
        <f>VLOOKUP(D90&amp;E90,N:Q,4,0)</f>
        <v>2024-05-27</v>
      </c>
      <c r="H90">
        <f>G90-F90</f>
        <v>0</v>
      </c>
      <c r="J90" t="str">
        <f>K90&amp;L90</f>
        <v>Новикова Ольга ПетровнаКозлов Андрей Ильич</v>
      </c>
      <c r="K90" t="s">
        <v>17</v>
      </c>
      <c r="L90" t="s">
        <v>115</v>
      </c>
      <c r="M90" t="s">
        <v>114</v>
      </c>
      <c r="N90" t="str">
        <f>O90&amp;P90</f>
        <v>Ткаченко Андрей ОлеговичВасильев Алексей Андреевич</v>
      </c>
      <c r="O90" t="s">
        <v>24</v>
      </c>
      <c r="P90" t="s">
        <v>81</v>
      </c>
      <c r="Q90" t="s">
        <v>442</v>
      </c>
    </row>
    <row r="91">
      <c r="D91" t="s">
        <v>13</v>
      </c>
      <c r="E91" t="s">
        <v>133</v>
      </c>
      <c r="F91" t="str">
        <f>VLOOKUP(D91&amp;E91,J:M,4,0)</f>
        <v>2024-02-02</v>
      </c>
      <c r="G91" t="str">
        <f>VLOOKUP(D91&amp;E91,N:Q,4,0)</f>
        <v>2024-02-02</v>
      </c>
      <c r="H91">
        <f>G91-F91</f>
        <v>0</v>
      </c>
      <c r="J91" t="str">
        <f>K91&amp;L91</f>
        <v>Громова Мария ИльиничнаЕгорова Татьяна Ильинична</v>
      </c>
      <c r="K91" t="s">
        <v>13</v>
      </c>
      <c r="L91" t="s">
        <v>12</v>
      </c>
      <c r="M91" t="s">
        <v>114</v>
      </c>
      <c r="N91" t="str">
        <f>O91&amp;P91</f>
        <v>Петров Владимир КирилловичСмирнова Наталья Артемовна</v>
      </c>
      <c r="O91" t="s">
        <v>28</v>
      </c>
      <c r="P91" t="s">
        <v>331</v>
      </c>
      <c r="Q91" t="s">
        <v>442</v>
      </c>
    </row>
    <row r="92">
      <c r="D92" t="s">
        <v>13</v>
      </c>
      <c r="E92" t="s">
        <v>138</v>
      </c>
      <c r="F92" t="str">
        <f>VLOOKUP(D92&amp;E92,J:M,4,0)</f>
        <v>2024-07-22</v>
      </c>
      <c r="G92" t="str">
        <f>VLOOKUP(D92&amp;E92,N:Q,4,0)</f>
        <v>2024-07-22</v>
      </c>
      <c r="H92">
        <f>G92-F92</f>
        <v>0</v>
      </c>
      <c r="J92" t="str">
        <f>K92&amp;L92</f>
        <v>Орлов Павел ДенисовичНовикова Людмила Павловна</v>
      </c>
      <c r="K92" t="s">
        <v>43</v>
      </c>
      <c r="L92" t="s">
        <v>116</v>
      </c>
      <c r="M92" t="s">
        <v>114</v>
      </c>
      <c r="N92" t="str">
        <f>O92&amp;P92</f>
        <v>Сидорова Елена ВасильевнаНиколаева Алиса Романовна</v>
      </c>
      <c r="O92" t="s">
        <v>15</v>
      </c>
      <c r="P92" t="s">
        <v>168</v>
      </c>
      <c r="Q92" t="s">
        <v>442</v>
      </c>
    </row>
    <row r="93">
      <c r="D93" t="s">
        <v>13</v>
      </c>
      <c r="E93" t="s">
        <v>68</v>
      </c>
      <c r="F93" t="str">
        <f>VLOOKUP(D93&amp;E93,J:M,4,0)</f>
        <v>2024-07-31</v>
      </c>
      <c r="G93" t="str">
        <f>VLOOKUP(D93&amp;E93,N:Q,4,0)</f>
        <v>2024-07-31</v>
      </c>
      <c r="H93">
        <f>G93-F93</f>
        <v>0</v>
      </c>
      <c r="J93" t="str">
        <f>K93&amp;L93</f>
        <v>Иванова Анна СергеевнаПетров Егор Викторович</v>
      </c>
      <c r="K93" t="s">
        <v>11</v>
      </c>
      <c r="L93" t="s">
        <v>117</v>
      </c>
      <c r="M93" t="s">
        <v>114</v>
      </c>
      <c r="N93" t="str">
        <f>O93&amp;P93</f>
        <v>Новикова Ольга ПетровнаАлексеев Иван Иванович</v>
      </c>
      <c r="O93" t="s">
        <v>17</v>
      </c>
      <c r="P93" t="s">
        <v>70</v>
      </c>
      <c r="Q93" t="s">
        <v>442</v>
      </c>
    </row>
    <row r="94">
      <c r="D94" t="s">
        <v>13</v>
      </c>
      <c r="E94" t="s">
        <v>218</v>
      </c>
      <c r="F94" t="str">
        <f>VLOOKUP(D94&amp;E94,J:M,4,0)</f>
        <v>2024-06-27</v>
      </c>
      <c r="G94" t="str">
        <f>VLOOKUP(D94&amp;E94,N:Q,4,0)</f>
        <v>2024-06-27</v>
      </c>
      <c r="H94">
        <f>G94-F94</f>
        <v>0</v>
      </c>
      <c r="J94" t="str">
        <f>K94&amp;L94</f>
        <v>Семенова Ирина ВалерьевнаИванова Елена Алексеевна</v>
      </c>
      <c r="K94" t="s">
        <v>57</v>
      </c>
      <c r="L94" t="s">
        <v>118</v>
      </c>
      <c r="M94" t="s">
        <v>114</v>
      </c>
      <c r="N94" t="str">
        <f>O94&amp;P94</f>
        <v>Новикова Ольга ПетровнаФедоров Максим Дмитриевич</v>
      </c>
      <c r="O94" t="s">
        <v>17</v>
      </c>
      <c r="P94" t="s">
        <v>105</v>
      </c>
      <c r="Q94" t="s">
        <v>442</v>
      </c>
    </row>
    <row r="95">
      <c r="D95" t="s">
        <v>13</v>
      </c>
      <c r="E95" t="s">
        <v>267</v>
      </c>
      <c r="F95" t="str">
        <f>VLOOKUP(D95&amp;E95,J:M,4,0)</f>
        <v>2024-07-03</v>
      </c>
      <c r="G95" t="str">
        <f>VLOOKUP(D95&amp;E95,N:Q,4,0)</f>
        <v>2024-07-03</v>
      </c>
      <c r="H95">
        <f>G95-F95</f>
        <v>0</v>
      </c>
      <c r="J95" t="str">
        <f>K95&amp;L95</f>
        <v>Сидорова Елена ВасильевнаИванова Виктория Михайловна</v>
      </c>
      <c r="K95" t="s">
        <v>15</v>
      </c>
      <c r="L95" t="s">
        <v>33</v>
      </c>
      <c r="M95" t="s">
        <v>114</v>
      </c>
      <c r="N95" t="str">
        <f>O95&amp;P95</f>
        <v>Сидорова Елена ВасильевнаСидорова Ольга Олеговна</v>
      </c>
      <c r="O95" t="s">
        <v>15</v>
      </c>
      <c r="P95" t="s">
        <v>177</v>
      </c>
      <c r="Q95" t="s">
        <v>441</v>
      </c>
    </row>
    <row r="96">
      <c r="D96" t="s">
        <v>13</v>
      </c>
      <c r="E96" t="s">
        <v>186</v>
      </c>
      <c r="F96" t="str">
        <f>VLOOKUP(D96&amp;E96,J:M,4,0)</f>
        <v>2024-06-14</v>
      </c>
      <c r="G96" t="str">
        <f>VLOOKUP(D96&amp;E96,N:Q,4,0)</f>
        <v>2024-06-14</v>
      </c>
      <c r="H96">
        <f>G96-F96</f>
        <v>0</v>
      </c>
      <c r="J96" t="str">
        <f>K96&amp;L96</f>
        <v>Иванова Анна СергеевнаНиколаева Алиса Ивановна</v>
      </c>
      <c r="K96" t="s">
        <v>11</v>
      </c>
      <c r="L96" t="s">
        <v>119</v>
      </c>
      <c r="M96" t="s">
        <v>120</v>
      </c>
      <c r="N96" t="str">
        <f>O96&amp;P96</f>
        <v>Иванова Анна СергеевнаВасильев Алексей Андреевич</v>
      </c>
      <c r="O96" t="s">
        <v>11</v>
      </c>
      <c r="P96" t="s">
        <v>81</v>
      </c>
      <c r="Q96" t="s">
        <v>441</v>
      </c>
    </row>
    <row r="97">
      <c r="D97" t="s">
        <v>13</v>
      </c>
      <c r="E97" t="s">
        <v>168</v>
      </c>
      <c r="F97" t="str">
        <f>VLOOKUP(D97&amp;E97,J:M,4,0)</f>
        <v>2023-11-03</v>
      </c>
      <c r="G97" t="str">
        <f>VLOOKUP(D97&amp;E97,N:Q,4,0)</f>
        <v>2023-11-03</v>
      </c>
      <c r="H97">
        <f>G97-F97</f>
        <v>0</v>
      </c>
      <c r="J97" t="str">
        <f>K97&amp;L97</f>
        <v>Громова Мария ИльиничнаИванова София Геннадьевна</v>
      </c>
      <c r="K97" t="s">
        <v>13</v>
      </c>
      <c r="L97" t="s">
        <v>121</v>
      </c>
      <c r="M97" t="s">
        <v>120</v>
      </c>
      <c r="N97" t="str">
        <f>O97&amp;P97</f>
        <v>Петров Владимир КирилловичКозлова Полина Викторовна</v>
      </c>
      <c r="O97" t="s">
        <v>28</v>
      </c>
      <c r="P97" t="s">
        <v>217</v>
      </c>
      <c r="Q97" t="s">
        <v>441</v>
      </c>
    </row>
    <row r="98">
      <c r="D98" t="s">
        <v>13</v>
      </c>
      <c r="E98" t="s">
        <v>252</v>
      </c>
      <c r="F98" t="str">
        <f>VLOOKUP(D98&amp;E98,J:M,4,0)</f>
        <v>2023-12-27</v>
      </c>
      <c r="G98" t="str">
        <f>VLOOKUP(D98&amp;E98,N:Q,4,0)</f>
        <v>2023-12-27</v>
      </c>
      <c r="H98">
        <f>G98-F98</f>
        <v>0</v>
      </c>
      <c r="J98" t="str">
        <f>K98&amp;L98</f>
        <v>Белов Алексей КонстантиновичСеменов Константин Артемович</v>
      </c>
      <c r="K98" t="s">
        <v>47</v>
      </c>
      <c r="L98" t="s">
        <v>102</v>
      </c>
      <c r="M98" t="s">
        <v>120</v>
      </c>
      <c r="N98" t="str">
        <f>O98&amp;P98</f>
        <v>Новикова Ольга ПетровнаЕгорова Валерия Сергеевна</v>
      </c>
      <c r="O98" t="s">
        <v>17</v>
      </c>
      <c r="P98" t="s">
        <v>85</v>
      </c>
      <c r="Q98" t="s">
        <v>441</v>
      </c>
    </row>
    <row r="99">
      <c r="D99" t="s">
        <v>13</v>
      </c>
      <c r="E99" t="s">
        <v>73</v>
      </c>
      <c r="F99" t="str">
        <f>VLOOKUP(D99&amp;E99,J:M,4,0)</f>
        <v>2024-07-22</v>
      </c>
      <c r="G99" t="str">
        <f>VLOOKUP(D99&amp;E99,N:Q,4,0)</f>
        <v>2024-07-22</v>
      </c>
      <c r="H99">
        <f>G99-F99</f>
        <v>0</v>
      </c>
      <c r="J99" t="str">
        <f>K99&amp;L99</f>
        <v>Фролов Сергей ВикторовичАлексеева Екатерина Павловна</v>
      </c>
      <c r="K99" t="s">
        <v>5</v>
      </c>
      <c r="L99" t="s">
        <v>96</v>
      </c>
      <c r="M99" t="s">
        <v>120</v>
      </c>
      <c r="N99" t="str">
        <f>O99&amp;P99</f>
        <v>Иванова Анна СергеевнаОрлова Алиса Дмитриевна</v>
      </c>
      <c r="O99" t="s">
        <v>11</v>
      </c>
      <c r="P99" t="s">
        <v>154</v>
      </c>
      <c r="Q99" t="s">
        <v>441</v>
      </c>
    </row>
    <row r="100">
      <c r="D100" t="s">
        <v>13</v>
      </c>
      <c r="E100" t="s">
        <v>208</v>
      </c>
      <c r="F100" t="str">
        <f>VLOOKUP(D100&amp;E100,J:M,4,0)</f>
        <v>2023-11-27</v>
      </c>
      <c r="G100" t="str">
        <f>VLOOKUP(D100&amp;E100,N:Q,4,0)</f>
        <v>2023-11-27</v>
      </c>
      <c r="H100">
        <f>G100-F100</f>
        <v>0</v>
      </c>
      <c r="J100" t="str">
        <f>K100&amp;L100</f>
        <v>Кузнецов Дмитрий ЛьвовичЕгорова Ольга Юрьевна</v>
      </c>
      <c r="K100" t="s">
        <v>8</v>
      </c>
      <c r="L100" t="s">
        <v>83</v>
      </c>
      <c r="M100" t="s">
        <v>122</v>
      </c>
      <c r="N100" t="str">
        <f>O100&amp;P100</f>
        <v>Семенова Ирина ВалерьевнаНиколаев Владимир Егорович</v>
      </c>
      <c r="O100" t="s">
        <v>57</v>
      </c>
      <c r="P100" t="s">
        <v>190</v>
      </c>
      <c r="Q100" t="s">
        <v>440</v>
      </c>
    </row>
    <row r="101">
      <c r="D101" t="s">
        <v>13</v>
      </c>
      <c r="E101" t="s">
        <v>184</v>
      </c>
      <c r="F101" t="str">
        <f>VLOOKUP(D101&amp;E101,J:M,4,0)</f>
        <v>2024-01-31</v>
      </c>
      <c r="G101" t="str">
        <f>VLOOKUP(D101&amp;E101,N:Q,4,0)</f>
        <v>2024-01-31</v>
      </c>
      <c r="H101">
        <f>G101-F101</f>
        <v>0</v>
      </c>
      <c r="J101" t="str">
        <f>K101&amp;L101</f>
        <v>Семенова Ирина ВалерьевнаСтепанов Кирилл Павлович</v>
      </c>
      <c r="K101" t="s">
        <v>57</v>
      </c>
      <c r="L101" t="s">
        <v>123</v>
      </c>
      <c r="M101" t="s">
        <v>122</v>
      </c>
      <c r="N101" t="str">
        <f>O101&amp;P101</f>
        <v>Семенова Ирина ВалерьевнаНиколаев Георгий Ильич</v>
      </c>
      <c r="O101" t="s">
        <v>57</v>
      </c>
      <c r="P101" t="s">
        <v>91</v>
      </c>
      <c r="Q101" t="s">
        <v>440</v>
      </c>
    </row>
    <row r="102">
      <c r="D102" t="s">
        <v>13</v>
      </c>
      <c r="E102" t="s">
        <v>147</v>
      </c>
      <c r="F102" t="str">
        <f>VLOOKUP(D102&amp;E102,J:M,4,0)</f>
        <v>2024-05-13</v>
      </c>
      <c r="G102" t="str">
        <f>VLOOKUP(D102&amp;E102,N:Q,4,0)</f>
        <v>2024-05-13</v>
      </c>
      <c r="H102">
        <f>G102-F102</f>
        <v>0</v>
      </c>
      <c r="J102" t="str">
        <f>K102&amp;L102</f>
        <v>Сидорова Елена ВасильевнаПопов Артем Егорович</v>
      </c>
      <c r="K102" t="s">
        <v>15</v>
      </c>
      <c r="L102" t="s">
        <v>124</v>
      </c>
      <c r="M102" t="s">
        <v>125</v>
      </c>
      <c r="N102" t="str">
        <f>O102&amp;P102</f>
        <v>Орлов Павел ДенисовичВасильев Александр Павлович</v>
      </c>
      <c r="O102" t="s">
        <v>43</v>
      </c>
      <c r="P102" t="s">
        <v>291</v>
      </c>
      <c r="Q102" t="s">
        <v>439</v>
      </c>
    </row>
    <row r="103">
      <c r="D103" t="s">
        <v>13</v>
      </c>
      <c r="E103" t="s">
        <v>116</v>
      </c>
      <c r="F103" t="str">
        <f>VLOOKUP(D103&amp;E103,J:M,4,0)</f>
        <v>2023-11-13</v>
      </c>
      <c r="G103" t="str">
        <f>VLOOKUP(D103&amp;E103,N:Q,4,0)</f>
        <v>2024-07-31</v>
      </c>
      <c r="H103">
        <f>G103-F103</f>
        <v>261</v>
      </c>
      <c r="J103" t="str">
        <f>K103&amp;L103</f>
        <v>Новикова Ольга ПетровнаНиколаев Георгий Ильич</v>
      </c>
      <c r="K103" t="s">
        <v>17</v>
      </c>
      <c r="L103" t="s">
        <v>91</v>
      </c>
      <c r="M103" t="s">
        <v>126</v>
      </c>
      <c r="N103" t="str">
        <f>O103&amp;P103</f>
        <v>Орлов Павел ДенисовичФедоров Дмитрий Сергеевич</v>
      </c>
      <c r="O103" t="s">
        <v>43</v>
      </c>
      <c r="P103" t="s">
        <v>56</v>
      </c>
      <c r="Q103" t="s">
        <v>439</v>
      </c>
    </row>
    <row r="104">
      <c r="D104" t="s">
        <v>13</v>
      </c>
      <c r="E104" t="s">
        <v>6</v>
      </c>
      <c r="F104" t="str">
        <f>VLOOKUP(D104&amp;E104,J:M,4,0)</f>
        <v>2023-09-18</v>
      </c>
      <c r="G104" t="str">
        <f>VLOOKUP(D104&amp;E104,N:Q,4,0)</f>
        <v>2023-09-18</v>
      </c>
      <c r="H104">
        <f>G104-F104</f>
        <v>0</v>
      </c>
      <c r="J104" t="str">
        <f>K104&amp;L104</f>
        <v>Сидорова Елена ВасильевнаНиколаев Георгий Ильич</v>
      </c>
      <c r="K104" t="s">
        <v>15</v>
      </c>
      <c r="L104" t="s">
        <v>91</v>
      </c>
      <c r="M104" t="s">
        <v>127</v>
      </c>
      <c r="N104" t="str">
        <f>O104&amp;P104</f>
        <v>Белов Алексей КонстантиновичЛебедева Полина Никитична</v>
      </c>
      <c r="O104" t="s">
        <v>47</v>
      </c>
      <c r="P104" t="s">
        <v>273</v>
      </c>
      <c r="Q104" t="s">
        <v>439</v>
      </c>
    </row>
    <row r="105">
      <c r="D105" t="s">
        <v>13</v>
      </c>
      <c r="E105" t="s">
        <v>87</v>
      </c>
      <c r="F105" t="str">
        <f>VLOOKUP(D105&amp;E105,J:M,4,0)</f>
        <v>2023-09-28</v>
      </c>
      <c r="G105" t="str">
        <f>VLOOKUP(D105&amp;E105,N:Q,4,0)</f>
        <v>2024-08-08</v>
      </c>
      <c r="H105">
        <f>G105-F105</f>
        <v>315</v>
      </c>
      <c r="J105" t="str">
        <f>K105&amp;L105</f>
        <v>Петров Владимир КирилловичИванов Павел Павлович</v>
      </c>
      <c r="K105" t="s">
        <v>28</v>
      </c>
      <c r="L105" t="s">
        <v>80</v>
      </c>
      <c r="M105" t="s">
        <v>127</v>
      </c>
      <c r="N105" t="str">
        <f>O105&amp;P105</f>
        <v>Кузнецов Дмитрий ЛьвовичЕгоров Андрей Дмитриевич</v>
      </c>
      <c r="O105" t="s">
        <v>8</v>
      </c>
      <c r="P105" t="s">
        <v>272</v>
      </c>
      <c r="Q105" t="s">
        <v>438</v>
      </c>
    </row>
    <row r="106">
      <c r="D106" t="s">
        <v>13</v>
      </c>
      <c r="E106" t="s">
        <v>131</v>
      </c>
      <c r="F106" t="str">
        <f>VLOOKUP(D106&amp;E106,J:M,4,0)</f>
        <v>2024-01-30</v>
      </c>
      <c r="G106" t="str">
        <f>VLOOKUP(D106&amp;E106,N:Q,4,0)</f>
        <v>2024-01-30</v>
      </c>
      <c r="H106">
        <f>G106-F106</f>
        <v>0</v>
      </c>
      <c r="J106" t="str">
        <f>K106&amp;L106</f>
        <v>Ткаченко Андрей ОлеговичСидоров Сергей Егорович</v>
      </c>
      <c r="K106" t="s">
        <v>24</v>
      </c>
      <c r="L106" t="s">
        <v>128</v>
      </c>
      <c r="M106" t="s">
        <v>127</v>
      </c>
      <c r="N106" t="str">
        <f>O106&amp;P106</f>
        <v>Громова Мария ИльиничнаПопова Полина Романовна</v>
      </c>
      <c r="O106" t="s">
        <v>13</v>
      </c>
      <c r="P106" t="s">
        <v>192</v>
      </c>
      <c r="Q106" t="s">
        <v>438</v>
      </c>
    </row>
    <row r="107">
      <c r="D107" t="s">
        <v>13</v>
      </c>
      <c r="E107" t="s">
        <v>158</v>
      </c>
      <c r="F107" t="str">
        <f>VLOOKUP(D107&amp;E107,J:M,4,0)</f>
        <v>2023-10-30</v>
      </c>
      <c r="G107" t="str">
        <f>VLOOKUP(D107&amp;E107,N:Q,4,0)</f>
        <v>2023-10-30</v>
      </c>
      <c r="H107">
        <f>G107-F107</f>
        <v>0</v>
      </c>
      <c r="J107" t="str">
        <f>K107&amp;L107</f>
        <v>Кузнецов Дмитрий ЛьвовичКузнецов Сергей Артемович</v>
      </c>
      <c r="K107" t="s">
        <v>8</v>
      </c>
      <c r="L107" t="s">
        <v>129</v>
      </c>
      <c r="M107" t="s">
        <v>127</v>
      </c>
      <c r="N107" t="str">
        <f>O107&amp;P107</f>
        <v>Новикова Ольга ПетровнаСеменов Константин Артемович</v>
      </c>
      <c r="O107" t="s">
        <v>17</v>
      </c>
      <c r="P107" t="s">
        <v>102</v>
      </c>
      <c r="Q107" t="s">
        <v>437</v>
      </c>
    </row>
    <row r="108">
      <c r="D108" t="s">
        <v>13</v>
      </c>
      <c r="E108" t="s">
        <v>239</v>
      </c>
      <c r="F108" t="str">
        <f>VLOOKUP(D108&amp;E108,J:M,4,0)</f>
        <v>2024-05-02</v>
      </c>
      <c r="G108" t="str">
        <f>VLOOKUP(D108&amp;E108,N:Q,4,0)</f>
        <v>2024-05-02</v>
      </c>
      <c r="H108">
        <f>G108-F108</f>
        <v>0</v>
      </c>
      <c r="J108" t="str">
        <f>K108&amp;L108</f>
        <v>Фролов Сергей ВикторовичСтепанова Юлия Владимировна</v>
      </c>
      <c r="K108" t="s">
        <v>5</v>
      </c>
      <c r="L108" t="s">
        <v>93</v>
      </c>
      <c r="M108" t="s">
        <v>127</v>
      </c>
      <c r="N108" t="str">
        <f>O108&amp;P108</f>
        <v>Сидорова Елена ВасильевнаСидорова Екатерина Романовна</v>
      </c>
      <c r="O108" t="s">
        <v>15</v>
      </c>
      <c r="P108" t="s">
        <v>257</v>
      </c>
      <c r="Q108" t="s">
        <v>437</v>
      </c>
    </row>
    <row r="109">
      <c r="D109" t="s">
        <v>13</v>
      </c>
      <c r="E109" t="s">
        <v>78</v>
      </c>
      <c r="F109" t="str">
        <f>VLOOKUP(D109&amp;E109,J:M,4,0)</f>
        <v>2024-03-12</v>
      </c>
      <c r="G109" t="str">
        <f>VLOOKUP(D109&amp;E109,N:Q,4,0)</f>
        <v>2024-03-12</v>
      </c>
      <c r="H109">
        <f>G109-F109</f>
        <v>0</v>
      </c>
      <c r="J109" t="str">
        <f>K109&amp;L109</f>
        <v>Иванова Анна СергеевнаКузнецов Владимир Станиславович</v>
      </c>
      <c r="K109" t="s">
        <v>11</v>
      </c>
      <c r="L109" t="s">
        <v>130</v>
      </c>
      <c r="M109" t="s">
        <v>127</v>
      </c>
      <c r="N109" t="str">
        <f>O109&amp;P109</f>
        <v>Громова Мария ИльиничнаМорозов Никита Ильич</v>
      </c>
      <c r="O109" t="s">
        <v>13</v>
      </c>
      <c r="P109" t="s">
        <v>138</v>
      </c>
      <c r="Q109" t="s">
        <v>437</v>
      </c>
    </row>
    <row r="110">
      <c r="D110" t="s">
        <v>13</v>
      </c>
      <c r="E110" t="s">
        <v>305</v>
      </c>
      <c r="F110" t="str">
        <f>VLOOKUP(D110&amp;E110,J:M,4,0)</f>
        <v>2024-02-07</v>
      </c>
      <c r="G110" t="str">
        <f>VLOOKUP(D110&amp;E110,N:Q,4,0)</f>
        <v>2024-02-07</v>
      </c>
      <c r="H110">
        <f>G110-F110</f>
        <v>0</v>
      </c>
      <c r="J110" t="str">
        <f>K110&amp;L110</f>
        <v>Ткаченко Андрей ОлеговичОрлова Дарья Владимировна</v>
      </c>
      <c r="K110" t="s">
        <v>24</v>
      </c>
      <c r="L110" t="s">
        <v>87</v>
      </c>
      <c r="M110" t="s">
        <v>127</v>
      </c>
      <c r="N110" t="str">
        <f>O110&amp;P110</f>
        <v>Новикова Ольга ПетровнаВасильев Кирилл Иванович</v>
      </c>
      <c r="O110" t="s">
        <v>17</v>
      </c>
      <c r="P110" t="s">
        <v>284</v>
      </c>
      <c r="Q110" t="s">
        <v>437</v>
      </c>
    </row>
    <row r="111">
      <c r="D111" t="s">
        <v>13</v>
      </c>
      <c r="E111" t="s">
        <v>111</v>
      </c>
      <c r="F111" t="str">
        <f>VLOOKUP(D111&amp;E111,J:M,4,0)</f>
        <v>2024-01-02</v>
      </c>
      <c r="G111" t="str">
        <f>VLOOKUP(D111&amp;E111,N:Q,4,0)</f>
        <v>2024-01-02</v>
      </c>
      <c r="H111">
        <f>G111-F111</f>
        <v>0</v>
      </c>
      <c r="J111" t="str">
        <f>K111&amp;L111</f>
        <v>Фролов Сергей ВикторовичПавлов Андрей Викторович</v>
      </c>
      <c r="K111" t="s">
        <v>5</v>
      </c>
      <c r="L111" t="s">
        <v>131</v>
      </c>
      <c r="M111" t="s">
        <v>127</v>
      </c>
      <c r="N111" t="str">
        <f>O111&amp;P111</f>
        <v>Ткаченко Андрей ОлеговичПавлов Максим Владимирович</v>
      </c>
      <c r="O111" t="s">
        <v>24</v>
      </c>
      <c r="P111" t="s">
        <v>383</v>
      </c>
      <c r="Q111" t="s">
        <v>437</v>
      </c>
    </row>
    <row r="112">
      <c r="D112" t="s">
        <v>13</v>
      </c>
      <c r="E112" t="s">
        <v>149</v>
      </c>
      <c r="F112" t="str">
        <f>VLOOKUP(D112&amp;E112,J:M,4,0)</f>
        <v>2024-07-15</v>
      </c>
      <c r="G112" t="str">
        <f>VLOOKUP(D112&amp;E112,N:Q,4,0)</f>
        <v>2024-08-12</v>
      </c>
      <c r="H112">
        <f>G112-F112</f>
        <v>28</v>
      </c>
      <c r="J112" t="str">
        <f>K112&amp;L112</f>
        <v>Иванова Анна СергеевнаКузнецов Алексей Иванович</v>
      </c>
      <c r="K112" t="s">
        <v>11</v>
      </c>
      <c r="L112" t="s">
        <v>110</v>
      </c>
      <c r="M112" t="s">
        <v>127</v>
      </c>
      <c r="N112" t="str">
        <f>O112&amp;P112</f>
        <v>Белов Алексей КонстантиновичЕгорова Ирина Кирилловна</v>
      </c>
      <c r="O112" t="s">
        <v>47</v>
      </c>
      <c r="P112" t="s">
        <v>140</v>
      </c>
      <c r="Q112" t="s">
        <v>437</v>
      </c>
    </row>
    <row r="113">
      <c r="D113" t="s">
        <v>13</v>
      </c>
      <c r="E113" t="s">
        <v>211</v>
      </c>
      <c r="F113" t="str">
        <f>VLOOKUP(D113&amp;E113,J:M,4,0)</f>
        <v>2023-11-29</v>
      </c>
      <c r="G113" t="str">
        <f>VLOOKUP(D113&amp;E113,N:Q,4,0)</f>
        <v>2023-11-29</v>
      </c>
      <c r="H113">
        <f>G113-F113</f>
        <v>0</v>
      </c>
      <c r="J113" t="str">
        <f>K113&amp;L113</f>
        <v>Фролов Сергей ВикторовичЛебедева Александра Станиславовна</v>
      </c>
      <c r="K113" t="s">
        <v>5</v>
      </c>
      <c r="L113" t="s">
        <v>132</v>
      </c>
      <c r="M113" t="s">
        <v>127</v>
      </c>
      <c r="N113" t="str">
        <f>O113&amp;P113</f>
        <v>Громова Мария ИльиничнаНиколаева Елена Геннадьевна</v>
      </c>
      <c r="O113" t="s">
        <v>13</v>
      </c>
      <c r="P113" t="s">
        <v>73</v>
      </c>
      <c r="Q113" t="s">
        <v>437</v>
      </c>
    </row>
    <row r="114">
      <c r="D114" t="s">
        <v>13</v>
      </c>
      <c r="E114" t="s">
        <v>89</v>
      </c>
      <c r="F114" t="str">
        <f>VLOOKUP(D114&amp;E114,J:M,4,0)</f>
        <v>2024-02-05</v>
      </c>
      <c r="G114" t="str">
        <f>VLOOKUP(D114&amp;E114,N:Q,4,0)</f>
        <v>2024-02-05</v>
      </c>
      <c r="H114">
        <f>G114-F114</f>
        <v>0</v>
      </c>
      <c r="J114" t="str">
        <f>K114&amp;L114</f>
        <v>Орлов Павел ДенисовичИванова Елена Алексеевна</v>
      </c>
      <c r="K114" t="s">
        <v>43</v>
      </c>
      <c r="L114" t="s">
        <v>118</v>
      </c>
      <c r="M114" t="s">
        <v>127</v>
      </c>
      <c r="N114" t="str">
        <f>O114&amp;P114</f>
        <v>Орлов Павел ДенисовичИванова Ксения Александровна</v>
      </c>
      <c r="O114" t="s">
        <v>43</v>
      </c>
      <c r="P114" t="s">
        <v>265</v>
      </c>
      <c r="Q114" t="s">
        <v>437</v>
      </c>
    </row>
    <row r="115">
      <c r="D115" t="s">
        <v>13</v>
      </c>
      <c r="E115" t="s">
        <v>181</v>
      </c>
      <c r="F115" t="str">
        <f>VLOOKUP(D115&amp;E115,J:M,4,0)</f>
        <v>2024-02-19</v>
      </c>
      <c r="G115" t="str">
        <f>VLOOKUP(D115&amp;E115,N:Q,4,0)</f>
        <v>2024-02-19</v>
      </c>
      <c r="H115">
        <f>G115-F115</f>
        <v>0</v>
      </c>
      <c r="J115" t="str">
        <f>K115&amp;L115</f>
        <v>Новикова Ольга ПетровнаЛебедев Кирилл Сергеевич</v>
      </c>
      <c r="K115" t="s">
        <v>17</v>
      </c>
      <c r="L115" t="s">
        <v>133</v>
      </c>
      <c r="M115" t="s">
        <v>127</v>
      </c>
      <c r="N115" t="str">
        <f>O115&amp;P115</f>
        <v>Громова Мария ИльиничнаСидоров Алексей Кириллович</v>
      </c>
      <c r="O115" t="s">
        <v>13</v>
      </c>
      <c r="P115" t="s">
        <v>14</v>
      </c>
      <c r="Q115" t="s">
        <v>437</v>
      </c>
    </row>
    <row r="116">
      <c r="D116" t="s">
        <v>13</v>
      </c>
      <c r="E116" t="s">
        <v>106</v>
      </c>
      <c r="F116" t="str">
        <f>VLOOKUP(D116&amp;E116,J:M,4,0)</f>
        <v>2023-12-27</v>
      </c>
      <c r="G116" t="str">
        <f>VLOOKUP(D116&amp;E116,N:Q,4,0)</f>
        <v>2023-12-27</v>
      </c>
      <c r="H116">
        <f>G116-F116</f>
        <v>0</v>
      </c>
      <c r="J116" t="str">
        <f>K116&amp;L116</f>
        <v>Семенова Ирина ВалерьевнаАлексеева Наталья Андреевна</v>
      </c>
      <c r="K116" t="s">
        <v>57</v>
      </c>
      <c r="L116" t="s">
        <v>42</v>
      </c>
      <c r="M116" t="s">
        <v>134</v>
      </c>
      <c r="N116" t="str">
        <f>O116&amp;P116</f>
        <v>Иванова Анна СергеевнаПопов Александр Владимирович</v>
      </c>
      <c r="O116" t="s">
        <v>11</v>
      </c>
      <c r="P116" t="s">
        <v>160</v>
      </c>
      <c r="Q116" t="s">
        <v>437</v>
      </c>
    </row>
    <row r="117">
      <c r="D117" t="s">
        <v>13</v>
      </c>
      <c r="E117" t="s">
        <v>192</v>
      </c>
      <c r="F117" t="str">
        <f>VLOOKUP(D117&amp;E117,J:M,4,0)</f>
        <v>2024-07-23</v>
      </c>
      <c r="G117" t="str">
        <f>VLOOKUP(D117&amp;E117,N:Q,4,0)</f>
        <v>2024-07-23</v>
      </c>
      <c r="H117">
        <f>G117-F117</f>
        <v>0</v>
      </c>
      <c r="J117" t="str">
        <f>K117&amp;L117</f>
        <v>Сидорова Елена ВасильевнаВасильева Мария Ивановна</v>
      </c>
      <c r="K117" t="s">
        <v>15</v>
      </c>
      <c r="L117" t="s">
        <v>135</v>
      </c>
      <c r="M117" t="s">
        <v>136</v>
      </c>
      <c r="N117" t="str">
        <f>O117&amp;P117</f>
        <v>Кузнецов Дмитрий ЛьвовичКозлов Артур Андреевич</v>
      </c>
      <c r="O117" t="s">
        <v>8</v>
      </c>
      <c r="P117" t="s">
        <v>98</v>
      </c>
      <c r="Q117" t="s">
        <v>436</v>
      </c>
    </row>
    <row r="118">
      <c r="D118" t="s">
        <v>13</v>
      </c>
      <c r="E118" t="s">
        <v>69</v>
      </c>
      <c r="F118" t="str">
        <f>VLOOKUP(D118&amp;E118,J:M,4,0)</f>
        <v>2024-05-30</v>
      </c>
      <c r="G118" t="str">
        <f>VLOOKUP(D118&amp;E118,N:Q,4,0)</f>
        <v>2024-05-30</v>
      </c>
      <c r="H118">
        <f>G118-F118</f>
        <v>0</v>
      </c>
      <c r="J118" t="str">
        <f>K118&amp;L118</f>
        <v>Фролов Сергей ВикторовичВолков Владимир Геннадьевич</v>
      </c>
      <c r="K118" t="s">
        <v>5</v>
      </c>
      <c r="L118" t="s">
        <v>137</v>
      </c>
      <c r="M118" t="s">
        <v>136</v>
      </c>
      <c r="N118" t="str">
        <f>O118&amp;P118</f>
        <v>Белов Алексей КонстантиновичСмирнова Валерия Викторовна</v>
      </c>
      <c r="O118" t="s">
        <v>47</v>
      </c>
      <c r="P118" t="s">
        <v>63</v>
      </c>
      <c r="Q118" t="s">
        <v>435</v>
      </c>
    </row>
    <row r="119">
      <c r="D119" t="s">
        <v>13</v>
      </c>
      <c r="E119" t="s">
        <v>299</v>
      </c>
      <c r="F119" t="str">
        <f>VLOOKUP(D119&amp;E119,J:M,4,0)</f>
        <v>2024-02-02</v>
      </c>
      <c r="G119" t="str">
        <f>VLOOKUP(D119&amp;E119,N:Q,4,0)</f>
        <v>2024-02-02</v>
      </c>
      <c r="H119">
        <f>G119-F119</f>
        <v>0</v>
      </c>
      <c r="J119" t="str">
        <f>K119&amp;L119</f>
        <v>Новикова Ольга ПетровнаНовикова Людмила Павловна</v>
      </c>
      <c r="K119" t="s">
        <v>17</v>
      </c>
      <c r="L119" t="s">
        <v>116</v>
      </c>
      <c r="M119" t="s">
        <v>136</v>
      </c>
      <c r="N119" t="str">
        <f>O119&amp;P119</f>
        <v>Иванова Анна СергеевнаПавлова Валерия Станиславовна</v>
      </c>
      <c r="O119" t="s">
        <v>11</v>
      </c>
      <c r="P119" t="s">
        <v>239</v>
      </c>
      <c r="Q119" t="s">
        <v>434</v>
      </c>
    </row>
    <row r="120">
      <c r="D120" t="s">
        <v>13</v>
      </c>
      <c r="E120" t="s">
        <v>102</v>
      </c>
      <c r="F120" t="str">
        <f>VLOOKUP(D120&amp;E120,J:M,4,0)</f>
        <v>2024-04-22</v>
      </c>
      <c r="G120" t="str">
        <f>VLOOKUP(D120&amp;E120,N:Q,4,0)</f>
        <v>2024-04-22</v>
      </c>
      <c r="H120">
        <f>G120-F120</f>
        <v>0</v>
      </c>
      <c r="J120" t="str">
        <f>K120&amp;L120</f>
        <v>Сидорова Елена ВасильевнаМорозов Никита Ильич</v>
      </c>
      <c r="K120" t="s">
        <v>15</v>
      </c>
      <c r="L120" t="s">
        <v>138</v>
      </c>
      <c r="M120" t="s">
        <v>139</v>
      </c>
      <c r="N120" t="str">
        <f>O120&amp;P120</f>
        <v>Новикова Ольга ПетровнаОрлова Дарья Станиславовна</v>
      </c>
      <c r="O120" t="s">
        <v>17</v>
      </c>
      <c r="P120" t="s">
        <v>41</v>
      </c>
      <c r="Q120" t="s">
        <v>434</v>
      </c>
    </row>
    <row r="121">
      <c r="D121" t="s">
        <v>13</v>
      </c>
      <c r="E121" t="s">
        <v>172</v>
      </c>
      <c r="F121" t="str">
        <f>VLOOKUP(D121&amp;E121,J:M,4,0)</f>
        <v>2024-04-25</v>
      </c>
      <c r="G121" t="str">
        <f>VLOOKUP(D121&amp;E121,N:Q,4,0)</f>
        <v>2024-04-25</v>
      </c>
      <c r="H121">
        <f>G121-F121</f>
        <v>0</v>
      </c>
      <c r="J121" t="str">
        <f>K121&amp;L121</f>
        <v>Новикова Ольга ПетровнаКозлов Андрей Ильич</v>
      </c>
      <c r="K121" t="s">
        <v>17</v>
      </c>
      <c r="L121" t="s">
        <v>115</v>
      </c>
      <c r="M121" t="s">
        <v>139</v>
      </c>
      <c r="N121" t="str">
        <f>O121&amp;P121</f>
        <v>Громова Мария ИльиничнаПетров Михаил Егорович</v>
      </c>
      <c r="O121" t="s">
        <v>13</v>
      </c>
      <c r="P121" t="s">
        <v>149</v>
      </c>
      <c r="Q121" t="s">
        <v>433</v>
      </c>
    </row>
    <row r="122">
      <c r="D122" t="s">
        <v>13</v>
      </c>
      <c r="E122" t="s">
        <v>30</v>
      </c>
      <c r="F122" t="str">
        <f>VLOOKUP(D122&amp;E122,J:M,4,0)</f>
        <v>2024-03-15</v>
      </c>
      <c r="G122" t="str">
        <f>VLOOKUP(D122&amp;E122,N:Q,4,0)</f>
        <v>2024-03-15</v>
      </c>
      <c r="H122">
        <f>G122-F122</f>
        <v>0</v>
      </c>
      <c r="J122" t="str">
        <f>K122&amp;L122</f>
        <v>Семенова Ирина ВалерьевнаЕгорова Ирина Кирилловна</v>
      </c>
      <c r="K122" t="s">
        <v>57</v>
      </c>
      <c r="L122" t="s">
        <v>140</v>
      </c>
      <c r="M122" t="s">
        <v>139</v>
      </c>
      <c r="N122" t="str">
        <f>O122&amp;P122</f>
        <v>Семенова Ирина ВалерьевнаСеменов Михаил Никитич</v>
      </c>
      <c r="O122" t="s">
        <v>57</v>
      </c>
      <c r="P122" t="s">
        <v>172</v>
      </c>
      <c r="Q122" t="s">
        <v>433</v>
      </c>
    </row>
    <row r="123">
      <c r="D123" t="s">
        <v>13</v>
      </c>
      <c r="E123" t="s">
        <v>14</v>
      </c>
      <c r="F123" t="str">
        <f>VLOOKUP(D123&amp;E123,J:M,4,0)</f>
        <v>2023-09-04</v>
      </c>
      <c r="G123" t="str">
        <f>VLOOKUP(D123&amp;E123,N:Q,4,0)</f>
        <v>2024-07-22</v>
      </c>
      <c r="H123">
        <f>G123-F123</f>
        <v>322</v>
      </c>
      <c r="J123" t="str">
        <f>K123&amp;L123</f>
        <v>Петров Владимир КирилловичСидоров Артур Алексеевич</v>
      </c>
      <c r="K123" t="s">
        <v>28</v>
      </c>
      <c r="L123" t="s">
        <v>50</v>
      </c>
      <c r="M123" t="s">
        <v>141</v>
      </c>
      <c r="N123" t="str">
        <f>O123&amp;P123</f>
        <v>Яковлев Артем ИгоревичВолкова Мария Егоровна</v>
      </c>
      <c r="O123" t="s">
        <v>21</v>
      </c>
      <c r="P123" t="s">
        <v>196</v>
      </c>
      <c r="Q123" t="s">
        <v>433</v>
      </c>
    </row>
    <row r="124">
      <c r="D124" t="s">
        <v>13</v>
      </c>
      <c r="E124" t="s">
        <v>171</v>
      </c>
      <c r="F124" t="str">
        <f>VLOOKUP(D124&amp;E124,J:M,4,0)</f>
        <v>2024-07-08</v>
      </c>
      <c r="G124" t="str">
        <f>VLOOKUP(D124&amp;E124,N:Q,4,0)</f>
        <v>2024-07-08</v>
      </c>
      <c r="H124">
        <f>G124-F124</f>
        <v>0</v>
      </c>
      <c r="J124" t="str">
        <f>K124&amp;L124</f>
        <v>Петров Владимир КирилловичВасильева Анна Ильинична</v>
      </c>
      <c r="K124" t="s">
        <v>28</v>
      </c>
      <c r="L124" t="s">
        <v>142</v>
      </c>
      <c r="M124" t="s">
        <v>141</v>
      </c>
      <c r="N124" t="str">
        <f>O124&amp;P124</f>
        <v>Сидорова Елена ВасильевнаАлексеева Екатерина Павловна</v>
      </c>
      <c r="O124" t="s">
        <v>15</v>
      </c>
      <c r="P124" t="s">
        <v>96</v>
      </c>
      <c r="Q124" t="s">
        <v>433</v>
      </c>
    </row>
    <row r="125">
      <c r="D125" t="s">
        <v>13</v>
      </c>
      <c r="E125" t="s">
        <v>177</v>
      </c>
      <c r="F125" t="str">
        <f>VLOOKUP(D125&amp;E125,J:M,4,0)</f>
        <v>2023-11-07</v>
      </c>
      <c r="G125" t="str">
        <f>VLOOKUP(D125&amp;E125,N:Q,4,0)</f>
        <v>2023-11-07</v>
      </c>
      <c r="H125">
        <f>G125-F125</f>
        <v>0</v>
      </c>
      <c r="J125" t="str">
        <f>K125&amp;L125</f>
        <v>Громова Мария ИльиничнаФедорова Екатерина Сергеевна</v>
      </c>
      <c r="K125" t="s">
        <v>13</v>
      </c>
      <c r="L125" t="s">
        <v>143</v>
      </c>
      <c r="M125" t="s">
        <v>141</v>
      </c>
      <c r="N125" t="str">
        <f>O125&amp;P125</f>
        <v>Петров Владимир КирилловичИванов Павел Сергеевич</v>
      </c>
      <c r="O125" t="s">
        <v>28</v>
      </c>
      <c r="P125" t="s">
        <v>103</v>
      </c>
      <c r="Q125" t="s">
        <v>433</v>
      </c>
    </row>
    <row r="126">
      <c r="D126" t="s">
        <v>13</v>
      </c>
      <c r="E126" t="s">
        <v>316</v>
      </c>
      <c r="F126" t="str">
        <f>VLOOKUP(D126&amp;E126,J:M,4,0)</f>
        <v>2024-06-20</v>
      </c>
      <c r="G126" t="str">
        <f>VLOOKUP(D126&amp;E126,N:Q,4,0)</f>
        <v>2024-06-20</v>
      </c>
      <c r="H126">
        <f>G126-F126</f>
        <v>0</v>
      </c>
      <c r="J126" t="str">
        <f>K126&amp;L126</f>
        <v>Ткаченко Андрей ОлеговичСтепанов Матвей Михайлович</v>
      </c>
      <c r="K126" t="s">
        <v>24</v>
      </c>
      <c r="L126" t="s">
        <v>144</v>
      </c>
      <c r="M126" t="s">
        <v>145</v>
      </c>
      <c r="N126" t="str">
        <f>O126&amp;P126</f>
        <v>Яковлев Артем ИгоревичВолков Константин Александрович</v>
      </c>
      <c r="O126" t="s">
        <v>21</v>
      </c>
      <c r="P126" t="s">
        <v>256</v>
      </c>
      <c r="Q126" t="s">
        <v>433</v>
      </c>
    </row>
    <row r="127">
      <c r="D127" t="s">
        <v>13</v>
      </c>
      <c r="E127" t="s">
        <v>212</v>
      </c>
      <c r="F127" t="str">
        <f>VLOOKUP(D127&amp;E127,J:M,4,0)</f>
        <v>2024-01-04</v>
      </c>
      <c r="G127" t="str">
        <f>VLOOKUP(D127&amp;E127,N:Q,4,0)</f>
        <v>2024-01-04</v>
      </c>
      <c r="H127">
        <f>G127-F127</f>
        <v>0</v>
      </c>
      <c r="J127" t="str">
        <f>K127&amp;L127</f>
        <v>Яковлев Артем ИгоревичВасильев Дмитрий Михайлович</v>
      </c>
      <c r="K127" t="s">
        <v>21</v>
      </c>
      <c r="L127" t="s">
        <v>146</v>
      </c>
      <c r="M127" t="s">
        <v>145</v>
      </c>
      <c r="N127" t="str">
        <f>O127&amp;P127</f>
        <v>Ткаченко Андрей ОлеговичФедорова Людмила Дмитриевна</v>
      </c>
      <c r="O127" t="s">
        <v>24</v>
      </c>
      <c r="P127" t="s">
        <v>215</v>
      </c>
      <c r="Q127" t="s">
        <v>433</v>
      </c>
    </row>
    <row r="128">
      <c r="D128" t="s">
        <v>13</v>
      </c>
      <c r="E128" t="s">
        <v>310</v>
      </c>
      <c r="F128" t="str">
        <f>VLOOKUP(D128&amp;E128,J:M,4,0)</f>
        <v>2024-05-20</v>
      </c>
      <c r="G128" t="str">
        <f>VLOOKUP(D128&amp;E128,N:Q,4,0)</f>
        <v>2024-05-20</v>
      </c>
      <c r="H128">
        <f>G128-F128</f>
        <v>0</v>
      </c>
      <c r="J128" t="str">
        <f>K128&amp;L128</f>
        <v>Петров Владимир КирилловичСтепанова Валерия Романовна</v>
      </c>
      <c r="K128" t="s">
        <v>28</v>
      </c>
      <c r="L128" t="s">
        <v>99</v>
      </c>
      <c r="M128" t="s">
        <v>145</v>
      </c>
      <c r="N128" t="str">
        <f>O128&amp;P128</f>
        <v>Яковлев Артем ИгоревичМорозова Наталья Алексеевна</v>
      </c>
      <c r="O128" t="s">
        <v>21</v>
      </c>
      <c r="P128" t="s">
        <v>209</v>
      </c>
      <c r="Q128" t="s">
        <v>433</v>
      </c>
    </row>
    <row r="129">
      <c r="D129" t="s">
        <v>13</v>
      </c>
      <c r="E129" t="s">
        <v>44</v>
      </c>
      <c r="F129" t="str">
        <f>VLOOKUP(D129&amp;E129,J:M,4,0)</f>
        <v>2023-12-18</v>
      </c>
      <c r="G129" t="str">
        <f>VLOOKUP(D129&amp;E129,N:Q,4,0)</f>
        <v>2023-12-18</v>
      </c>
      <c r="H129">
        <f>G129-F129</f>
        <v>0</v>
      </c>
      <c r="J129" t="str">
        <f>K129&amp;L129</f>
        <v>Сидорова Елена ВасильевнаНовикова Ксения Алексеевна</v>
      </c>
      <c r="K129" t="s">
        <v>15</v>
      </c>
      <c r="L129" t="s">
        <v>147</v>
      </c>
      <c r="M129" t="s">
        <v>145</v>
      </c>
      <c r="N129" t="str">
        <f>O129&amp;P129</f>
        <v>Петров Владимир КирилловичКузнецова Ольга Геннадьевна</v>
      </c>
      <c r="O129" t="s">
        <v>28</v>
      </c>
      <c r="P129" t="s">
        <v>61</v>
      </c>
      <c r="Q129" t="s">
        <v>433</v>
      </c>
    </row>
    <row r="130">
      <c r="D130" t="s">
        <v>13</v>
      </c>
      <c r="E130" t="s">
        <v>99</v>
      </c>
      <c r="F130" t="str">
        <f>VLOOKUP(D130&amp;E130,J:M,4,0)</f>
        <v>2024-01-01</v>
      </c>
      <c r="G130" t="str">
        <f>VLOOKUP(D130&amp;E130,N:Q,4,0)</f>
        <v>2024-01-01</v>
      </c>
      <c r="H130">
        <f>G130-F130</f>
        <v>0</v>
      </c>
      <c r="J130" t="str">
        <f>K130&amp;L130</f>
        <v>Новикова Ольга ПетровнаСеменова Анна Андреевна</v>
      </c>
      <c r="K130" t="s">
        <v>17</v>
      </c>
      <c r="L130" t="s">
        <v>148</v>
      </c>
      <c r="M130" t="s">
        <v>145</v>
      </c>
      <c r="N130" t="str">
        <f>O130&amp;P130</f>
        <v>Сидорова Елена ВасильевнаВасильева Анна Ильинична</v>
      </c>
      <c r="O130" t="s">
        <v>15</v>
      </c>
      <c r="P130" t="s">
        <v>142</v>
      </c>
      <c r="Q130" t="s">
        <v>432</v>
      </c>
    </row>
    <row r="131">
      <c r="D131" t="s">
        <v>13</v>
      </c>
      <c r="E131" t="s">
        <v>153</v>
      </c>
      <c r="F131" t="str">
        <f>VLOOKUP(D131&amp;E131,J:M,4,0)</f>
        <v>2023-10-25</v>
      </c>
      <c r="G131" t="str">
        <f>VLOOKUP(D131&amp;E131,N:Q,4,0)</f>
        <v>2023-10-25</v>
      </c>
      <c r="H131">
        <f>G131-F131</f>
        <v>0</v>
      </c>
      <c r="J131" t="str">
        <f>K131&amp;L131</f>
        <v>Иванова Анна СергеевнаИванова София Геннадьевна</v>
      </c>
      <c r="K131" t="s">
        <v>11</v>
      </c>
      <c r="L131" t="s">
        <v>121</v>
      </c>
      <c r="M131" t="s">
        <v>145</v>
      </c>
      <c r="N131" t="str">
        <f>O131&amp;P131</f>
        <v>Иванова Анна СергеевнаПавлова Валерия Станиславовна</v>
      </c>
      <c r="O131" t="s">
        <v>11</v>
      </c>
      <c r="P131" t="s">
        <v>239</v>
      </c>
      <c r="Q131" t="s">
        <v>432</v>
      </c>
    </row>
    <row r="132">
      <c r="D132" t="s">
        <v>13</v>
      </c>
      <c r="E132" t="s">
        <v>157</v>
      </c>
      <c r="F132" t="str">
        <f>VLOOKUP(D132&amp;E132,J:M,4,0)</f>
        <v>2024-07-31</v>
      </c>
      <c r="G132" t="str">
        <f>VLOOKUP(D132&amp;E132,N:Q,4,0)</f>
        <v>2024-07-31</v>
      </c>
      <c r="H132">
        <f>G132-F132</f>
        <v>0</v>
      </c>
      <c r="J132" t="str">
        <f>K132&amp;L132</f>
        <v>Кузнецов Дмитрий ЛьвовичПетров Михаил Егорович</v>
      </c>
      <c r="K132" t="s">
        <v>8</v>
      </c>
      <c r="L132" t="s">
        <v>149</v>
      </c>
      <c r="M132" t="s">
        <v>150</v>
      </c>
      <c r="N132" t="str">
        <f>O132&amp;P132</f>
        <v>Яковлев Артем ИгоревичСтепанова Юлия Владимировна</v>
      </c>
      <c r="O132" t="s">
        <v>21</v>
      </c>
      <c r="P132" t="s">
        <v>93</v>
      </c>
      <c r="Q132" t="s">
        <v>432</v>
      </c>
    </row>
    <row r="133">
      <c r="D133" t="s">
        <v>13</v>
      </c>
      <c r="E133" t="s">
        <v>143</v>
      </c>
      <c r="F133" t="str">
        <f>VLOOKUP(D133&amp;E133,J:M,4,0)</f>
        <v>2023-10-20</v>
      </c>
      <c r="G133" t="str">
        <f>VLOOKUP(D133&amp;E133,N:Q,4,0)</f>
        <v>2023-10-20</v>
      </c>
      <c r="H133">
        <f>G133-F133</f>
        <v>0</v>
      </c>
      <c r="J133" t="str">
        <f>K133&amp;L133</f>
        <v>Новикова Ольга ПетровнаНиколаев Артур Артемович</v>
      </c>
      <c r="K133" t="s">
        <v>17</v>
      </c>
      <c r="L133" t="s">
        <v>151</v>
      </c>
      <c r="M133" t="s">
        <v>150</v>
      </c>
      <c r="N133" t="str">
        <f>O133&amp;P133</f>
        <v>Кузнецов Дмитрий ЛьвовичПетрова Татьяна Дмитриевна</v>
      </c>
      <c r="O133" t="s">
        <v>8</v>
      </c>
      <c r="P133" t="s">
        <v>234</v>
      </c>
      <c r="Q133" t="s">
        <v>432</v>
      </c>
    </row>
    <row r="134">
      <c r="D134" t="s">
        <v>13</v>
      </c>
      <c r="E134" t="s">
        <v>215</v>
      </c>
      <c r="F134" t="str">
        <f>VLOOKUP(D134&amp;E134,J:M,4,0)</f>
        <v>2023-11-29</v>
      </c>
      <c r="G134" t="str">
        <f>VLOOKUP(D134&amp;E134,N:Q,4,0)</f>
        <v>2023-11-29</v>
      </c>
      <c r="H134">
        <f>G134-F134</f>
        <v>0</v>
      </c>
      <c r="J134" t="str">
        <f>K134&amp;L134</f>
        <v>Петров Владимир КирилловичСтепанова Юлия Владимировна</v>
      </c>
      <c r="K134" t="s">
        <v>28</v>
      </c>
      <c r="L134" t="s">
        <v>93</v>
      </c>
      <c r="M134" t="s">
        <v>152</v>
      </c>
      <c r="N134" t="str">
        <f>O134&amp;P134</f>
        <v>Сидорова Елена ВасильевнаВасильева Мария Ивановна</v>
      </c>
      <c r="O134" t="s">
        <v>15</v>
      </c>
      <c r="P134" t="s">
        <v>135</v>
      </c>
      <c r="Q134" t="s">
        <v>432</v>
      </c>
    </row>
    <row r="135">
      <c r="D135" t="s">
        <v>13</v>
      </c>
      <c r="E135" t="s">
        <v>344</v>
      </c>
      <c r="F135" t="str">
        <f>VLOOKUP(D135&amp;E135,J:M,4,0)</f>
        <v>2024-08-07</v>
      </c>
      <c r="G135" t="str">
        <f>VLOOKUP(D135&amp;E135,N:Q,4,0)</f>
        <v>2024-08-07</v>
      </c>
      <c r="H135">
        <f>G135-F135</f>
        <v>0</v>
      </c>
      <c r="J135" t="str">
        <f>K135&amp;L135</f>
        <v>Громова Мария ИльиничнаСтепанова Людмила Никитична</v>
      </c>
      <c r="K135" t="s">
        <v>13</v>
      </c>
      <c r="L135" t="s">
        <v>153</v>
      </c>
      <c r="M135" t="s">
        <v>152</v>
      </c>
      <c r="N135" t="str">
        <f>O135&amp;P135</f>
        <v>Петров Владимир КирилловичПопова Ксения Никитична</v>
      </c>
      <c r="O135" t="s">
        <v>28</v>
      </c>
      <c r="P135" t="s">
        <v>20</v>
      </c>
      <c r="Q135" t="s">
        <v>431</v>
      </c>
    </row>
    <row r="136">
      <c r="D136" t="s">
        <v>11</v>
      </c>
      <c r="E136" t="s">
        <v>96</v>
      </c>
      <c r="F136" t="str">
        <f>VLOOKUP(D136&amp;E136,J:M,4,0)</f>
        <v>2024-03-25</v>
      </c>
      <c r="G136" t="str">
        <f>VLOOKUP(D136&amp;E136,N:Q,4,0)</f>
        <v>2024-03-25</v>
      </c>
      <c r="H136">
        <f>G136-F136</f>
        <v>0</v>
      </c>
      <c r="J136" t="str">
        <f>K136&amp;L136</f>
        <v>Ткаченко Андрей ОлеговичОрлова Алиса Дмитриевна</v>
      </c>
      <c r="K136" t="s">
        <v>24</v>
      </c>
      <c r="L136" t="s">
        <v>154</v>
      </c>
      <c r="M136" t="s">
        <v>152</v>
      </c>
      <c r="N136" t="str">
        <f>O136&amp;P136</f>
        <v>Белов Алексей КонстантиновичКозлова София Олеговна</v>
      </c>
      <c r="O136" t="s">
        <v>47</v>
      </c>
      <c r="P136" t="s">
        <v>185</v>
      </c>
      <c r="Q136" t="s">
        <v>430</v>
      </c>
    </row>
    <row r="137">
      <c r="D137" t="s">
        <v>11</v>
      </c>
      <c r="E137" t="s">
        <v>189</v>
      </c>
      <c r="F137" t="str">
        <f>VLOOKUP(D137&amp;E137,J:M,4,0)</f>
        <v>2024-02-14</v>
      </c>
      <c r="G137" t="str">
        <f>VLOOKUP(D137&amp;E137,N:Q,4,0)</f>
        <v>2024-02-14</v>
      </c>
      <c r="H137">
        <f>G137-F137</f>
        <v>0</v>
      </c>
      <c r="J137" t="str">
        <f>K137&amp;L137</f>
        <v>Белов Алексей КонстантиновичПетров Сергей Александрович</v>
      </c>
      <c r="K137" t="s">
        <v>47</v>
      </c>
      <c r="L137" t="s">
        <v>89</v>
      </c>
      <c r="M137" t="s">
        <v>155</v>
      </c>
      <c r="N137" t="str">
        <f>O137&amp;P137</f>
        <v>Иванова Анна СергеевнаНовиков Илья Геннадьевич</v>
      </c>
      <c r="O137" t="s">
        <v>11</v>
      </c>
      <c r="P137" t="s">
        <v>241</v>
      </c>
      <c r="Q137" t="s">
        <v>430</v>
      </c>
    </row>
    <row r="138">
      <c r="D138" t="s">
        <v>11</v>
      </c>
      <c r="E138" t="s">
        <v>291</v>
      </c>
      <c r="F138" t="str">
        <f>VLOOKUP(D138&amp;E138,J:M,4,0)</f>
        <v>2024-05-01</v>
      </c>
      <c r="G138" t="str">
        <f>VLOOKUP(D138&amp;E138,N:Q,4,0)</f>
        <v>2024-05-01</v>
      </c>
      <c r="H138">
        <f>G138-F138</f>
        <v>0</v>
      </c>
      <c r="J138" t="str">
        <f>K138&amp;L138</f>
        <v>Сидорова Елена ВасильевнаПавлова Дарья Андреевна</v>
      </c>
      <c r="K138" t="s">
        <v>15</v>
      </c>
      <c r="L138" t="s">
        <v>78</v>
      </c>
      <c r="M138" t="s">
        <v>156</v>
      </c>
      <c r="N138" t="str">
        <f>O138&amp;P138</f>
        <v>Яковлев Артем ИгоревичИванов Матвей Юрьевич</v>
      </c>
      <c r="O138" t="s">
        <v>21</v>
      </c>
      <c r="P138" t="s">
        <v>16</v>
      </c>
      <c r="Q138" t="s">
        <v>430</v>
      </c>
    </row>
    <row r="139">
      <c r="D139" t="s">
        <v>11</v>
      </c>
      <c r="E139" t="s">
        <v>81</v>
      </c>
      <c r="F139" t="str">
        <f>VLOOKUP(D139&amp;E139,J:M,4,0)</f>
        <v>2024-07-29</v>
      </c>
      <c r="G139" t="str">
        <f>VLOOKUP(D139&amp;E139,N:Q,4,0)</f>
        <v>2024-07-29</v>
      </c>
      <c r="H139">
        <f>G139-F139</f>
        <v>0</v>
      </c>
      <c r="J139" t="str">
        <f>K139&amp;L139</f>
        <v>Ткаченко Андрей ОлеговичФедорова Анна Михайловна</v>
      </c>
      <c r="K139" t="s">
        <v>24</v>
      </c>
      <c r="L139" t="s">
        <v>157</v>
      </c>
      <c r="M139" t="s">
        <v>156</v>
      </c>
      <c r="N139" t="str">
        <f>O139&amp;P139</f>
        <v>Яковлев Артем ИгоревичСтепанов Матвей Михайлович</v>
      </c>
      <c r="O139" t="s">
        <v>21</v>
      </c>
      <c r="P139" t="s">
        <v>144</v>
      </c>
      <c r="Q139" t="s">
        <v>430</v>
      </c>
    </row>
    <row r="140">
      <c r="D140" t="s">
        <v>11</v>
      </c>
      <c r="E140" t="s">
        <v>48</v>
      </c>
      <c r="F140" t="str">
        <f>VLOOKUP(D140&amp;E140,J:M,4,0)</f>
        <v>2023-12-19</v>
      </c>
      <c r="G140" t="str">
        <f>VLOOKUP(D140&amp;E140,N:Q,4,0)</f>
        <v>2023-12-19</v>
      </c>
      <c r="H140">
        <f>G140-F140</f>
        <v>0</v>
      </c>
      <c r="J140" t="str">
        <f>K140&amp;L140</f>
        <v>Громова Мария ИльиничнаПавлов Илья Артемович</v>
      </c>
      <c r="K140" t="s">
        <v>13</v>
      </c>
      <c r="L140" t="s">
        <v>158</v>
      </c>
      <c r="M140" t="s">
        <v>159</v>
      </c>
      <c r="N140" t="str">
        <f>O140&amp;P140</f>
        <v>Фролов Сергей ВикторовичМорозов Матвей Романович</v>
      </c>
      <c r="O140" t="s">
        <v>5</v>
      </c>
      <c r="P140" t="s">
        <v>39</v>
      </c>
      <c r="Q140" t="s">
        <v>430</v>
      </c>
    </row>
    <row r="141">
      <c r="D141" t="s">
        <v>11</v>
      </c>
      <c r="E141" t="s">
        <v>137</v>
      </c>
      <c r="F141" t="str">
        <f>VLOOKUP(D141&amp;E141,J:M,4,0)</f>
        <v>2024-04-17</v>
      </c>
      <c r="G141" t="str">
        <f>VLOOKUP(D141&amp;E141,N:Q,4,0)</f>
        <v>2024-04-17</v>
      </c>
      <c r="H141">
        <f>G141-F141</f>
        <v>0</v>
      </c>
      <c r="J141" t="str">
        <f>K141&amp;L141</f>
        <v>Фролов Сергей ВикторовичПопов Александр Владимирович</v>
      </c>
      <c r="K141" t="s">
        <v>5</v>
      </c>
      <c r="L141" t="s">
        <v>160</v>
      </c>
      <c r="M141" t="s">
        <v>159</v>
      </c>
      <c r="N141" t="str">
        <f>O141&amp;P141</f>
        <v>Кузнецов Дмитрий ЛьвовичСтепанова Юлия Владимировна</v>
      </c>
      <c r="O141" t="s">
        <v>8</v>
      </c>
      <c r="P141" t="s">
        <v>93</v>
      </c>
      <c r="Q141" t="s">
        <v>430</v>
      </c>
    </row>
    <row r="142">
      <c r="D142" t="s">
        <v>11</v>
      </c>
      <c r="E142" t="s">
        <v>161</v>
      </c>
      <c r="F142" t="str">
        <f>VLOOKUP(D142&amp;E142,J:M,4,0)</f>
        <v>2024-03-15</v>
      </c>
      <c r="G142" t="str">
        <f>VLOOKUP(D142&amp;E142,N:Q,4,0)</f>
        <v>2024-03-15</v>
      </c>
      <c r="H142">
        <f>G142-F142</f>
        <v>0</v>
      </c>
      <c r="J142" t="str">
        <f>K142&amp;L142</f>
        <v>Громова Мария ИльиничнаВолкова Ирина Никитична</v>
      </c>
      <c r="K142" t="s">
        <v>13</v>
      </c>
      <c r="L142" t="s">
        <v>161</v>
      </c>
      <c r="M142" t="s">
        <v>159</v>
      </c>
      <c r="N142" t="str">
        <f>O142&amp;P142</f>
        <v>Фролов Сергей ВикторовичОрлова Вероника Сергеевна</v>
      </c>
      <c r="O142" t="s">
        <v>5</v>
      </c>
      <c r="P142" t="s">
        <v>246</v>
      </c>
      <c r="Q142" t="s">
        <v>429</v>
      </c>
    </row>
    <row r="143">
      <c r="D143" t="s">
        <v>11</v>
      </c>
      <c r="E143" t="s">
        <v>95</v>
      </c>
      <c r="F143" t="str">
        <f>VLOOKUP(D143&amp;E143,J:M,4,0)</f>
        <v>2023-10-02</v>
      </c>
      <c r="G143" t="str">
        <f>VLOOKUP(D143&amp;E143,N:Q,4,0)</f>
        <v>2023-10-02</v>
      </c>
      <c r="H143">
        <f>G143-F143</f>
        <v>0</v>
      </c>
      <c r="J143" t="str">
        <f>K143&amp;L143</f>
        <v>Яковлев Артем ИгоревичИванова Виктория Михайловна</v>
      </c>
      <c r="K143" t="s">
        <v>21</v>
      </c>
      <c r="L143" t="s">
        <v>33</v>
      </c>
      <c r="M143" t="s">
        <v>159</v>
      </c>
      <c r="N143" t="str">
        <f>O143&amp;P143</f>
        <v>Белов Алексей КонстантиновичМорозова Екатерина Олеговна</v>
      </c>
      <c r="O143" t="s">
        <v>47</v>
      </c>
      <c r="P143" t="s">
        <v>65</v>
      </c>
      <c r="Q143" t="s">
        <v>428</v>
      </c>
    </row>
    <row r="144">
      <c r="D144" t="s">
        <v>11</v>
      </c>
      <c r="E144" t="s">
        <v>85</v>
      </c>
      <c r="F144" t="str">
        <f>VLOOKUP(D144&amp;E144,J:M,4,0)</f>
        <v>2024-02-22</v>
      </c>
      <c r="G144" t="str">
        <f>VLOOKUP(D144&amp;E144,N:Q,4,0)</f>
        <v>2024-02-22</v>
      </c>
      <c r="H144">
        <f>G144-F144</f>
        <v>0</v>
      </c>
      <c r="J144" t="str">
        <f>K144&amp;L144</f>
        <v>Ткаченко Андрей ОлеговичКузнецов Егор Геннадьевич</v>
      </c>
      <c r="K144" t="s">
        <v>24</v>
      </c>
      <c r="L144" t="s">
        <v>162</v>
      </c>
      <c r="M144" t="s">
        <v>159</v>
      </c>
      <c r="N144" t="str">
        <f>O144&amp;P144</f>
        <v>Громова Мария ИльиничнаКозлов Дмитрий Сергеевич</v>
      </c>
      <c r="O144" t="s">
        <v>13</v>
      </c>
      <c r="P144" t="s">
        <v>222</v>
      </c>
      <c r="Q144" t="s">
        <v>428</v>
      </c>
    </row>
    <row r="145">
      <c r="D145" t="s">
        <v>11</v>
      </c>
      <c r="E145" t="s">
        <v>140</v>
      </c>
      <c r="F145" t="str">
        <f>VLOOKUP(D145&amp;E145,J:M,4,0)</f>
        <v>2024-04-17</v>
      </c>
      <c r="G145" t="str">
        <f>VLOOKUP(D145&amp;E145,N:Q,4,0)</f>
        <v>2024-04-17</v>
      </c>
      <c r="H145">
        <f>G145-F145</f>
        <v>0</v>
      </c>
      <c r="J145" t="str">
        <f>K145&amp;L145</f>
        <v>Семенова Ирина ВалерьевнаМорозова Юлия Геннадьевна</v>
      </c>
      <c r="K145" t="s">
        <v>57</v>
      </c>
      <c r="L145" t="s">
        <v>163</v>
      </c>
      <c r="M145" t="s">
        <v>159</v>
      </c>
      <c r="N145" t="str">
        <f>O145&amp;P145</f>
        <v>Яковлев Артем ИгоревичОрлова Алиса Дмитриевна</v>
      </c>
      <c r="O145" t="s">
        <v>21</v>
      </c>
      <c r="P145" t="s">
        <v>154</v>
      </c>
      <c r="Q145" t="s">
        <v>428</v>
      </c>
    </row>
    <row r="146">
      <c r="D146" t="s">
        <v>11</v>
      </c>
      <c r="E146" t="s">
        <v>12</v>
      </c>
      <c r="F146" t="str">
        <f>VLOOKUP(D146&amp;E146,J:M,4,0)</f>
        <v>2023-09-04</v>
      </c>
      <c r="G146" t="str">
        <f>VLOOKUP(D146&amp;E146,N:Q,4,0)</f>
        <v>2023-09-04</v>
      </c>
      <c r="H146">
        <f>G146-F146</f>
        <v>0</v>
      </c>
      <c r="J146" t="str">
        <f>K146&amp;L146</f>
        <v>Новикова Ольга ПетровнаНовикова Ксения Алексеевна</v>
      </c>
      <c r="K146" t="s">
        <v>17</v>
      </c>
      <c r="L146" t="s">
        <v>147</v>
      </c>
      <c r="M146" t="s">
        <v>164</v>
      </c>
      <c r="N146" t="str">
        <f>O146&amp;P146</f>
        <v>Петров Владимир КирилловичСеменов Алексей Михайлович</v>
      </c>
      <c r="O146" t="s">
        <v>28</v>
      </c>
      <c r="P146" t="s">
        <v>299</v>
      </c>
      <c r="Q146" t="s">
        <v>428</v>
      </c>
    </row>
    <row r="147">
      <c r="D147" t="s">
        <v>11</v>
      </c>
      <c r="E147" t="s">
        <v>71</v>
      </c>
      <c r="F147" t="str">
        <f>VLOOKUP(D147&amp;E147,J:M,4,0)</f>
        <v>2024-05-23</v>
      </c>
      <c r="G147" t="str">
        <f>VLOOKUP(D147&amp;E147,N:Q,4,0)</f>
        <v>2024-05-23</v>
      </c>
      <c r="H147">
        <f>G147-F147</f>
        <v>0</v>
      </c>
      <c r="J147" t="str">
        <f>K147&amp;L147</f>
        <v>Орлов Павел ДенисовичФедоров Максим Дмитриевич</v>
      </c>
      <c r="K147" t="s">
        <v>43</v>
      </c>
      <c r="L147" t="s">
        <v>105</v>
      </c>
      <c r="M147" t="s">
        <v>164</v>
      </c>
      <c r="N147" t="str">
        <f>O147&amp;P147</f>
        <v>Яковлев Артем ИгоревичСидорова София Дмитриевна</v>
      </c>
      <c r="O147" t="s">
        <v>21</v>
      </c>
      <c r="P147" t="s">
        <v>254</v>
      </c>
      <c r="Q147" t="s">
        <v>428</v>
      </c>
    </row>
    <row r="148">
      <c r="D148" t="s">
        <v>11</v>
      </c>
      <c r="E148" t="s">
        <v>80</v>
      </c>
      <c r="F148" t="str">
        <f>VLOOKUP(D148&amp;E148,J:M,4,0)</f>
        <v>2024-05-13</v>
      </c>
      <c r="G148" t="str">
        <f>VLOOKUP(D148&amp;E148,N:Q,4,0)</f>
        <v>2024-05-13</v>
      </c>
      <c r="H148">
        <f>G148-F148</f>
        <v>0</v>
      </c>
      <c r="J148" t="str">
        <f>K148&amp;L148</f>
        <v>Петров Владимир КирилловичИванова Людмила Алексеевна</v>
      </c>
      <c r="K148" t="s">
        <v>28</v>
      </c>
      <c r="L148" t="s">
        <v>59</v>
      </c>
      <c r="M148" t="s">
        <v>164</v>
      </c>
      <c r="N148" t="str">
        <f>O148&amp;P148</f>
        <v>Фролов Сергей ВикторовичФедоров Роман Геннадьевич</v>
      </c>
      <c r="O148" t="s">
        <v>5</v>
      </c>
      <c r="P148" t="s">
        <v>178</v>
      </c>
      <c r="Q148" t="s">
        <v>428</v>
      </c>
    </row>
    <row r="149">
      <c r="D149" t="s">
        <v>11</v>
      </c>
      <c r="E149" t="s">
        <v>38</v>
      </c>
      <c r="F149" t="str">
        <f>VLOOKUP(D149&amp;E149,J:M,4,0)</f>
        <v>2024-02-14</v>
      </c>
      <c r="G149" t="str">
        <f>VLOOKUP(D149&amp;E149,N:Q,4,0)</f>
        <v>2024-02-14</v>
      </c>
      <c r="H149">
        <f>G149-F149</f>
        <v>0</v>
      </c>
      <c r="J149" t="str">
        <f>K149&amp;L149</f>
        <v>Петров Владимир КирилловичНовикова Ксения Алексеевна</v>
      </c>
      <c r="K149" t="s">
        <v>28</v>
      </c>
      <c r="L149" t="s">
        <v>147</v>
      </c>
      <c r="M149" t="s">
        <v>164</v>
      </c>
      <c r="N149" t="str">
        <f>O149&amp;P149</f>
        <v>Кузнецов Дмитрий ЛьвовичНиколаева Алиса Романовна</v>
      </c>
      <c r="O149" t="s">
        <v>8</v>
      </c>
      <c r="P149" t="s">
        <v>168</v>
      </c>
      <c r="Q149" t="s">
        <v>428</v>
      </c>
    </row>
    <row r="150">
      <c r="D150" t="s">
        <v>11</v>
      </c>
      <c r="E150" t="s">
        <v>265</v>
      </c>
      <c r="F150" t="str">
        <f>VLOOKUP(D150&amp;E150,J:M,4,0)</f>
        <v>2024-01-03</v>
      </c>
      <c r="G150" t="str">
        <f>VLOOKUP(D150&amp;E150,N:Q,4,0)</f>
        <v>2024-06-17</v>
      </c>
      <c r="H150">
        <f>G150-F150</f>
        <v>166</v>
      </c>
      <c r="J150" t="str">
        <f>K150&amp;L150</f>
        <v>Петров Владимир КирилловичКозлов Павел Романович</v>
      </c>
      <c r="K150" t="s">
        <v>28</v>
      </c>
      <c r="L150" t="s">
        <v>165</v>
      </c>
      <c r="M150" t="s">
        <v>164</v>
      </c>
      <c r="N150" t="str">
        <f>O150&amp;P150</f>
        <v>Громова Мария ИльиничнаСидорова Вероника Романовна</v>
      </c>
      <c r="O150" t="s">
        <v>13</v>
      </c>
      <c r="P150" t="s">
        <v>171</v>
      </c>
      <c r="Q150" t="s">
        <v>428</v>
      </c>
    </row>
    <row r="151">
      <c r="D151" t="s">
        <v>11</v>
      </c>
      <c r="E151" t="s">
        <v>121</v>
      </c>
      <c r="F151" t="str">
        <f>VLOOKUP(D151&amp;E151,J:M,4,0)</f>
        <v>2023-10-23</v>
      </c>
      <c r="G151" t="str">
        <f>VLOOKUP(D151&amp;E151,N:Q,4,0)</f>
        <v>2023-10-23</v>
      </c>
      <c r="H151">
        <f>G151-F151</f>
        <v>0</v>
      </c>
      <c r="J151" t="str">
        <f>K151&amp;L151</f>
        <v>Кузнецов Дмитрий ЛьвовичСтепанов Матвей Михайлович</v>
      </c>
      <c r="K151" t="s">
        <v>8</v>
      </c>
      <c r="L151" t="s">
        <v>144</v>
      </c>
      <c r="M151" t="s">
        <v>166</v>
      </c>
      <c r="N151" t="str">
        <f>O151&amp;P151</f>
        <v>Новикова Ольга ПетровнаПавлов Илья Артемович</v>
      </c>
      <c r="O151" t="s">
        <v>17</v>
      </c>
      <c r="P151" t="s">
        <v>158</v>
      </c>
      <c r="Q151" t="s">
        <v>427</v>
      </c>
    </row>
    <row r="152">
      <c r="D152" t="s">
        <v>11</v>
      </c>
      <c r="E152" t="s">
        <v>217</v>
      </c>
      <c r="F152" t="str">
        <f>VLOOKUP(D152&amp;E152,J:M,4,0)</f>
        <v>2023-12-21</v>
      </c>
      <c r="G152" t="str">
        <f>VLOOKUP(D152&amp;E152,N:Q,4,0)</f>
        <v>2024-01-02</v>
      </c>
      <c r="H152">
        <f>G152-F152</f>
        <v>12</v>
      </c>
      <c r="J152" t="str">
        <f>K152&amp;L152</f>
        <v>Новикова Ольга ПетровнаСмирнова Валерия Викторовна</v>
      </c>
      <c r="K152" t="s">
        <v>17</v>
      </c>
      <c r="L152" t="s">
        <v>63</v>
      </c>
      <c r="M152" t="s">
        <v>166</v>
      </c>
      <c r="N152" t="str">
        <f>O152&amp;P152</f>
        <v>Фролов Сергей ВикторовичСидорова София Дмитриевна</v>
      </c>
      <c r="O152" t="s">
        <v>5</v>
      </c>
      <c r="P152" t="s">
        <v>254</v>
      </c>
      <c r="Q152" t="s">
        <v>427</v>
      </c>
    </row>
    <row r="153">
      <c r="D153" t="s">
        <v>11</v>
      </c>
      <c r="E153" t="s">
        <v>185</v>
      </c>
      <c r="F153" t="str">
        <f>VLOOKUP(D153&amp;E153,J:M,4,0)</f>
        <v>2024-01-26</v>
      </c>
      <c r="G153" t="str">
        <f>VLOOKUP(D153&amp;E153,N:Q,4,0)</f>
        <v>2024-01-26</v>
      </c>
      <c r="H153">
        <f>G153-F153</f>
        <v>0</v>
      </c>
      <c r="J153" t="str">
        <f>K153&amp;L153</f>
        <v>Яковлев Артем ИгоревичИванов Павел Сергеевич</v>
      </c>
      <c r="K153" t="s">
        <v>21</v>
      </c>
      <c r="L153" t="s">
        <v>103</v>
      </c>
      <c r="M153" t="s">
        <v>167</v>
      </c>
      <c r="N153" t="str">
        <f>O153&amp;P153</f>
        <v>Орлов Павел ДенисовичСтепанова Алиса Станиславовна</v>
      </c>
      <c r="O153" t="s">
        <v>43</v>
      </c>
      <c r="P153" t="s">
        <v>67</v>
      </c>
      <c r="Q153" t="s">
        <v>427</v>
      </c>
    </row>
    <row r="154">
      <c r="D154" t="s">
        <v>11</v>
      </c>
      <c r="E154" t="s">
        <v>110</v>
      </c>
      <c r="F154" t="str">
        <f>VLOOKUP(D154&amp;E154,J:M,4,0)</f>
        <v>2023-10-16</v>
      </c>
      <c r="G154" t="str">
        <f>VLOOKUP(D154&amp;E154,N:Q,4,0)</f>
        <v>2023-10-16</v>
      </c>
      <c r="H154">
        <f>G154-F154</f>
        <v>0</v>
      </c>
      <c r="J154" t="str">
        <f>K154&amp;L154</f>
        <v>Семенова Ирина ВалерьевнаСтепанова Валерия Романовна</v>
      </c>
      <c r="K154" t="s">
        <v>57</v>
      </c>
      <c r="L154" t="s">
        <v>99</v>
      </c>
      <c r="M154" t="s">
        <v>167</v>
      </c>
      <c r="N154" t="str">
        <f>O154&amp;P154</f>
        <v>Яковлев Артем ИгоревичИванов Павел Павлович</v>
      </c>
      <c r="O154" t="s">
        <v>21</v>
      </c>
      <c r="P154" t="s">
        <v>80</v>
      </c>
      <c r="Q154" t="s">
        <v>427</v>
      </c>
    </row>
    <row r="155">
      <c r="D155" t="s">
        <v>11</v>
      </c>
      <c r="E155" t="s">
        <v>130</v>
      </c>
      <c r="F155" t="str">
        <f>VLOOKUP(D155&amp;E155,J:M,4,0)</f>
        <v>2023-10-16</v>
      </c>
      <c r="G155" t="str">
        <f>VLOOKUP(D155&amp;E155,N:Q,4,0)</f>
        <v>2023-10-16</v>
      </c>
      <c r="H155">
        <f>G155-F155</f>
        <v>0</v>
      </c>
      <c r="J155" t="str">
        <f>K155&amp;L155</f>
        <v>Семенова Ирина ВалерьевнаКузнецов Егор Геннадьевич</v>
      </c>
      <c r="K155" t="s">
        <v>57</v>
      </c>
      <c r="L155" t="s">
        <v>162</v>
      </c>
      <c r="M155" t="s">
        <v>167</v>
      </c>
      <c r="N155" t="str">
        <f>O155&amp;P155</f>
        <v>Орлов Павел ДенисовичНиколаева Ксения Викторовна</v>
      </c>
      <c r="O155" t="s">
        <v>43</v>
      </c>
      <c r="P155" t="s">
        <v>208</v>
      </c>
      <c r="Q155" t="s">
        <v>426</v>
      </c>
    </row>
    <row r="156">
      <c r="D156" t="s">
        <v>11</v>
      </c>
      <c r="E156" t="s">
        <v>61</v>
      </c>
      <c r="F156" t="str">
        <f>VLOOKUP(D156&amp;E156,J:M,4,0)</f>
        <v>2023-11-23</v>
      </c>
      <c r="G156" t="str">
        <f>VLOOKUP(D156&amp;E156,N:Q,4,0)</f>
        <v>2023-11-23</v>
      </c>
      <c r="H156">
        <f>G156-F156</f>
        <v>0</v>
      </c>
      <c r="J156" t="str">
        <f>K156&amp;L156</f>
        <v>Кузнецов Дмитрий ЛьвовичАлексеева Екатерина Павловна</v>
      </c>
      <c r="K156" t="s">
        <v>8</v>
      </c>
      <c r="L156" t="s">
        <v>96</v>
      </c>
      <c r="M156" t="s">
        <v>167</v>
      </c>
      <c r="N156" t="str">
        <f>O156&amp;P156</f>
        <v>Громова Мария ИльиничнаНиколаев Владимир Геннадьевич</v>
      </c>
      <c r="O156" t="s">
        <v>13</v>
      </c>
      <c r="P156" t="s">
        <v>267</v>
      </c>
      <c r="Q156" t="s">
        <v>425</v>
      </c>
    </row>
    <row r="157">
      <c r="D157" t="s">
        <v>11</v>
      </c>
      <c r="E157" t="s">
        <v>40</v>
      </c>
      <c r="F157" t="str">
        <f>VLOOKUP(D157&amp;E157,J:M,4,0)</f>
        <v>2024-03-11</v>
      </c>
      <c r="G157" t="str">
        <f>VLOOKUP(D157&amp;E157,N:Q,4,0)</f>
        <v>2024-03-11</v>
      </c>
      <c r="H157">
        <f>G157-F157</f>
        <v>0</v>
      </c>
      <c r="J157" t="str">
        <f>K157&amp;L157</f>
        <v>Громова Мария ИльиничнаНиколаева Алиса Романовна</v>
      </c>
      <c r="K157" t="s">
        <v>13</v>
      </c>
      <c r="L157" t="s">
        <v>168</v>
      </c>
      <c r="M157" t="s">
        <v>169</v>
      </c>
      <c r="N157" t="str">
        <f>O157&amp;P157</f>
        <v>Петров Владимир КирилловичНиколаева Алиса Ивановна</v>
      </c>
      <c r="O157" t="s">
        <v>28</v>
      </c>
      <c r="P157" t="s">
        <v>119</v>
      </c>
      <c r="Q157" t="s">
        <v>425</v>
      </c>
    </row>
    <row r="158">
      <c r="D158" t="s">
        <v>11</v>
      </c>
      <c r="E158" t="s">
        <v>68</v>
      </c>
      <c r="F158" t="str">
        <f>VLOOKUP(D158&amp;E158,J:M,4,0)</f>
        <v>2024-08-05</v>
      </c>
      <c r="G158" t="str">
        <f>VLOOKUP(D158&amp;E158,N:Q,4,0)</f>
        <v>2024-08-05</v>
      </c>
      <c r="H158">
        <f>G158-F158</f>
        <v>0</v>
      </c>
      <c r="J158" t="str">
        <f>K158&amp;L158</f>
        <v>Фролов Сергей ВикторовичАлексеева Наталья Андреевна</v>
      </c>
      <c r="K158" t="s">
        <v>5</v>
      </c>
      <c r="L158" t="s">
        <v>42</v>
      </c>
      <c r="M158" t="s">
        <v>169</v>
      </c>
      <c r="N158" t="str">
        <f>O158&amp;P158</f>
        <v>Фролов Сергей ВикторовичНиколаева Дарья Юрьевна</v>
      </c>
      <c r="O158" t="s">
        <v>5</v>
      </c>
      <c r="P158" t="s">
        <v>227</v>
      </c>
      <c r="Q158" t="s">
        <v>424</v>
      </c>
    </row>
    <row r="159">
      <c r="D159" t="s">
        <v>11</v>
      </c>
      <c r="E159" t="s">
        <v>65</v>
      </c>
      <c r="F159" t="str">
        <f>VLOOKUP(D159&amp;E159,J:M,4,0)</f>
        <v>2024-03-20</v>
      </c>
      <c r="G159" t="str">
        <f>VLOOKUP(D159&amp;E159,N:Q,4,0)</f>
        <v>2024-03-20</v>
      </c>
      <c r="H159">
        <f>G159-F159</f>
        <v>0</v>
      </c>
      <c r="J159" t="str">
        <f>K159&amp;L159</f>
        <v>Сидорова Елена ВасильевнаОрлов Дмитрий Иванович</v>
      </c>
      <c r="K159" t="s">
        <v>15</v>
      </c>
      <c r="L159" t="s">
        <v>170</v>
      </c>
      <c r="M159" t="s">
        <v>169</v>
      </c>
      <c r="N159" t="str">
        <f>O159&amp;P159</f>
        <v>Сидорова Елена ВасильевнаВолкова Ирина Никитична</v>
      </c>
      <c r="O159" t="s">
        <v>15</v>
      </c>
      <c r="P159" t="s">
        <v>161</v>
      </c>
      <c r="Q159" t="s">
        <v>423</v>
      </c>
    </row>
    <row r="160">
      <c r="D160" t="s">
        <v>11</v>
      </c>
      <c r="E160" t="s">
        <v>218</v>
      </c>
      <c r="F160" t="str">
        <f>VLOOKUP(D160&amp;E160,J:M,4,0)</f>
        <v>2024-05-23</v>
      </c>
      <c r="G160" t="str">
        <f>VLOOKUP(D160&amp;E160,N:Q,4,0)</f>
        <v>2024-05-23</v>
      </c>
      <c r="H160">
        <f>G160-F160</f>
        <v>0</v>
      </c>
      <c r="J160" t="str">
        <f>K160&amp;L160</f>
        <v>Петров Владимир КирилловичОрлова Людмила Артемовна</v>
      </c>
      <c r="K160" t="s">
        <v>28</v>
      </c>
      <c r="L160" t="s">
        <v>19</v>
      </c>
      <c r="M160" t="s">
        <v>169</v>
      </c>
      <c r="N160" t="str">
        <f>O160&amp;P160</f>
        <v>Ткаченко Андрей ОлеговичКозлов Андрей Ильич</v>
      </c>
      <c r="O160" t="s">
        <v>24</v>
      </c>
      <c r="P160" t="s">
        <v>115</v>
      </c>
      <c r="Q160" t="s">
        <v>423</v>
      </c>
    </row>
    <row r="161">
      <c r="D161" t="s">
        <v>11</v>
      </c>
      <c r="E161" t="s">
        <v>151</v>
      </c>
      <c r="F161" t="str">
        <f>VLOOKUP(D161&amp;E161,J:M,4,0)</f>
        <v>2024-01-19</v>
      </c>
      <c r="G161" t="str">
        <f>VLOOKUP(D161&amp;E161,N:Q,4,0)</f>
        <v>2024-01-19</v>
      </c>
      <c r="H161">
        <f>G161-F161</f>
        <v>0</v>
      </c>
      <c r="J161" t="str">
        <f>K161&amp;L161</f>
        <v>Иванова Анна СергеевнаСидорова Вероника Романовна</v>
      </c>
      <c r="K161" t="s">
        <v>11</v>
      </c>
      <c r="L161" t="s">
        <v>171</v>
      </c>
      <c r="M161" t="s">
        <v>169</v>
      </c>
      <c r="N161" t="str">
        <f>O161&amp;P161</f>
        <v>Белов Алексей КонстантиновичПопова Светлана Дмитриевна</v>
      </c>
      <c r="O161" t="s">
        <v>47</v>
      </c>
      <c r="P161" t="s">
        <v>69</v>
      </c>
      <c r="Q161" t="s">
        <v>423</v>
      </c>
    </row>
    <row r="162">
      <c r="D162" t="s">
        <v>11</v>
      </c>
      <c r="E162" t="s">
        <v>190</v>
      </c>
      <c r="F162" t="str">
        <f>VLOOKUP(D162&amp;E162,J:M,4,0)</f>
        <v>2023-11-15</v>
      </c>
      <c r="G162" t="str">
        <f>VLOOKUP(D162&amp;E162,N:Q,4,0)</f>
        <v>2023-11-15</v>
      </c>
      <c r="H162">
        <f>G162-F162</f>
        <v>0</v>
      </c>
      <c r="J162" t="str">
        <f>K162&amp;L162</f>
        <v>Новикова Ольга ПетровнаСеменов Михаил Никитич</v>
      </c>
      <c r="K162" t="s">
        <v>17</v>
      </c>
      <c r="L162" t="s">
        <v>172</v>
      </c>
      <c r="M162" t="s">
        <v>173</v>
      </c>
      <c r="N162" t="str">
        <f>O162&amp;P162</f>
        <v>Яковлев Артем ИгоревичКузнецов Матвей Олегович</v>
      </c>
      <c r="O162" t="s">
        <v>21</v>
      </c>
      <c r="P162" t="s">
        <v>175</v>
      </c>
      <c r="Q162" t="s">
        <v>422</v>
      </c>
    </row>
    <row r="163">
      <c r="D163" t="s">
        <v>11</v>
      </c>
      <c r="E163" t="s">
        <v>91</v>
      </c>
      <c r="F163" t="str">
        <f>VLOOKUP(D163&amp;E163,J:M,4,0)</f>
        <v>2024-02-23</v>
      </c>
      <c r="G163" t="str">
        <f>VLOOKUP(D163&amp;E163,N:Q,4,0)</f>
        <v>2024-02-23</v>
      </c>
      <c r="H163">
        <f>G163-F163</f>
        <v>0</v>
      </c>
      <c r="J163" t="str">
        <f>K163&amp;L163</f>
        <v>Новикова Ольга ПетровнаСтепанов Матвей Михайлович</v>
      </c>
      <c r="K163" t="s">
        <v>17</v>
      </c>
      <c r="L163" t="s">
        <v>144</v>
      </c>
      <c r="M163" t="s">
        <v>173</v>
      </c>
      <c r="N163" t="str">
        <f>O163&amp;P163</f>
        <v>Кузнецов Дмитрий ЛьвовичВолкова Анна Кирилловна</v>
      </c>
      <c r="O163" t="s">
        <v>8</v>
      </c>
      <c r="P163" t="s">
        <v>223</v>
      </c>
      <c r="Q163" t="s">
        <v>422</v>
      </c>
    </row>
    <row r="164">
      <c r="D164" t="s">
        <v>11</v>
      </c>
      <c r="E164" t="s">
        <v>119</v>
      </c>
      <c r="F164" t="str">
        <f>VLOOKUP(D164&amp;E164,J:M,4,0)</f>
        <v>2023-10-10</v>
      </c>
      <c r="G164" t="str">
        <f>VLOOKUP(D164&amp;E164,N:Q,4,0)</f>
        <v>2023-12-25</v>
      </c>
      <c r="H164">
        <f>G164-F164</f>
        <v>76</v>
      </c>
      <c r="J164" t="str">
        <f>K164&amp;L164</f>
        <v>Ткаченко Андрей ОлеговичЛебедева Александра Станиславовна</v>
      </c>
      <c r="K164" t="s">
        <v>24</v>
      </c>
      <c r="L164" t="s">
        <v>132</v>
      </c>
      <c r="M164" t="s">
        <v>173</v>
      </c>
      <c r="N164" t="str">
        <f>O164&amp;P164</f>
        <v>Новикова Ольга ПетровнаЛебедева Светлана Никитична</v>
      </c>
      <c r="O164" t="s">
        <v>17</v>
      </c>
      <c r="P164" t="s">
        <v>342</v>
      </c>
      <c r="Q164" t="s">
        <v>422</v>
      </c>
    </row>
    <row r="165">
      <c r="D165" t="s">
        <v>11</v>
      </c>
      <c r="E165" t="s">
        <v>252</v>
      </c>
      <c r="F165" t="str">
        <f>VLOOKUP(D165&amp;E165,J:M,4,0)</f>
        <v>2024-03-15</v>
      </c>
      <c r="G165" t="str">
        <f>VLOOKUP(D165&amp;E165,N:Q,4,0)</f>
        <v>2024-03-15</v>
      </c>
      <c r="H165">
        <f>G165-F165</f>
        <v>0</v>
      </c>
      <c r="J165" t="str">
        <f>K165&amp;L165</f>
        <v>Орлов Павел ДенисовичФедоров Алексей Павлович</v>
      </c>
      <c r="K165" t="s">
        <v>43</v>
      </c>
      <c r="L165" t="s">
        <v>174</v>
      </c>
      <c r="M165" t="s">
        <v>173</v>
      </c>
      <c r="N165" t="str">
        <f>O165&amp;P165</f>
        <v>Петров Владимир КирилловичКозлов Андрей Ильич</v>
      </c>
      <c r="O165" t="s">
        <v>28</v>
      </c>
      <c r="P165" t="s">
        <v>115</v>
      </c>
      <c r="Q165" t="s">
        <v>421</v>
      </c>
    </row>
    <row r="166">
      <c r="D166" t="s">
        <v>11</v>
      </c>
      <c r="E166" t="s">
        <v>270</v>
      </c>
      <c r="F166" t="str">
        <f>VLOOKUP(D166&amp;E166,J:M,4,0)</f>
        <v>2024-01-29</v>
      </c>
      <c r="G166" t="str">
        <f>VLOOKUP(D166&amp;E166,N:Q,4,0)</f>
        <v>2024-01-29</v>
      </c>
      <c r="H166">
        <f>G166-F166</f>
        <v>0</v>
      </c>
      <c r="J166" t="str">
        <f>K166&amp;L166</f>
        <v>Ткаченко Андрей ОлеговичПетров Михаил Егорович</v>
      </c>
      <c r="K166" t="s">
        <v>24</v>
      </c>
      <c r="L166" t="s">
        <v>149</v>
      </c>
      <c r="M166" t="s">
        <v>173</v>
      </c>
      <c r="N166" t="str">
        <f>O166&amp;P166</f>
        <v>Семенова Ирина ВалерьевнаПавлова Валерия Станиславовна</v>
      </c>
      <c r="O166" t="s">
        <v>57</v>
      </c>
      <c r="P166" t="s">
        <v>239</v>
      </c>
      <c r="Q166" t="s">
        <v>421</v>
      </c>
    </row>
    <row r="167">
      <c r="D167" t="s">
        <v>11</v>
      </c>
      <c r="E167" t="s">
        <v>73</v>
      </c>
      <c r="F167" t="str">
        <f>VLOOKUP(D167&amp;E167,J:M,4,0)</f>
        <v>2024-04-23</v>
      </c>
      <c r="G167" t="str">
        <f>VLOOKUP(D167&amp;E167,N:Q,4,0)</f>
        <v>2024-04-23</v>
      </c>
      <c r="H167">
        <f>G167-F167</f>
        <v>0</v>
      </c>
      <c r="J167" t="str">
        <f>K167&amp;L167</f>
        <v>Новикова Ольга ПетровнаКузнецов Матвей Олегович</v>
      </c>
      <c r="K167" t="s">
        <v>17</v>
      </c>
      <c r="L167" t="s">
        <v>175</v>
      </c>
      <c r="M167" t="s">
        <v>173</v>
      </c>
      <c r="N167" t="str">
        <f>O167&amp;P167</f>
        <v>Громова Мария ИльиничнаМорозова Татьяна Кирилловна</v>
      </c>
      <c r="O167" t="s">
        <v>13</v>
      </c>
      <c r="P167" t="s">
        <v>218</v>
      </c>
      <c r="Q167" t="s">
        <v>421</v>
      </c>
    </row>
    <row r="168">
      <c r="D168" t="s">
        <v>11</v>
      </c>
      <c r="E168" t="s">
        <v>208</v>
      </c>
      <c r="F168" t="str">
        <f>VLOOKUP(D168&amp;E168,J:M,4,0)</f>
        <v>2024-06-20</v>
      </c>
      <c r="G168" t="str">
        <f>VLOOKUP(D168&amp;E168,N:Q,4,0)</f>
        <v>2024-06-20</v>
      </c>
      <c r="H168">
        <f>G168-F168</f>
        <v>0</v>
      </c>
      <c r="J168" t="str">
        <f>K168&amp;L168</f>
        <v>Фролов Сергей ВикторовичПавлов Кирилл Иванович</v>
      </c>
      <c r="K168" t="s">
        <v>5</v>
      </c>
      <c r="L168" t="s">
        <v>25</v>
      </c>
      <c r="M168" t="s">
        <v>173</v>
      </c>
      <c r="N168" t="str">
        <f>O168&amp;P168</f>
        <v>Белов Алексей КонстантиновичНовикова Анна Ильинична</v>
      </c>
      <c r="O168" t="s">
        <v>47</v>
      </c>
      <c r="P168" t="s">
        <v>35</v>
      </c>
      <c r="Q168" t="s">
        <v>420</v>
      </c>
    </row>
    <row r="169">
      <c r="D169" t="s">
        <v>11</v>
      </c>
      <c r="E169" t="s">
        <v>184</v>
      </c>
      <c r="F169" t="str">
        <f>VLOOKUP(D169&amp;E169,J:M,4,0)</f>
        <v>2023-11-30</v>
      </c>
      <c r="G169" t="str">
        <f>VLOOKUP(D169&amp;E169,N:Q,4,0)</f>
        <v>2023-11-30</v>
      </c>
      <c r="H169">
        <f>G169-F169</f>
        <v>0</v>
      </c>
      <c r="J169" t="str">
        <f>K169&amp;L169</f>
        <v>Семенова Ирина ВалерьевнаИванов Павел Сергеевич</v>
      </c>
      <c r="K169" t="s">
        <v>57</v>
      </c>
      <c r="L169" t="s">
        <v>103</v>
      </c>
      <c r="M169" t="s">
        <v>173</v>
      </c>
      <c r="N169" t="str">
        <f>O169&amp;P169</f>
        <v>Яковлев Артем ИгоревичЕгоров Андрей Дмитриевич</v>
      </c>
      <c r="O169" t="s">
        <v>21</v>
      </c>
      <c r="P169" t="s">
        <v>272</v>
      </c>
      <c r="Q169" t="s">
        <v>419</v>
      </c>
    </row>
    <row r="170">
      <c r="D170" t="s">
        <v>11</v>
      </c>
      <c r="E170" t="s">
        <v>241</v>
      </c>
      <c r="F170" t="str">
        <f>VLOOKUP(D170&amp;E170,J:M,4,0)</f>
        <v>2024-07-10</v>
      </c>
      <c r="G170" t="str">
        <f>VLOOKUP(D170&amp;E170,N:Q,4,0)</f>
        <v>2024-07-10</v>
      </c>
      <c r="H170">
        <f>G170-F170</f>
        <v>0</v>
      </c>
      <c r="J170" t="str">
        <f>K170&amp;L170</f>
        <v>Сидорова Елена ВасильевнаИванов Павел Павлович</v>
      </c>
      <c r="K170" t="s">
        <v>15</v>
      </c>
      <c r="L170" t="s">
        <v>80</v>
      </c>
      <c r="M170" t="s">
        <v>173</v>
      </c>
      <c r="N170" t="str">
        <f>O170&amp;P170</f>
        <v>Фролов Сергей ВикторовичИванова София Ильинична</v>
      </c>
      <c r="O170" t="s">
        <v>5</v>
      </c>
      <c r="P170" t="s">
        <v>315</v>
      </c>
      <c r="Q170" t="s">
        <v>419</v>
      </c>
    </row>
    <row r="171">
      <c r="D171" t="s">
        <v>11</v>
      </c>
      <c r="E171" t="s">
        <v>154</v>
      </c>
      <c r="F171" t="str">
        <f>VLOOKUP(D171&amp;E171,J:M,4,0)</f>
        <v>2024-07-29</v>
      </c>
      <c r="G171" t="str">
        <f>VLOOKUP(D171&amp;E171,N:Q,4,0)</f>
        <v>2024-07-29</v>
      </c>
      <c r="H171">
        <f>G171-F171</f>
        <v>0</v>
      </c>
      <c r="J171" t="str">
        <f>K171&amp;L171</f>
        <v>Яковлев Артем ИгоревичСтепанов Матвей Михайлович</v>
      </c>
      <c r="K171" t="s">
        <v>21</v>
      </c>
      <c r="L171" t="s">
        <v>144</v>
      </c>
      <c r="M171" t="s">
        <v>176</v>
      </c>
      <c r="N171" t="str">
        <f>O171&amp;P171</f>
        <v>Белов Алексей КонстантиновичПопова Ксения Никитична</v>
      </c>
      <c r="O171" t="s">
        <v>47</v>
      </c>
      <c r="P171" t="s">
        <v>20</v>
      </c>
      <c r="Q171" t="s">
        <v>418</v>
      </c>
    </row>
    <row r="172">
      <c r="D172" t="s">
        <v>11</v>
      </c>
      <c r="E172" t="s">
        <v>6</v>
      </c>
      <c r="F172" t="str">
        <f>VLOOKUP(D172&amp;E172,J:M,4,0)</f>
        <v>2024-03-25</v>
      </c>
      <c r="G172" t="str">
        <f>VLOOKUP(D172&amp;E172,N:Q,4,0)</f>
        <v>2024-06-24</v>
      </c>
      <c r="H172">
        <f>G172-F172</f>
        <v>91</v>
      </c>
      <c r="J172" t="str">
        <f>K172&amp;L172</f>
        <v>Громова Мария ИльиничнаСидорова Ольга Олеговна</v>
      </c>
      <c r="K172" t="s">
        <v>13</v>
      </c>
      <c r="L172" t="s">
        <v>177</v>
      </c>
      <c r="M172" t="s">
        <v>176</v>
      </c>
      <c r="N172" t="str">
        <f>O172&amp;P172</f>
        <v>Яковлев Артем ИгоревичЕгорова Татьяна Ильинична</v>
      </c>
      <c r="O172" t="s">
        <v>21</v>
      </c>
      <c r="P172" t="s">
        <v>12</v>
      </c>
      <c r="Q172" t="s">
        <v>418</v>
      </c>
    </row>
    <row r="173">
      <c r="D173" t="s">
        <v>11</v>
      </c>
      <c r="E173" t="s">
        <v>97</v>
      </c>
      <c r="F173" t="str">
        <f>VLOOKUP(D173&amp;E173,J:M,4,0)</f>
        <v>2023-10-02</v>
      </c>
      <c r="G173" t="str">
        <f>VLOOKUP(D173&amp;E173,N:Q,4,0)</f>
        <v>2023-10-02</v>
      </c>
      <c r="H173">
        <f>G173-F173</f>
        <v>0</v>
      </c>
      <c r="J173" t="str">
        <f>K173&amp;L173</f>
        <v>Ткаченко Андрей ОлеговичФедоров Роман Геннадьевич</v>
      </c>
      <c r="K173" t="s">
        <v>24</v>
      </c>
      <c r="L173" t="s">
        <v>178</v>
      </c>
      <c r="M173" t="s">
        <v>179</v>
      </c>
      <c r="N173" t="str">
        <f>O173&amp;P173</f>
        <v>Фролов Сергей ВикторовичМорозова Вероника Олеговна</v>
      </c>
      <c r="O173" t="s">
        <v>5</v>
      </c>
      <c r="P173" t="s">
        <v>68</v>
      </c>
      <c r="Q173" t="s">
        <v>418</v>
      </c>
    </row>
    <row r="174">
      <c r="D174" t="s">
        <v>11</v>
      </c>
      <c r="E174" t="s">
        <v>158</v>
      </c>
      <c r="F174" t="str">
        <f>VLOOKUP(D174&amp;E174,J:M,4,0)</f>
        <v>2024-01-12</v>
      </c>
      <c r="G174" t="str">
        <f>VLOOKUP(D174&amp;E174,N:Q,4,0)</f>
        <v>2024-01-12</v>
      </c>
      <c r="H174">
        <f>G174-F174</f>
        <v>0</v>
      </c>
      <c r="J174" t="str">
        <f>K174&amp;L174</f>
        <v>Орлов Павел ДенисовичНиколаев Дмитрий Павлович</v>
      </c>
      <c r="K174" t="s">
        <v>43</v>
      </c>
      <c r="L174" t="s">
        <v>37</v>
      </c>
      <c r="M174" t="s">
        <v>179</v>
      </c>
      <c r="N174" t="str">
        <f>O174&amp;P174</f>
        <v>Фролов Сергей ВикторовичИванова Анна Геннадьевна</v>
      </c>
      <c r="O174" t="s">
        <v>5</v>
      </c>
      <c r="P174" t="s">
        <v>9</v>
      </c>
      <c r="Q174" t="s">
        <v>418</v>
      </c>
    </row>
    <row r="175">
      <c r="D175" t="s">
        <v>11</v>
      </c>
      <c r="E175" t="s">
        <v>239</v>
      </c>
      <c r="F175" t="str">
        <f>VLOOKUP(D175&amp;E175,J:M,4,0)</f>
        <v>2024-07-12</v>
      </c>
      <c r="G175" t="str">
        <f>VLOOKUP(D175&amp;E175,N:Q,4,0)</f>
        <v>2024-07-17</v>
      </c>
      <c r="H175">
        <f>G175-F175</f>
        <v>5</v>
      </c>
      <c r="J175" t="str">
        <f>K175&amp;L175</f>
        <v>Кузнецов Дмитрий ЛьвовичОрлова Людмила Артемовна</v>
      </c>
      <c r="K175" t="s">
        <v>8</v>
      </c>
      <c r="L175" t="s">
        <v>19</v>
      </c>
      <c r="M175" t="s">
        <v>179</v>
      </c>
      <c r="N175" t="str">
        <f>O175&amp;P175</f>
        <v>Сидорова Елена ВасильевнаМорозова Екатерина Ивановна</v>
      </c>
      <c r="O175" t="s">
        <v>15</v>
      </c>
      <c r="P175" t="s">
        <v>207</v>
      </c>
      <c r="Q175" t="s">
        <v>418</v>
      </c>
    </row>
    <row r="176">
      <c r="D176" t="s">
        <v>11</v>
      </c>
      <c r="E176" t="s">
        <v>77</v>
      </c>
      <c r="F176" t="str">
        <f>VLOOKUP(D176&amp;E176,J:M,4,0)</f>
        <v>2024-01-16</v>
      </c>
      <c r="G176" t="str">
        <f>VLOOKUP(D176&amp;E176,N:Q,4,0)</f>
        <v>2024-04-05</v>
      </c>
      <c r="H176">
        <f>G176-F176</f>
        <v>80</v>
      </c>
      <c r="J176" t="str">
        <f>K176&amp;L176</f>
        <v>Фролов Сергей ВикторовичИванов Павел Сергеевич</v>
      </c>
      <c r="K176" t="s">
        <v>5</v>
      </c>
      <c r="L176" t="s">
        <v>103</v>
      </c>
      <c r="M176" t="s">
        <v>179</v>
      </c>
      <c r="N176" t="str">
        <f>O176&amp;P176</f>
        <v>Сидорова Елена ВасильевнаНиколаева Александра Александровна</v>
      </c>
      <c r="O176" t="s">
        <v>15</v>
      </c>
      <c r="P176" t="s">
        <v>280</v>
      </c>
      <c r="Q176" t="s">
        <v>418</v>
      </c>
    </row>
    <row r="177">
      <c r="D177" t="s">
        <v>11</v>
      </c>
      <c r="E177" t="s">
        <v>100</v>
      </c>
      <c r="F177" t="str">
        <f>VLOOKUP(D177&amp;E177,J:M,4,0)</f>
        <v>2024-04-29</v>
      </c>
      <c r="G177" t="str">
        <f>VLOOKUP(D177&amp;E177,N:Q,4,0)</f>
        <v>2024-04-29</v>
      </c>
      <c r="H177">
        <f>G177-F177</f>
        <v>0</v>
      </c>
      <c r="J177" t="str">
        <f>K177&amp;L177</f>
        <v>Ткаченко Андрей ОлеговичОрлова Дарья Станиславовна</v>
      </c>
      <c r="K177" t="s">
        <v>24</v>
      </c>
      <c r="L177" t="s">
        <v>41</v>
      </c>
      <c r="M177" t="s">
        <v>179</v>
      </c>
      <c r="N177" t="str">
        <f>O177&amp;P177</f>
        <v>Ткаченко Андрей ОлеговичПопова Полина Романовна</v>
      </c>
      <c r="O177" t="s">
        <v>24</v>
      </c>
      <c r="P177" t="s">
        <v>192</v>
      </c>
      <c r="Q177" t="s">
        <v>418</v>
      </c>
    </row>
    <row r="178">
      <c r="D178" t="s">
        <v>11</v>
      </c>
      <c r="E178" t="s">
        <v>117</v>
      </c>
      <c r="F178" t="str">
        <f>VLOOKUP(D178&amp;E178,J:M,4,0)</f>
        <v>2023-10-09</v>
      </c>
      <c r="G178" t="str">
        <f>VLOOKUP(D178&amp;E178,N:Q,4,0)</f>
        <v>2023-10-09</v>
      </c>
      <c r="H178">
        <f>G178-F178</f>
        <v>0</v>
      </c>
      <c r="J178" t="str">
        <f>K178&amp;L178</f>
        <v>Сидорова Елена ВасильевнаСтепанов Кирилл Павлович</v>
      </c>
      <c r="K178" t="s">
        <v>15</v>
      </c>
      <c r="L178" t="s">
        <v>123</v>
      </c>
      <c r="M178" t="s">
        <v>180</v>
      </c>
      <c r="N178" t="str">
        <f>O178&amp;P178</f>
        <v>Иванова Анна СергеевнаОрлова Анна Владимировна</v>
      </c>
      <c r="O178" t="s">
        <v>11</v>
      </c>
      <c r="P178" t="s">
        <v>6</v>
      </c>
      <c r="Q178" t="s">
        <v>418</v>
      </c>
    </row>
    <row r="179">
      <c r="D179" t="s">
        <v>11</v>
      </c>
      <c r="E179" t="s">
        <v>149</v>
      </c>
      <c r="F179" t="str">
        <f>VLOOKUP(D179&amp;E179,J:M,4,0)</f>
        <v>2024-05-24</v>
      </c>
      <c r="G179" t="str">
        <f>VLOOKUP(D179&amp;E179,N:Q,4,0)</f>
        <v>2024-05-24</v>
      </c>
      <c r="H179">
        <f>G179-F179</f>
        <v>0</v>
      </c>
      <c r="J179" t="str">
        <f>K179&amp;L179</f>
        <v>Ткаченко Андрей ОлеговичПавлова София Артемовна</v>
      </c>
      <c r="K179" t="s">
        <v>24</v>
      </c>
      <c r="L179" t="s">
        <v>111</v>
      </c>
      <c r="M179" t="s">
        <v>180</v>
      </c>
      <c r="N179" t="str">
        <f>O179&amp;P179</f>
        <v>Ткаченко Андрей ОлеговичНиколаев Дмитрий Павлович</v>
      </c>
      <c r="O179" t="s">
        <v>24</v>
      </c>
      <c r="P179" t="s">
        <v>37</v>
      </c>
      <c r="Q179" t="s">
        <v>417</v>
      </c>
    </row>
    <row r="180">
      <c r="D180" t="s">
        <v>11</v>
      </c>
      <c r="E180" t="s">
        <v>160</v>
      </c>
      <c r="F180" t="str">
        <f>VLOOKUP(D180&amp;E180,J:M,4,0)</f>
        <v>2024-01-22</v>
      </c>
      <c r="G180" t="str">
        <f>VLOOKUP(D180&amp;E180,N:Q,4,0)</f>
        <v>2024-07-22</v>
      </c>
      <c r="H180">
        <f>G180-F180</f>
        <v>182</v>
      </c>
      <c r="J180" t="str">
        <f>K180&amp;L180</f>
        <v>Фролов Сергей ВикторовичПопов Матвей Александрович</v>
      </c>
      <c r="K180" t="s">
        <v>5</v>
      </c>
      <c r="L180" t="s">
        <v>181</v>
      </c>
      <c r="M180" t="s">
        <v>180</v>
      </c>
      <c r="N180" t="str">
        <f>O180&amp;P180</f>
        <v>Иванова Анна СергеевнаСеменова Ольга Олеговна</v>
      </c>
      <c r="O180" t="s">
        <v>11</v>
      </c>
      <c r="P180" t="s">
        <v>308</v>
      </c>
      <c r="Q180" t="s">
        <v>417</v>
      </c>
    </row>
    <row r="181">
      <c r="D181" t="s">
        <v>11</v>
      </c>
      <c r="E181" t="s">
        <v>113</v>
      </c>
      <c r="F181" t="str">
        <f>VLOOKUP(D181&amp;E181,J:M,4,0)</f>
        <v>2023-10-09</v>
      </c>
      <c r="G181" t="str">
        <f>VLOOKUP(D181&amp;E181,N:Q,4,0)</f>
        <v>2023-10-09</v>
      </c>
      <c r="H181">
        <f>G181-F181</f>
        <v>0</v>
      </c>
      <c r="J181" t="str">
        <f>K181&amp;L181</f>
        <v>Семенова Ирина ВалерьевнаМорозова Юлия Егоровна</v>
      </c>
      <c r="K181" t="s">
        <v>57</v>
      </c>
      <c r="L181" t="s">
        <v>182</v>
      </c>
      <c r="M181" t="s">
        <v>180</v>
      </c>
      <c r="N181" t="str">
        <f>O181&amp;P181</f>
        <v>Иванова Анна СергеевнаПопова Полина Романовна</v>
      </c>
      <c r="O181" t="s">
        <v>11</v>
      </c>
      <c r="P181" t="s">
        <v>192</v>
      </c>
      <c r="Q181" t="s">
        <v>417</v>
      </c>
    </row>
    <row r="182">
      <c r="D182" t="s">
        <v>11</v>
      </c>
      <c r="E182" t="s">
        <v>243</v>
      </c>
      <c r="F182" t="str">
        <f>VLOOKUP(D182&amp;E182,J:M,4,0)</f>
        <v>2023-12-20</v>
      </c>
      <c r="G182" t="str">
        <f>VLOOKUP(D182&amp;E182,N:Q,4,0)</f>
        <v>2023-12-20</v>
      </c>
      <c r="H182">
        <f>G182-F182</f>
        <v>0</v>
      </c>
      <c r="J182" t="str">
        <f>K182&amp;L182</f>
        <v>Петров Владимир КирилловичИванова Елена Алексеевна</v>
      </c>
      <c r="K182" t="s">
        <v>28</v>
      </c>
      <c r="L182" t="s">
        <v>118</v>
      </c>
      <c r="M182" t="s">
        <v>183</v>
      </c>
      <c r="N182" t="str">
        <f>O182&amp;P182</f>
        <v>Новикова Ольга ПетровнаИванова Ксения Александровна</v>
      </c>
      <c r="O182" t="s">
        <v>17</v>
      </c>
      <c r="P182" t="s">
        <v>265</v>
      </c>
      <c r="Q182" t="s">
        <v>417</v>
      </c>
    </row>
    <row r="183">
      <c r="D183" t="s">
        <v>11</v>
      </c>
      <c r="E183" t="s">
        <v>20</v>
      </c>
      <c r="F183" t="str">
        <f>VLOOKUP(D183&amp;E183,J:M,4,0)</f>
        <v>2023-09-04</v>
      </c>
      <c r="G183" t="str">
        <f>VLOOKUP(D183&amp;E183,N:Q,4,0)</f>
        <v>2024-06-10</v>
      </c>
      <c r="H183">
        <f>G183-F183</f>
        <v>280</v>
      </c>
      <c r="J183" t="str">
        <f>K183&amp;L183</f>
        <v>Фролов Сергей ВикторовичНовиков Дмитрий Иванович</v>
      </c>
      <c r="K183" t="s">
        <v>5</v>
      </c>
      <c r="L183" t="s">
        <v>184</v>
      </c>
      <c r="M183" t="s">
        <v>183</v>
      </c>
      <c r="N183" t="str">
        <f>O183&amp;P183</f>
        <v>Сидорова Елена ВасильевнаСеменов Михаил Никитич</v>
      </c>
      <c r="O183" t="s">
        <v>15</v>
      </c>
      <c r="P183" t="s">
        <v>172</v>
      </c>
      <c r="Q183" t="s">
        <v>417</v>
      </c>
    </row>
    <row r="184">
      <c r="D184" t="s">
        <v>11</v>
      </c>
      <c r="E184" t="s">
        <v>192</v>
      </c>
      <c r="F184" t="str">
        <f>VLOOKUP(D184&amp;E184,J:M,4,0)</f>
        <v>2024-02-29</v>
      </c>
      <c r="G184" t="str">
        <f>VLOOKUP(D184&amp;E184,N:Q,4,0)</f>
        <v>2024-06-21</v>
      </c>
      <c r="H184">
        <f>G184-F184</f>
        <v>113</v>
      </c>
      <c r="J184" t="str">
        <f>K184&amp;L184</f>
        <v>Орлов Павел ДенисовичНовикова Ксения Алексеевна</v>
      </c>
      <c r="K184" t="s">
        <v>43</v>
      </c>
      <c r="L184" t="s">
        <v>147</v>
      </c>
      <c r="M184" t="s">
        <v>183</v>
      </c>
      <c r="N184" t="str">
        <f>O184&amp;P184</f>
        <v>Иванова Анна СергеевнаПопов Александр Владимирович</v>
      </c>
      <c r="O184" t="s">
        <v>11</v>
      </c>
      <c r="P184" t="s">
        <v>160</v>
      </c>
      <c r="Q184" t="s">
        <v>416</v>
      </c>
    </row>
    <row r="185">
      <c r="D185" t="s">
        <v>11</v>
      </c>
      <c r="E185" t="s">
        <v>69</v>
      </c>
      <c r="F185" t="str">
        <f>VLOOKUP(D185&amp;E185,J:M,4,0)</f>
        <v>2023-12-04</v>
      </c>
      <c r="G185" t="str">
        <f>VLOOKUP(D185&amp;E185,N:Q,4,0)</f>
        <v>2023-12-04</v>
      </c>
      <c r="H185">
        <f>G185-F185</f>
        <v>0</v>
      </c>
      <c r="J185" t="str">
        <f>K185&amp;L185</f>
        <v>Сидорова Елена ВасильевнаКозлова София Олеговна</v>
      </c>
      <c r="K185" t="s">
        <v>15</v>
      </c>
      <c r="L185" t="s">
        <v>185</v>
      </c>
      <c r="M185" t="s">
        <v>183</v>
      </c>
      <c r="N185" t="str">
        <f>O185&amp;P185</f>
        <v>Новикова Ольга ПетровнаОрлова Полина Никитична</v>
      </c>
      <c r="O185" t="s">
        <v>17</v>
      </c>
      <c r="P185" t="s">
        <v>200</v>
      </c>
      <c r="Q185" t="s">
        <v>416</v>
      </c>
    </row>
    <row r="186">
      <c r="D186" t="s">
        <v>11</v>
      </c>
      <c r="E186" t="s">
        <v>258</v>
      </c>
      <c r="F186" t="str">
        <f>VLOOKUP(D186&amp;E186,J:M,4,0)</f>
        <v>2024-04-30</v>
      </c>
      <c r="G186" t="str">
        <f>VLOOKUP(D186&amp;E186,N:Q,4,0)</f>
        <v>2024-04-30</v>
      </c>
      <c r="H186">
        <f>G186-F186</f>
        <v>0</v>
      </c>
      <c r="J186" t="str">
        <f>K186&amp;L186</f>
        <v>Ткаченко Андрей ОлеговичПопов Матвей Викторович</v>
      </c>
      <c r="K186" t="s">
        <v>24</v>
      </c>
      <c r="L186" t="s">
        <v>113</v>
      </c>
      <c r="M186" t="s">
        <v>183</v>
      </c>
      <c r="N186" t="str">
        <f>O186&amp;P186</f>
        <v>Громова Мария ИльиничнаСмирнов Артем Егорович</v>
      </c>
      <c r="O186" t="s">
        <v>13</v>
      </c>
      <c r="P186" t="s">
        <v>316</v>
      </c>
      <c r="Q186" t="s">
        <v>416</v>
      </c>
    </row>
    <row r="187">
      <c r="D187" t="s">
        <v>11</v>
      </c>
      <c r="E187" t="s">
        <v>30</v>
      </c>
      <c r="F187" t="str">
        <f>VLOOKUP(D187&amp;E187,J:M,4,0)</f>
        <v>2023-09-06</v>
      </c>
      <c r="G187" t="str">
        <f>VLOOKUP(D187&amp;E187,N:Q,4,0)</f>
        <v>2023-09-06</v>
      </c>
      <c r="H187">
        <f>G187-F187</f>
        <v>0</v>
      </c>
      <c r="J187" t="str">
        <f>K187&amp;L187</f>
        <v>Громова Мария ИльиничнаНовикова Людмила Павловна</v>
      </c>
      <c r="K187" t="s">
        <v>13</v>
      </c>
      <c r="L187" t="s">
        <v>116</v>
      </c>
      <c r="M187" t="s">
        <v>183</v>
      </c>
      <c r="N187" t="str">
        <f>O187&amp;P187</f>
        <v>Новикова Ольга ПетровнаИванова Ксения Александровна</v>
      </c>
      <c r="O187" t="s">
        <v>17</v>
      </c>
      <c r="P187" t="s">
        <v>265</v>
      </c>
      <c r="Q187" t="s">
        <v>416</v>
      </c>
    </row>
    <row r="188">
      <c r="D188" t="s">
        <v>11</v>
      </c>
      <c r="E188" t="s">
        <v>308</v>
      </c>
      <c r="F188" t="str">
        <f>VLOOKUP(D188&amp;E188,J:M,4,0)</f>
        <v>2024-06-21</v>
      </c>
      <c r="G188" t="str">
        <f>VLOOKUP(D188&amp;E188,N:Q,4,0)</f>
        <v>2024-06-21</v>
      </c>
      <c r="H188">
        <f>G188-F188</f>
        <v>0</v>
      </c>
      <c r="J188" t="str">
        <f>K188&amp;L188</f>
        <v>Новикова Ольга ПетровнаСтепанова Ирина Артемовна</v>
      </c>
      <c r="K188" t="s">
        <v>17</v>
      </c>
      <c r="L188" t="s">
        <v>45</v>
      </c>
      <c r="M188" t="s">
        <v>183</v>
      </c>
      <c r="N188" t="str">
        <f>O188&amp;P188</f>
        <v>Фролов Сергей ВикторовичСмирнова Алиса Артемовна</v>
      </c>
      <c r="O188" t="s">
        <v>5</v>
      </c>
      <c r="P188" t="s">
        <v>31</v>
      </c>
      <c r="Q188" t="s">
        <v>416</v>
      </c>
    </row>
    <row r="189">
      <c r="D189" t="s">
        <v>11</v>
      </c>
      <c r="E189" t="s">
        <v>171</v>
      </c>
      <c r="F189" t="str">
        <f>VLOOKUP(D189&amp;E189,J:M,4,0)</f>
        <v>2023-11-03</v>
      </c>
      <c r="G189" t="str">
        <f>VLOOKUP(D189&amp;E189,N:Q,4,0)</f>
        <v>2023-11-03</v>
      </c>
      <c r="H189">
        <f>G189-F189</f>
        <v>0</v>
      </c>
      <c r="J189" t="str">
        <f>K189&amp;L189</f>
        <v>Новикова Ольга ПетровнаКозлов Артур Андреевич</v>
      </c>
      <c r="K189" t="s">
        <v>17</v>
      </c>
      <c r="L189" t="s">
        <v>98</v>
      </c>
      <c r="M189" t="s">
        <v>183</v>
      </c>
      <c r="N189" t="str">
        <f>O189&amp;P189</f>
        <v>Орлов Павел ДенисовичФедорова Людмила Дмитриевна</v>
      </c>
      <c r="O189" t="s">
        <v>43</v>
      </c>
      <c r="P189" t="s">
        <v>215</v>
      </c>
      <c r="Q189" t="s">
        <v>416</v>
      </c>
    </row>
    <row r="190">
      <c r="D190" t="s">
        <v>11</v>
      </c>
      <c r="E190" t="s">
        <v>257</v>
      </c>
      <c r="F190" t="str">
        <f>VLOOKUP(D190&amp;E190,J:M,4,0)</f>
        <v>2024-02-28</v>
      </c>
      <c r="G190" t="str">
        <f>VLOOKUP(D190&amp;E190,N:Q,4,0)</f>
        <v>2024-02-28</v>
      </c>
      <c r="H190">
        <f>G190-F190</f>
        <v>0</v>
      </c>
      <c r="J190" t="str">
        <f>K190&amp;L190</f>
        <v>Фролов Сергей ВикторовичНиколаева Александра Кирилловна</v>
      </c>
      <c r="K190" t="s">
        <v>5</v>
      </c>
      <c r="L190" t="s">
        <v>186</v>
      </c>
      <c r="M190" t="s">
        <v>183</v>
      </c>
      <c r="N190" t="str">
        <f>O190&amp;P190</f>
        <v>Ткаченко Андрей ОлеговичАлексеев Иван Иванович</v>
      </c>
      <c r="O190" t="s">
        <v>24</v>
      </c>
      <c r="P190" t="s">
        <v>70</v>
      </c>
      <c r="Q190" t="s">
        <v>416</v>
      </c>
    </row>
    <row r="191">
      <c r="D191" t="s">
        <v>11</v>
      </c>
      <c r="E191" t="s">
        <v>177</v>
      </c>
      <c r="F191" t="str">
        <f>VLOOKUP(D191&amp;E191,J:M,4,0)</f>
        <v>2024-02-14</v>
      </c>
      <c r="G191" t="str">
        <f>VLOOKUP(D191&amp;E191,N:Q,4,0)</f>
        <v>2024-02-14</v>
      </c>
      <c r="H191">
        <f>G191-F191</f>
        <v>0</v>
      </c>
      <c r="J191" t="str">
        <f>K191&amp;L191</f>
        <v>Белов Алексей КонстантиновичМорозов Никита Ильич</v>
      </c>
      <c r="K191" t="s">
        <v>47</v>
      </c>
      <c r="L191" t="s">
        <v>138</v>
      </c>
      <c r="M191" t="s">
        <v>187</v>
      </c>
      <c r="N191" t="str">
        <f>O191&amp;P191</f>
        <v>Иванова Анна СергеевнаНиколаева Ксения Викторовна</v>
      </c>
      <c r="O191" t="s">
        <v>11</v>
      </c>
      <c r="P191" t="s">
        <v>208</v>
      </c>
      <c r="Q191" t="s">
        <v>416</v>
      </c>
    </row>
    <row r="192">
      <c r="D192" t="s">
        <v>11</v>
      </c>
      <c r="E192" t="s">
        <v>403</v>
      </c>
      <c r="F192" t="str">
        <f>VLOOKUP(D192&amp;E192,J:M,4,0)</f>
        <v>2024-08-26</v>
      </c>
      <c r="G192" t="str">
        <f>VLOOKUP(D192&amp;E192,N:Q,4,0)</f>
        <v>2024-08-26</v>
      </c>
      <c r="H192">
        <f>G192-F192</f>
        <v>0</v>
      </c>
      <c r="J192" t="str">
        <f>K192&amp;L192</f>
        <v>Семенова Ирина ВалерьевнаОрлова Дарья Сергеевна</v>
      </c>
      <c r="K192" t="s">
        <v>57</v>
      </c>
      <c r="L192" t="s">
        <v>97</v>
      </c>
      <c r="M192" t="s">
        <v>187</v>
      </c>
      <c r="N192" t="str">
        <f>O192&amp;P192</f>
        <v>Сидорова Елена ВасильевнаКузнецов Алексей Иванович</v>
      </c>
      <c r="O192" t="s">
        <v>15</v>
      </c>
      <c r="P192" t="s">
        <v>110</v>
      </c>
      <c r="Q192" t="s">
        <v>415</v>
      </c>
    </row>
    <row r="193">
      <c r="D193" t="s">
        <v>11</v>
      </c>
      <c r="E193" t="s">
        <v>212</v>
      </c>
      <c r="F193" t="str">
        <f>VLOOKUP(D193&amp;E193,J:M,4,0)</f>
        <v>2024-01-18</v>
      </c>
      <c r="G193" t="str">
        <f>VLOOKUP(D193&amp;E193,N:Q,4,0)</f>
        <v>2024-06-12</v>
      </c>
      <c r="H193">
        <f>G193-F193</f>
        <v>146</v>
      </c>
      <c r="J193" t="str">
        <f>K193&amp;L193</f>
        <v>Ткаченко Андрей ОлеговичВолкова Виктория Викторовна</v>
      </c>
      <c r="K193" t="s">
        <v>24</v>
      </c>
      <c r="L193" t="s">
        <v>188</v>
      </c>
      <c r="M193" t="s">
        <v>187</v>
      </c>
      <c r="N193" t="str">
        <f>O193&amp;P193</f>
        <v>Петров Владимир КирилловичПопова Полина Романовна</v>
      </c>
      <c r="O193" t="s">
        <v>28</v>
      </c>
      <c r="P193" t="s">
        <v>192</v>
      </c>
      <c r="Q193" t="s">
        <v>415</v>
      </c>
    </row>
    <row r="194">
      <c r="D194" t="s">
        <v>11</v>
      </c>
      <c r="E194" t="s">
        <v>197</v>
      </c>
      <c r="F194" t="str">
        <f>VLOOKUP(D194&amp;E194,J:M,4,0)</f>
        <v>2023-12-15</v>
      </c>
      <c r="G194" t="str">
        <f>VLOOKUP(D194&amp;E194,N:Q,4,0)</f>
        <v>2023-12-15</v>
      </c>
      <c r="H194">
        <f>G194-F194</f>
        <v>0</v>
      </c>
      <c r="J194" t="str">
        <f>K194&amp;L194</f>
        <v>Семенова Ирина ВалерьевнаАлексеева Ирина Андреевна</v>
      </c>
      <c r="K194" t="s">
        <v>57</v>
      </c>
      <c r="L194" t="s">
        <v>189</v>
      </c>
      <c r="M194" t="s">
        <v>187</v>
      </c>
      <c r="N194" t="str">
        <f>O194&amp;P194</f>
        <v>Кузнецов Дмитрий ЛьвовичНиколаева Алиса Ивановна</v>
      </c>
      <c r="O194" t="s">
        <v>8</v>
      </c>
      <c r="P194" t="s">
        <v>119</v>
      </c>
      <c r="Q194" t="s">
        <v>415</v>
      </c>
    </row>
    <row r="195">
      <c r="D195" t="s">
        <v>11</v>
      </c>
      <c r="E195" t="s">
        <v>255</v>
      </c>
      <c r="F195" t="str">
        <f>VLOOKUP(D195&amp;E195,J:M,4,0)</f>
        <v>2023-12-27</v>
      </c>
      <c r="G195" t="str">
        <f>VLOOKUP(D195&amp;E195,N:Q,4,0)</f>
        <v>2024-06-11</v>
      </c>
      <c r="H195">
        <f>G195-F195</f>
        <v>167</v>
      </c>
      <c r="J195" t="str">
        <f>K195&amp;L195</f>
        <v>Иванова Анна СергеевнаНиколаев Владимир Егорович</v>
      </c>
      <c r="K195" t="s">
        <v>11</v>
      </c>
      <c r="L195" t="s">
        <v>190</v>
      </c>
      <c r="M195" t="s">
        <v>191</v>
      </c>
      <c r="N195" t="str">
        <f>O195&amp;P195</f>
        <v>Орлов Павел ДенисовичНиколаева Дарья Юрьевна</v>
      </c>
      <c r="O195" t="s">
        <v>43</v>
      </c>
      <c r="P195" t="s">
        <v>227</v>
      </c>
      <c r="Q195" t="s">
        <v>414</v>
      </c>
    </row>
    <row r="196">
      <c r="D196" t="s">
        <v>11</v>
      </c>
      <c r="E196" t="s">
        <v>263</v>
      </c>
      <c r="F196" t="str">
        <f>VLOOKUP(D196&amp;E196,J:M,4,0)</f>
        <v>2024-04-26</v>
      </c>
      <c r="G196" t="str">
        <f>VLOOKUP(D196&amp;E196,N:Q,4,0)</f>
        <v>2024-04-26</v>
      </c>
      <c r="H196">
        <f>G196-F196</f>
        <v>0</v>
      </c>
      <c r="J196" t="str">
        <f>K196&amp;L196</f>
        <v>Кузнецов Дмитрий ЛьвовичПопова Полина Романовна</v>
      </c>
      <c r="K196" t="s">
        <v>8</v>
      </c>
      <c r="L196" t="s">
        <v>192</v>
      </c>
      <c r="M196" t="s">
        <v>191</v>
      </c>
      <c r="N196" t="str">
        <f>O196&amp;P196</f>
        <v>Семенова Ирина ВалерьевнаСеменов Иван Дмитриевич</v>
      </c>
      <c r="O196" t="s">
        <v>57</v>
      </c>
      <c r="P196" t="s">
        <v>362</v>
      </c>
      <c r="Q196" t="s">
        <v>413</v>
      </c>
    </row>
    <row r="197">
      <c r="D197" t="s">
        <v>11</v>
      </c>
      <c r="E197" t="s">
        <v>370</v>
      </c>
      <c r="F197" t="str">
        <f>VLOOKUP(D197&amp;E197,J:M,4,0)</f>
        <v>2024-08-08</v>
      </c>
      <c r="G197" t="str">
        <f>VLOOKUP(D197&amp;E197,N:Q,4,0)</f>
        <v>2024-08-08</v>
      </c>
      <c r="H197">
        <f>G197-F197</f>
        <v>0</v>
      </c>
      <c r="J197" t="str">
        <f>K197&amp;L197</f>
        <v>Петров Владимир КирилловичЕгоров Никита Станиславович</v>
      </c>
      <c r="K197" t="s">
        <v>28</v>
      </c>
      <c r="L197" t="s">
        <v>49</v>
      </c>
      <c r="M197" t="s">
        <v>191</v>
      </c>
      <c r="N197" t="str">
        <f>O197&amp;P197</f>
        <v>Ткаченко Андрей ОлеговичФедоров Алексей Павлович</v>
      </c>
      <c r="O197" t="s">
        <v>24</v>
      </c>
      <c r="P197" t="s">
        <v>174</v>
      </c>
      <c r="Q197" t="s">
        <v>413</v>
      </c>
    </row>
    <row r="198">
      <c r="D198" t="s">
        <v>11</v>
      </c>
      <c r="E198" t="s">
        <v>204</v>
      </c>
      <c r="F198" t="str">
        <f>VLOOKUP(D198&amp;E198,J:M,4,0)</f>
        <v>2023-11-27</v>
      </c>
      <c r="G198" t="str">
        <f>VLOOKUP(D198&amp;E198,N:Q,4,0)</f>
        <v>2024-05-06</v>
      </c>
      <c r="H198">
        <f>G198-F198</f>
        <v>161</v>
      </c>
      <c r="J198" t="str">
        <f>K198&amp;L198</f>
        <v>Новикова Ольга ПетровнаПопова Полина Романовна</v>
      </c>
      <c r="K198" t="s">
        <v>17</v>
      </c>
      <c r="L198" t="s">
        <v>192</v>
      </c>
      <c r="M198" t="s">
        <v>193</v>
      </c>
      <c r="N198" t="str">
        <f>O198&amp;P198</f>
        <v>Белов Алексей КонстантиновичНовикова Анна Ильинична</v>
      </c>
      <c r="O198" t="s">
        <v>47</v>
      </c>
      <c r="P198" t="s">
        <v>35</v>
      </c>
      <c r="Q198" t="s">
        <v>413</v>
      </c>
    </row>
    <row r="199">
      <c r="D199" t="s">
        <v>8</v>
      </c>
      <c r="E199" t="s">
        <v>339</v>
      </c>
      <c r="F199" t="str">
        <f>VLOOKUP(D199&amp;E199,J:M,4,0)</f>
        <v>2024-04-12</v>
      </c>
      <c r="G199" t="str">
        <f>VLOOKUP(D199&amp;E199,N:Q,4,0)</f>
        <v>2024-04-12</v>
      </c>
      <c r="H199">
        <f>G199-F199</f>
        <v>0</v>
      </c>
      <c r="J199" t="str">
        <f>K199&amp;L199</f>
        <v>Сидорова Елена ВасильевнаПавлов Андрей Викторович</v>
      </c>
      <c r="K199" t="s">
        <v>15</v>
      </c>
      <c r="L199" t="s">
        <v>131</v>
      </c>
      <c r="M199" t="s">
        <v>194</v>
      </c>
      <c r="N199" t="str">
        <f>O199&amp;P199</f>
        <v>Иванова Анна СергеевнаИванова Ксения Александровна</v>
      </c>
      <c r="O199" t="s">
        <v>11</v>
      </c>
      <c r="P199" t="s">
        <v>265</v>
      </c>
      <c r="Q199" t="s">
        <v>413</v>
      </c>
    </row>
    <row r="200">
      <c r="D200" t="s">
        <v>8</v>
      </c>
      <c r="E200" t="s">
        <v>96</v>
      </c>
      <c r="F200" t="str">
        <f>VLOOKUP(D200&amp;E200,J:M,4,0)</f>
        <v>2023-11-02</v>
      </c>
      <c r="G200" t="str">
        <f>VLOOKUP(D200&amp;E200,N:Q,4,0)</f>
        <v>2024-01-18</v>
      </c>
      <c r="H200">
        <f>G200-F200</f>
        <v>77</v>
      </c>
      <c r="J200" t="str">
        <f>K200&amp;L200</f>
        <v>Белов Алексей КонстантиновичОрлов Дмитрий Иванович</v>
      </c>
      <c r="K200" t="s">
        <v>47</v>
      </c>
      <c r="L200" t="s">
        <v>170</v>
      </c>
      <c r="M200" t="s">
        <v>194</v>
      </c>
      <c r="N200" t="str">
        <f>O200&amp;P200</f>
        <v>Семенова Ирина ВалерьевнаНиколаева Алиса Ивановна</v>
      </c>
      <c r="O200" t="s">
        <v>57</v>
      </c>
      <c r="P200" t="s">
        <v>119</v>
      </c>
      <c r="Q200" t="s">
        <v>413</v>
      </c>
    </row>
    <row r="201">
      <c r="D201" t="s">
        <v>8</v>
      </c>
      <c r="E201" t="s">
        <v>189</v>
      </c>
      <c r="F201" t="str">
        <f>VLOOKUP(D201&amp;E201,J:M,4,0)</f>
        <v>2024-08-26</v>
      </c>
      <c r="G201" t="str">
        <f>VLOOKUP(D201&amp;E201,N:Q,4,0)</f>
        <v>2024-08-26</v>
      </c>
      <c r="H201">
        <f>G201-F201</f>
        <v>0</v>
      </c>
      <c r="J201" t="str">
        <f>K201&amp;L201</f>
        <v>Орлов Павел ДенисовичПетров Сергей Александрович</v>
      </c>
      <c r="K201" t="s">
        <v>43</v>
      </c>
      <c r="L201" t="s">
        <v>89</v>
      </c>
      <c r="M201" t="s">
        <v>194</v>
      </c>
      <c r="N201" t="str">
        <f>O201&amp;P201</f>
        <v>Кузнецов Дмитрий ЛьвовичМорозова Вероника Олеговна</v>
      </c>
      <c r="O201" t="s">
        <v>8</v>
      </c>
      <c r="P201" t="s">
        <v>68</v>
      </c>
      <c r="Q201" t="s">
        <v>413</v>
      </c>
    </row>
    <row r="202">
      <c r="D202" t="s">
        <v>8</v>
      </c>
      <c r="E202" t="s">
        <v>276</v>
      </c>
      <c r="F202" t="str">
        <f>VLOOKUP(D202&amp;E202,J:M,4,0)</f>
        <v>2024-08-26</v>
      </c>
      <c r="G202" t="str">
        <f>VLOOKUP(D202&amp;E202,N:Q,4,0)</f>
        <v>2024-08-26</v>
      </c>
      <c r="H202">
        <f>G202-F202</f>
        <v>0</v>
      </c>
      <c r="J202" t="str">
        <f>K202&amp;L202</f>
        <v>Петров Владимир КирилловичВолкова Ирина Никитична</v>
      </c>
      <c r="K202" t="s">
        <v>28</v>
      </c>
      <c r="L202" t="s">
        <v>161</v>
      </c>
      <c r="M202" t="s">
        <v>195</v>
      </c>
      <c r="N202" t="str">
        <f>O202&amp;P202</f>
        <v>Фролов Сергей ВикторовичВасильев Дмитрий Михайлович</v>
      </c>
      <c r="O202" t="s">
        <v>5</v>
      </c>
      <c r="P202" t="s">
        <v>146</v>
      </c>
      <c r="Q202" t="s">
        <v>413</v>
      </c>
    </row>
    <row r="203">
      <c r="D203" t="s">
        <v>8</v>
      </c>
      <c r="E203" t="s">
        <v>18</v>
      </c>
      <c r="F203" t="str">
        <f>VLOOKUP(D203&amp;E203,J:M,4,0)</f>
        <v>2023-11-27</v>
      </c>
      <c r="G203" t="str">
        <f>VLOOKUP(D203&amp;E203,N:Q,4,0)</f>
        <v>2023-11-27</v>
      </c>
      <c r="H203">
        <f>G203-F203</f>
        <v>0</v>
      </c>
      <c r="J203" t="str">
        <f>K203&amp;L203</f>
        <v>Кузнецов Дмитрий ЛьвовичВолкова Мария Егоровна</v>
      </c>
      <c r="K203" t="s">
        <v>8</v>
      </c>
      <c r="L203" t="s">
        <v>196</v>
      </c>
      <c r="M203" t="s">
        <v>195</v>
      </c>
      <c r="N203" t="str">
        <f>O203&amp;P203</f>
        <v>Кузнецов Дмитрий ЛьвовичЕгорова Ольга Юрьевна</v>
      </c>
      <c r="O203" t="s">
        <v>8</v>
      </c>
      <c r="P203" t="s">
        <v>83</v>
      </c>
      <c r="Q203" t="s">
        <v>413</v>
      </c>
    </row>
    <row r="204">
      <c r="D204" t="s">
        <v>8</v>
      </c>
      <c r="E204" t="s">
        <v>284</v>
      </c>
      <c r="F204" t="str">
        <f>VLOOKUP(D204&amp;E204,J:M,4,0)</f>
        <v>2024-01-18</v>
      </c>
      <c r="G204" t="str">
        <f>VLOOKUP(D204&amp;E204,N:Q,4,0)</f>
        <v>2024-01-18</v>
      </c>
      <c r="H204">
        <f>G204-F204</f>
        <v>0</v>
      </c>
      <c r="J204" t="str">
        <f>K204&amp;L204</f>
        <v>Орлов Павел ДенисовичКузнецов Сергей Артемович</v>
      </c>
      <c r="K204" t="s">
        <v>43</v>
      </c>
      <c r="L204" t="s">
        <v>129</v>
      </c>
      <c r="M204" t="s">
        <v>195</v>
      </c>
      <c r="N204" t="str">
        <f>O204&amp;P204</f>
        <v>Яковлев Артем ИгоревичКузнецов Алексей Иванович</v>
      </c>
      <c r="O204" t="s">
        <v>21</v>
      </c>
      <c r="P204" t="s">
        <v>110</v>
      </c>
      <c r="Q204" t="s">
        <v>413</v>
      </c>
    </row>
    <row r="205">
      <c r="D205" t="s">
        <v>8</v>
      </c>
      <c r="E205" t="s">
        <v>142</v>
      </c>
      <c r="F205" t="str">
        <f>VLOOKUP(D205&amp;E205,J:M,4,0)</f>
        <v>2024-01-29</v>
      </c>
      <c r="G205" t="str">
        <f>VLOOKUP(D205&amp;E205,N:Q,4,0)</f>
        <v>2024-01-29</v>
      </c>
      <c r="H205">
        <f>G205-F205</f>
        <v>0</v>
      </c>
      <c r="J205" t="str">
        <f>K205&amp;L205</f>
        <v>Белов Алексей КонстантиновичОрлова Анна Владимировна</v>
      </c>
      <c r="K205" t="s">
        <v>47</v>
      </c>
      <c r="L205" t="s">
        <v>6</v>
      </c>
      <c r="M205" t="s">
        <v>195</v>
      </c>
      <c r="N205" t="str">
        <f>O205&amp;P205</f>
        <v>Громова Мария ИльиничнаНиколаева Александра Кирилловна</v>
      </c>
      <c r="O205" t="s">
        <v>13</v>
      </c>
      <c r="P205" t="s">
        <v>186</v>
      </c>
      <c r="Q205" t="s">
        <v>412</v>
      </c>
    </row>
    <row r="206">
      <c r="D206" t="s">
        <v>8</v>
      </c>
      <c r="E206" t="s">
        <v>48</v>
      </c>
      <c r="F206" t="str">
        <f>VLOOKUP(D206&amp;E206,J:M,4,0)</f>
        <v>2024-04-30</v>
      </c>
      <c r="G206" t="str">
        <f>VLOOKUP(D206&amp;E206,N:Q,4,0)</f>
        <v>2024-04-30</v>
      </c>
      <c r="H206">
        <f>G206-F206</f>
        <v>0</v>
      </c>
      <c r="J206" t="str">
        <f>K206&amp;L206</f>
        <v>Фролов Сергей ВикторовичСмирнова Ксения Андреевна</v>
      </c>
      <c r="K206" t="s">
        <v>5</v>
      </c>
      <c r="L206" t="s">
        <v>197</v>
      </c>
      <c r="M206" t="s">
        <v>195</v>
      </c>
      <c r="N206" t="str">
        <f>O206&amp;P206</f>
        <v>Петров Владимир КирилловичСеменов Алексей Михайлович</v>
      </c>
      <c r="O206" t="s">
        <v>28</v>
      </c>
      <c r="P206" t="s">
        <v>299</v>
      </c>
      <c r="Q206" t="s">
        <v>412</v>
      </c>
    </row>
    <row r="207">
      <c r="D207" t="s">
        <v>8</v>
      </c>
      <c r="E207" t="s">
        <v>79</v>
      </c>
      <c r="F207" t="str">
        <f>VLOOKUP(D207&amp;E207,J:M,4,0)</f>
        <v>2024-05-09</v>
      </c>
      <c r="G207" t="str">
        <f>VLOOKUP(D207&amp;E207,N:Q,4,0)</f>
        <v>2024-05-09</v>
      </c>
      <c r="H207">
        <f>G207-F207</f>
        <v>0</v>
      </c>
      <c r="J207" t="str">
        <f>K207&amp;L207</f>
        <v>Новикова Ольга ПетровнаСтепанова Валерия Романовна</v>
      </c>
      <c r="K207" t="s">
        <v>17</v>
      </c>
      <c r="L207" t="s">
        <v>99</v>
      </c>
      <c r="M207" t="s">
        <v>195</v>
      </c>
      <c r="N207" t="str">
        <f>O207&amp;P207</f>
        <v>Сидорова Елена ВасильевнаНиколаева Алиса Романовна</v>
      </c>
      <c r="O207" t="s">
        <v>15</v>
      </c>
      <c r="P207" t="s">
        <v>168</v>
      </c>
      <c r="Q207" t="s">
        <v>412</v>
      </c>
    </row>
    <row r="208">
      <c r="D208" t="s">
        <v>8</v>
      </c>
      <c r="E208" t="s">
        <v>223</v>
      </c>
      <c r="F208" t="str">
        <f>VLOOKUP(D208&amp;E208,J:M,4,0)</f>
        <v>2024-05-31</v>
      </c>
      <c r="G208" t="str">
        <f>VLOOKUP(D208&amp;E208,N:Q,4,0)</f>
        <v>2024-06-28</v>
      </c>
      <c r="H208">
        <f>G208-F208</f>
        <v>28</v>
      </c>
      <c r="J208" t="str">
        <f>K208&amp;L208</f>
        <v>Новикова Ольга ПетровнаФедоров Алексей Павлович</v>
      </c>
      <c r="K208" t="s">
        <v>17</v>
      </c>
      <c r="L208" t="s">
        <v>174</v>
      </c>
      <c r="M208" t="s">
        <v>195</v>
      </c>
      <c r="N208" t="str">
        <f>O208&amp;P208</f>
        <v>Белов Алексей КонстантиновичСмирнова Екатерина Егоровна</v>
      </c>
      <c r="O208" t="s">
        <v>47</v>
      </c>
      <c r="P208" t="s">
        <v>212</v>
      </c>
      <c r="Q208" t="s">
        <v>412</v>
      </c>
    </row>
    <row r="209">
      <c r="D209" t="s">
        <v>8</v>
      </c>
      <c r="E209" t="s">
        <v>196</v>
      </c>
      <c r="F209" t="str">
        <f>VLOOKUP(D209&amp;E209,J:M,4,0)</f>
        <v>2023-11-20</v>
      </c>
      <c r="G209" t="str">
        <f>VLOOKUP(D209&amp;E209,N:Q,4,0)</f>
        <v>2023-11-20</v>
      </c>
      <c r="H209">
        <f>G209-F209</f>
        <v>0</v>
      </c>
      <c r="J209" t="str">
        <f>K209&amp;L209</f>
        <v>Сидорова Елена ВасильевнаЛебедев Дмитрий Олегович</v>
      </c>
      <c r="K209" t="s">
        <v>15</v>
      </c>
      <c r="L209" t="s">
        <v>75</v>
      </c>
      <c r="M209" t="s">
        <v>195</v>
      </c>
      <c r="N209" t="str">
        <f>O209&amp;P209</f>
        <v>Новикова Ольга ПетровнаНовиков Дмитрий Иванович</v>
      </c>
      <c r="O209" t="s">
        <v>17</v>
      </c>
      <c r="P209" t="s">
        <v>184</v>
      </c>
      <c r="Q209" t="s">
        <v>412</v>
      </c>
    </row>
    <row r="210">
      <c r="D210" t="s">
        <v>8</v>
      </c>
      <c r="E210" t="s">
        <v>95</v>
      </c>
      <c r="F210" t="str">
        <f>VLOOKUP(D210&amp;E210,J:M,4,0)</f>
        <v>2024-04-22</v>
      </c>
      <c r="G210" t="str">
        <f>VLOOKUP(D210&amp;E210,N:Q,4,0)</f>
        <v>2024-04-22</v>
      </c>
      <c r="H210">
        <f>G210-F210</f>
        <v>0</v>
      </c>
      <c r="J210" t="str">
        <f>K210&amp;L210</f>
        <v>Яковлев Артем ИгоревичНовикова Ксения Алексеевна</v>
      </c>
      <c r="K210" t="s">
        <v>21</v>
      </c>
      <c r="L210" t="s">
        <v>147</v>
      </c>
      <c r="M210" t="s">
        <v>195</v>
      </c>
      <c r="N210" t="str">
        <f>O210&amp;P210</f>
        <v>Ткаченко Андрей ОлеговичНиколаева Екатерина Никитична</v>
      </c>
      <c r="O210" t="s">
        <v>24</v>
      </c>
      <c r="P210" t="s">
        <v>270</v>
      </c>
      <c r="Q210" t="s">
        <v>411</v>
      </c>
    </row>
    <row r="211">
      <c r="D211" t="s">
        <v>8</v>
      </c>
      <c r="E211" t="s">
        <v>272</v>
      </c>
      <c r="F211" t="str">
        <f>VLOOKUP(D211&amp;E211,J:M,4,0)</f>
        <v>2024-07-23</v>
      </c>
      <c r="G211" t="str">
        <f>VLOOKUP(D211&amp;E211,N:Q,4,0)</f>
        <v>2024-07-23</v>
      </c>
      <c r="H211">
        <f>G211-F211</f>
        <v>0</v>
      </c>
      <c r="J211" t="str">
        <f>K211&amp;L211</f>
        <v>Ткаченко Андрей ОлеговичИванов Андрей Владимирович</v>
      </c>
      <c r="K211" t="s">
        <v>24</v>
      </c>
      <c r="L211" t="s">
        <v>198</v>
      </c>
      <c r="M211" t="s">
        <v>195</v>
      </c>
      <c r="N211" t="str">
        <f>O211&amp;P211</f>
        <v>Петров Владимир КирилловичСмирнов Артем Егорович</v>
      </c>
      <c r="O211" t="s">
        <v>28</v>
      </c>
      <c r="P211" t="s">
        <v>316</v>
      </c>
      <c r="Q211" t="s">
        <v>411</v>
      </c>
    </row>
    <row r="212">
      <c r="D212" t="s">
        <v>8</v>
      </c>
      <c r="E212" t="s">
        <v>49</v>
      </c>
      <c r="F212" t="str">
        <f>VLOOKUP(D212&amp;E212,J:M,4,0)</f>
        <v>2023-09-27</v>
      </c>
      <c r="G212" t="str">
        <f>VLOOKUP(D212&amp;E212,N:Q,4,0)</f>
        <v>2023-09-27</v>
      </c>
      <c r="H212">
        <f>G212-F212</f>
        <v>0</v>
      </c>
      <c r="J212" t="str">
        <f>K212&amp;L212</f>
        <v>Орлов Павел ДенисовичОрлова Дарья Владимировна</v>
      </c>
      <c r="K212" t="s">
        <v>43</v>
      </c>
      <c r="L212" t="s">
        <v>87</v>
      </c>
      <c r="M212" t="s">
        <v>199</v>
      </c>
      <c r="N212" t="str">
        <f>O212&amp;P212</f>
        <v>Орлов Павел ДенисовичАлексеева Екатерина Павловна</v>
      </c>
      <c r="O212" t="s">
        <v>43</v>
      </c>
      <c r="P212" t="s">
        <v>96</v>
      </c>
      <c r="Q212" t="s">
        <v>411</v>
      </c>
    </row>
    <row r="213">
      <c r="D213" t="s">
        <v>8</v>
      </c>
      <c r="E213" t="s">
        <v>85</v>
      </c>
      <c r="F213" t="str">
        <f>VLOOKUP(D213&amp;E213,J:M,4,0)</f>
        <v>2023-09-26</v>
      </c>
      <c r="G213" t="str">
        <f>VLOOKUP(D213&amp;E213,N:Q,4,0)</f>
        <v>2023-09-26</v>
      </c>
      <c r="H213">
        <f>G213-F213</f>
        <v>0</v>
      </c>
      <c r="J213" t="str">
        <f>K213&amp;L213</f>
        <v>Яковлев Артем ИгоревичЕгорова Татьяна Ильинична</v>
      </c>
      <c r="K213" t="s">
        <v>21</v>
      </c>
      <c r="L213" t="s">
        <v>12</v>
      </c>
      <c r="M213" t="s">
        <v>199</v>
      </c>
      <c r="N213" t="str">
        <f>O213&amp;P213</f>
        <v>Фролов Сергей ВикторовичВолков Матвей Кириллович</v>
      </c>
      <c r="O213" t="s">
        <v>5</v>
      </c>
      <c r="P213" t="s">
        <v>321</v>
      </c>
      <c r="Q213" t="s">
        <v>410</v>
      </c>
    </row>
    <row r="214">
      <c r="D214" t="s">
        <v>8</v>
      </c>
      <c r="E214" t="s">
        <v>83</v>
      </c>
      <c r="F214" t="str">
        <f>VLOOKUP(D214&amp;E214,J:M,4,0)</f>
        <v>2023-10-11</v>
      </c>
      <c r="G214" t="str">
        <f>VLOOKUP(D214&amp;E214,N:Q,4,0)</f>
        <v>2024-06-17</v>
      </c>
      <c r="H214">
        <f>G214-F214</f>
        <v>250</v>
      </c>
      <c r="J214" t="str">
        <f>K214&amp;L214</f>
        <v>Яковлев Артем ИгоревичЛебедева Александра Станиславовна</v>
      </c>
      <c r="K214" t="s">
        <v>21</v>
      </c>
      <c r="L214" t="s">
        <v>132</v>
      </c>
      <c r="M214" t="s">
        <v>199</v>
      </c>
      <c r="N214" t="str">
        <f>O214&amp;P214</f>
        <v>Орлов Павел ДенисовичКозлова Полина Викторовна</v>
      </c>
      <c r="O214" t="s">
        <v>43</v>
      </c>
      <c r="P214" t="s">
        <v>217</v>
      </c>
      <c r="Q214" t="s">
        <v>410</v>
      </c>
    </row>
    <row r="215">
      <c r="D215" t="s">
        <v>8</v>
      </c>
      <c r="E215" t="s">
        <v>240</v>
      </c>
      <c r="F215" t="str">
        <f>VLOOKUP(D215&amp;E215,J:M,4,0)</f>
        <v>2024-01-02</v>
      </c>
      <c r="G215" t="str">
        <f>VLOOKUP(D215&amp;E215,N:Q,4,0)</f>
        <v>2024-01-02</v>
      </c>
      <c r="H215">
        <f>G215-F215</f>
        <v>0</v>
      </c>
      <c r="J215" t="str">
        <f>K215&amp;L215</f>
        <v>Фролов Сергей ВикторовичСтепанов Матвей Михайлович</v>
      </c>
      <c r="K215" t="s">
        <v>5</v>
      </c>
      <c r="L215" t="s">
        <v>144</v>
      </c>
      <c r="M215" t="s">
        <v>199</v>
      </c>
      <c r="N215" t="str">
        <f>O215&amp;P215</f>
        <v>Иванова Анна СергеевнаСмирнова Екатерина Егоровна</v>
      </c>
      <c r="O215" t="s">
        <v>11</v>
      </c>
      <c r="P215" t="s">
        <v>212</v>
      </c>
      <c r="Q215" t="s">
        <v>410</v>
      </c>
    </row>
    <row r="216">
      <c r="D216" t="s">
        <v>8</v>
      </c>
      <c r="E216" t="s">
        <v>250</v>
      </c>
      <c r="F216" t="str">
        <f>VLOOKUP(D216&amp;E216,J:M,4,0)</f>
        <v>2023-12-25</v>
      </c>
      <c r="G216" t="str">
        <f>VLOOKUP(D216&amp;E216,N:Q,4,0)</f>
        <v>2024-08-19</v>
      </c>
      <c r="H216">
        <f>G216-F216</f>
        <v>238</v>
      </c>
      <c r="J216" t="str">
        <f>K216&amp;L216</f>
        <v>Семенова Ирина ВалерьевнаОрлова Полина Никитична</v>
      </c>
      <c r="K216" t="s">
        <v>57</v>
      </c>
      <c r="L216" t="s">
        <v>200</v>
      </c>
      <c r="M216" t="s">
        <v>199</v>
      </c>
      <c r="N216" t="str">
        <f>O216&amp;P216</f>
        <v>Петров Владимир КирилловичМорозова Наталья Алексеевна</v>
      </c>
      <c r="O216" t="s">
        <v>28</v>
      </c>
      <c r="P216" t="s">
        <v>209</v>
      </c>
      <c r="Q216" t="s">
        <v>410</v>
      </c>
    </row>
    <row r="217">
      <c r="D217" t="s">
        <v>8</v>
      </c>
      <c r="E217" t="s">
        <v>71</v>
      </c>
      <c r="F217" t="str">
        <f>VLOOKUP(D217&amp;E217,J:M,4,0)</f>
        <v>2024-03-12</v>
      </c>
      <c r="G217" t="str">
        <f>VLOOKUP(D217&amp;E217,N:Q,4,0)</f>
        <v>2024-03-12</v>
      </c>
      <c r="H217">
        <f>G217-F217</f>
        <v>0</v>
      </c>
      <c r="J217" t="str">
        <f>K217&amp;L217</f>
        <v>Фролов Сергей ВикторовичНиколаев Владимир Егорович</v>
      </c>
      <c r="K217" t="s">
        <v>5</v>
      </c>
      <c r="L217" t="s">
        <v>190</v>
      </c>
      <c r="M217" t="s">
        <v>199</v>
      </c>
      <c r="N217" t="str">
        <f>O217&amp;P217</f>
        <v>Новикова Ольга ПетровнаСидоров Артур Алексеевич</v>
      </c>
      <c r="O217" t="s">
        <v>17</v>
      </c>
      <c r="P217" t="s">
        <v>50</v>
      </c>
      <c r="Q217" t="s">
        <v>410</v>
      </c>
    </row>
    <row r="218">
      <c r="D218" t="s">
        <v>8</v>
      </c>
      <c r="E218" t="s">
        <v>9</v>
      </c>
      <c r="F218" t="str">
        <f>VLOOKUP(D218&amp;E218,J:M,4,0)</f>
        <v>2023-09-04</v>
      </c>
      <c r="G218" t="str">
        <f>VLOOKUP(D218&amp;E218,N:Q,4,0)</f>
        <v>2023-09-04</v>
      </c>
      <c r="H218">
        <f>G218-F218</f>
        <v>0</v>
      </c>
      <c r="J218" t="str">
        <f>K218&amp;L218</f>
        <v>Яковлев Артем ИгоревичЕгоров Никита Станиславович</v>
      </c>
      <c r="K218" t="s">
        <v>21</v>
      </c>
      <c r="L218" t="s">
        <v>49</v>
      </c>
      <c r="M218" t="s">
        <v>199</v>
      </c>
      <c r="N218" t="str">
        <f>O218&amp;P218</f>
        <v>Новикова Ольга ПетровнаСмирнова Екатерина Егоровна</v>
      </c>
      <c r="O218" t="s">
        <v>17</v>
      </c>
      <c r="P218" t="s">
        <v>212</v>
      </c>
      <c r="Q218" t="s">
        <v>410</v>
      </c>
    </row>
    <row r="219">
      <c r="D219" t="s">
        <v>8</v>
      </c>
      <c r="E219" t="s">
        <v>38</v>
      </c>
      <c r="F219" t="str">
        <f>VLOOKUP(D219&amp;E219,J:M,4,0)</f>
        <v>2023-09-12</v>
      </c>
      <c r="G219" t="str">
        <f>VLOOKUP(D219&amp;E219,N:Q,4,0)</f>
        <v>2024-08-26</v>
      </c>
      <c r="H219">
        <f>G219-F219</f>
        <v>349</v>
      </c>
      <c r="J219" t="str">
        <f>K219&amp;L219</f>
        <v>Петров Владимир КирилловичНиколаев Дмитрий Павлович</v>
      </c>
      <c r="K219" t="s">
        <v>28</v>
      </c>
      <c r="L219" t="s">
        <v>37</v>
      </c>
      <c r="M219" t="s">
        <v>201</v>
      </c>
      <c r="N219" t="str">
        <f>O219&amp;P219</f>
        <v>Петров Владимир КирилловичКузнецова Дарья Ильинична</v>
      </c>
      <c r="O219" t="s">
        <v>28</v>
      </c>
      <c r="P219" t="s">
        <v>214</v>
      </c>
      <c r="Q219" t="s">
        <v>409</v>
      </c>
    </row>
    <row r="220">
      <c r="D220" t="s">
        <v>8</v>
      </c>
      <c r="E220" t="s">
        <v>59</v>
      </c>
      <c r="F220" t="str">
        <f>VLOOKUP(D220&amp;E220,J:M,4,0)</f>
        <v>2024-04-01</v>
      </c>
      <c r="G220" t="str">
        <f>VLOOKUP(D220&amp;E220,N:Q,4,0)</f>
        <v>2024-05-08</v>
      </c>
      <c r="H220">
        <f>G220-F220</f>
        <v>37</v>
      </c>
      <c r="J220" t="str">
        <f>K220&amp;L220</f>
        <v>Орлов Павел ДенисовичЕгорова Валерия Сергеевна</v>
      </c>
      <c r="K220" t="s">
        <v>43</v>
      </c>
      <c r="L220" t="s">
        <v>85</v>
      </c>
      <c r="M220" t="s">
        <v>202</v>
      </c>
      <c r="N220" t="str">
        <f>O220&amp;P220</f>
        <v>Фролов Сергей ВикторовичНовикова Ксения Алексеевна</v>
      </c>
      <c r="O220" t="s">
        <v>5</v>
      </c>
      <c r="P220" t="s">
        <v>147</v>
      </c>
      <c r="Q220" t="s">
        <v>409</v>
      </c>
    </row>
    <row r="221">
      <c r="D221" t="s">
        <v>8</v>
      </c>
      <c r="E221" t="s">
        <v>121</v>
      </c>
      <c r="F221" t="str">
        <f>VLOOKUP(D221&amp;E221,J:M,4,0)</f>
        <v>2023-11-27</v>
      </c>
      <c r="G221" t="str">
        <f>VLOOKUP(D221&amp;E221,N:Q,4,0)</f>
        <v>2023-11-27</v>
      </c>
      <c r="H221">
        <f>G221-F221</f>
        <v>0</v>
      </c>
      <c r="J221" t="str">
        <f>K221&amp;L221</f>
        <v>Белов Алексей КонстантиновичВолкова Ирина Никитична</v>
      </c>
      <c r="K221" t="s">
        <v>47</v>
      </c>
      <c r="L221" t="s">
        <v>161</v>
      </c>
      <c r="M221" t="s">
        <v>202</v>
      </c>
      <c r="N221" t="str">
        <f>O221&amp;P221</f>
        <v>Яковлев Артем ИгоревичПопов Александр Владимирович</v>
      </c>
      <c r="O221" t="s">
        <v>21</v>
      </c>
      <c r="P221" t="s">
        <v>160</v>
      </c>
      <c r="Q221" t="s">
        <v>409</v>
      </c>
    </row>
    <row r="222">
      <c r="D222" t="s">
        <v>8</v>
      </c>
      <c r="E222" t="s">
        <v>98</v>
      </c>
      <c r="F222" t="str">
        <f>VLOOKUP(D222&amp;E222,J:M,4,0)</f>
        <v>2024-07-19</v>
      </c>
      <c r="G222" t="str">
        <f>VLOOKUP(D222&amp;E222,N:Q,4,0)</f>
        <v>2024-07-19</v>
      </c>
      <c r="H222">
        <f>G222-F222</f>
        <v>0</v>
      </c>
      <c r="J222" t="str">
        <f>K222&amp;L222</f>
        <v>Новикова Ольга ПетровнаПопов Матвей Александрович</v>
      </c>
      <c r="K222" t="s">
        <v>17</v>
      </c>
      <c r="L222" t="s">
        <v>181</v>
      </c>
      <c r="M222" t="s">
        <v>202</v>
      </c>
      <c r="N222" t="str">
        <f>O222&amp;P222</f>
        <v>Иванова Анна СергеевнаСмирнова Мария Владимировна</v>
      </c>
      <c r="O222" t="s">
        <v>11</v>
      </c>
      <c r="P222" t="s">
        <v>255</v>
      </c>
      <c r="Q222" t="s">
        <v>409</v>
      </c>
    </row>
    <row r="223">
      <c r="D223" t="s">
        <v>8</v>
      </c>
      <c r="E223" t="s">
        <v>222</v>
      </c>
      <c r="F223" t="str">
        <f>VLOOKUP(D223&amp;E223,J:M,4,0)</f>
        <v>2023-12-15</v>
      </c>
      <c r="G223" t="str">
        <f>VLOOKUP(D223&amp;E223,N:Q,4,0)</f>
        <v>2024-08-05</v>
      </c>
      <c r="H223">
        <f>G223-F223</f>
        <v>234</v>
      </c>
      <c r="J223" t="str">
        <f>K223&amp;L223</f>
        <v>Иванова Анна СергеевнаКузнецова Ольга Геннадьевна</v>
      </c>
      <c r="K223" t="s">
        <v>11</v>
      </c>
      <c r="L223" t="s">
        <v>61</v>
      </c>
      <c r="M223" t="s">
        <v>202</v>
      </c>
      <c r="N223" t="str">
        <f>O223&amp;P223</f>
        <v>Яковлев Артем ИгоревичСеменов Константин Артемович</v>
      </c>
      <c r="O223" t="s">
        <v>21</v>
      </c>
      <c r="P223" t="s">
        <v>102</v>
      </c>
      <c r="Q223" t="s">
        <v>408</v>
      </c>
    </row>
    <row r="224">
      <c r="D224" t="s">
        <v>8</v>
      </c>
      <c r="E224" t="s">
        <v>185</v>
      </c>
      <c r="F224" t="str">
        <f>VLOOKUP(D224&amp;E224,J:M,4,0)</f>
        <v>2024-01-11</v>
      </c>
      <c r="G224" t="str">
        <f>VLOOKUP(D224&amp;E224,N:Q,4,0)</f>
        <v>2024-05-20</v>
      </c>
      <c r="H224">
        <f>G224-F224</f>
        <v>130</v>
      </c>
      <c r="J224" t="str">
        <f>K224&amp;L224</f>
        <v>Яковлев Артем ИгоревичКозлов Андрей Ильич</v>
      </c>
      <c r="K224" t="s">
        <v>21</v>
      </c>
      <c r="L224" t="s">
        <v>115</v>
      </c>
      <c r="M224" t="s">
        <v>203</v>
      </c>
      <c r="N224" t="str">
        <f>O224&amp;P224</f>
        <v>Фролов Сергей ВикторовичИванова Ксения Александровна</v>
      </c>
      <c r="O224" t="s">
        <v>5</v>
      </c>
      <c r="P224" t="s">
        <v>265</v>
      </c>
      <c r="Q224" t="s">
        <v>408</v>
      </c>
    </row>
    <row r="225">
      <c r="D225" t="s">
        <v>8</v>
      </c>
      <c r="E225" t="s">
        <v>129</v>
      </c>
      <c r="F225" t="str">
        <f>VLOOKUP(D225&amp;E225,J:M,4,0)</f>
        <v>2023-10-16</v>
      </c>
      <c r="G225" t="str">
        <f>VLOOKUP(D225&amp;E225,N:Q,4,0)</f>
        <v>2023-10-16</v>
      </c>
      <c r="H225">
        <f>G225-F225</f>
        <v>0</v>
      </c>
      <c r="J225" t="str">
        <f>K225&amp;L225</f>
        <v>Сидорова Елена ВасильевнаСеменов Михаил Никитич</v>
      </c>
      <c r="K225" t="s">
        <v>15</v>
      </c>
      <c r="L225" t="s">
        <v>172</v>
      </c>
      <c r="M225" t="s">
        <v>203</v>
      </c>
      <c r="N225" t="str">
        <f>O225&amp;P225</f>
        <v>Иванова Анна СергеевнаПопова Ксения Никитична</v>
      </c>
      <c r="O225" t="s">
        <v>11</v>
      </c>
      <c r="P225" t="s">
        <v>20</v>
      </c>
      <c r="Q225" t="s">
        <v>408</v>
      </c>
    </row>
    <row r="226">
      <c r="D226" t="s">
        <v>8</v>
      </c>
      <c r="E226" t="s">
        <v>278</v>
      </c>
      <c r="F226" t="str">
        <f>VLOOKUP(D226&amp;E226,J:M,4,0)</f>
        <v>2024-01-12</v>
      </c>
      <c r="G226" t="str">
        <f>VLOOKUP(D226&amp;E226,N:Q,4,0)</f>
        <v>2024-01-12</v>
      </c>
      <c r="H226">
        <f>G226-F226</f>
        <v>0</v>
      </c>
      <c r="J226" t="str">
        <f>K226&amp;L226</f>
        <v>Орлов Павел ДенисовичФедорова Екатерина Михайловна</v>
      </c>
      <c r="K226" t="s">
        <v>43</v>
      </c>
      <c r="L226" t="s">
        <v>204</v>
      </c>
      <c r="M226" t="s">
        <v>203</v>
      </c>
      <c r="N226" t="str">
        <f>O226&amp;P226</f>
        <v>Петров Владимир КирилловичСтепанова Ирина Артемовна</v>
      </c>
      <c r="O226" t="s">
        <v>28</v>
      </c>
      <c r="P226" t="s">
        <v>45</v>
      </c>
      <c r="Q226" t="s">
        <v>408</v>
      </c>
    </row>
    <row r="227">
      <c r="D227" t="s">
        <v>8</v>
      </c>
      <c r="E227" t="s">
        <v>61</v>
      </c>
      <c r="F227" t="str">
        <f>VLOOKUP(D227&amp;E227,J:M,4,0)</f>
        <v>2023-09-19</v>
      </c>
      <c r="G227" t="str">
        <f>VLOOKUP(D227&amp;E227,N:Q,4,0)</f>
        <v>2023-09-19</v>
      </c>
      <c r="H227">
        <f>G227-F227</f>
        <v>0</v>
      </c>
      <c r="J227" t="str">
        <f>K227&amp;L227</f>
        <v>Ткаченко Андрей ОлеговичМорозова Светлана Сергеевна</v>
      </c>
      <c r="K227" t="s">
        <v>24</v>
      </c>
      <c r="L227" t="s">
        <v>108</v>
      </c>
      <c r="M227" t="s">
        <v>203</v>
      </c>
      <c r="N227" t="str">
        <f>O227&amp;P227</f>
        <v>Орлов Павел ДенисовичОрлов Дмитрий Иванович</v>
      </c>
      <c r="O227" t="s">
        <v>43</v>
      </c>
      <c r="P227" t="s">
        <v>170</v>
      </c>
      <c r="Q227" t="s">
        <v>408</v>
      </c>
    </row>
    <row r="228">
      <c r="D228" t="s">
        <v>8</v>
      </c>
      <c r="E228" t="s">
        <v>40</v>
      </c>
      <c r="F228" t="str">
        <f>VLOOKUP(D228&amp;E228,J:M,4,0)</f>
        <v>2023-09-11</v>
      </c>
      <c r="G228" t="str">
        <f>VLOOKUP(D228&amp;E228,N:Q,4,0)</f>
        <v>2023-09-18</v>
      </c>
      <c r="H228">
        <f>G228-F228</f>
        <v>7</v>
      </c>
      <c r="J228" t="str">
        <f>K228&amp;L228</f>
        <v>Кузнецов Дмитрий ЛьвовичВасильев Дмитрий Алексеевич</v>
      </c>
      <c r="K228" t="s">
        <v>8</v>
      </c>
      <c r="L228" t="s">
        <v>18</v>
      </c>
      <c r="M228" t="s">
        <v>205</v>
      </c>
      <c r="N228" t="str">
        <f>O228&amp;P228</f>
        <v>Сидорова Елена ВасильевнаВолков Владимир Геннадьевич</v>
      </c>
      <c r="O228" t="s">
        <v>15</v>
      </c>
      <c r="P228" t="s">
        <v>137</v>
      </c>
      <c r="Q228" t="s">
        <v>408</v>
      </c>
    </row>
    <row r="229">
      <c r="D229" t="s">
        <v>8</v>
      </c>
      <c r="E229" t="s">
        <v>75</v>
      </c>
      <c r="F229" t="str">
        <f>VLOOKUP(D229&amp;E229,J:M,4,0)</f>
        <v>2024-08-05</v>
      </c>
      <c r="G229" t="str">
        <f>VLOOKUP(D229&amp;E229,N:Q,4,0)</f>
        <v>2024-08-05</v>
      </c>
      <c r="H229">
        <f>G229-F229</f>
        <v>0</v>
      </c>
      <c r="J229" t="str">
        <f>K229&amp;L229</f>
        <v>Кузнецов Дмитрий ЛьвовичИванова София Геннадьевна</v>
      </c>
      <c r="K229" t="s">
        <v>8</v>
      </c>
      <c r="L229" t="s">
        <v>121</v>
      </c>
      <c r="M229" t="s">
        <v>205</v>
      </c>
      <c r="N229" t="str">
        <f>O229&amp;P229</f>
        <v>Фролов Сергей ВикторовичКузнецова Людмила Сергеевна</v>
      </c>
      <c r="O229" t="s">
        <v>5</v>
      </c>
      <c r="P229" t="s">
        <v>55</v>
      </c>
      <c r="Q229" t="s">
        <v>408</v>
      </c>
    </row>
    <row r="230">
      <c r="D230" t="s">
        <v>8</v>
      </c>
      <c r="E230" t="s">
        <v>138</v>
      </c>
      <c r="F230" t="str">
        <f>VLOOKUP(D230&amp;E230,J:M,4,0)</f>
        <v>2024-02-19</v>
      </c>
      <c r="G230" t="str">
        <f>VLOOKUP(D230&amp;E230,N:Q,4,0)</f>
        <v>2024-02-19</v>
      </c>
      <c r="H230">
        <f>G230-F230</f>
        <v>0</v>
      </c>
      <c r="J230" t="str">
        <f>K230&amp;L230</f>
        <v>Фролов Сергей ВикторовичИванов Андрей Владимирович</v>
      </c>
      <c r="K230" t="s">
        <v>5</v>
      </c>
      <c r="L230" t="s">
        <v>198</v>
      </c>
      <c r="M230" t="s">
        <v>205</v>
      </c>
      <c r="N230" t="str">
        <f>O230&amp;P230</f>
        <v>Ткаченко Андрей ОлеговичНовиков Дмитрий Иванович</v>
      </c>
      <c r="O230" t="s">
        <v>24</v>
      </c>
      <c r="P230" t="s">
        <v>184</v>
      </c>
      <c r="Q230" t="s">
        <v>407</v>
      </c>
    </row>
    <row r="231">
      <c r="D231" t="s">
        <v>8</v>
      </c>
      <c r="E231" t="s">
        <v>68</v>
      </c>
      <c r="F231" t="str">
        <f>VLOOKUP(D231&amp;E231,J:M,4,0)</f>
        <v>2024-06-17</v>
      </c>
      <c r="G231" t="str">
        <f>VLOOKUP(D231&amp;E231,N:Q,4,0)</f>
        <v>2024-06-17</v>
      </c>
      <c r="H231">
        <f>G231-F231</f>
        <v>0</v>
      </c>
      <c r="J231" t="str">
        <f>K231&amp;L231</f>
        <v>Яковлев Артем ИгоревичИванова Валерия Алексеевна</v>
      </c>
      <c r="K231" t="s">
        <v>21</v>
      </c>
      <c r="L231" t="s">
        <v>38</v>
      </c>
      <c r="M231" t="s">
        <v>205</v>
      </c>
      <c r="N231" t="str">
        <f>O231&amp;P231</f>
        <v>Белов Алексей КонстантиновичВолков Константин Александрович</v>
      </c>
      <c r="O231" t="s">
        <v>47</v>
      </c>
      <c r="P231" t="s">
        <v>256</v>
      </c>
      <c r="Q231" t="s">
        <v>407</v>
      </c>
    </row>
    <row r="232">
      <c r="D232" t="s">
        <v>8</v>
      </c>
      <c r="E232" t="s">
        <v>207</v>
      </c>
      <c r="F232" t="str">
        <f>VLOOKUP(D232&amp;E232,J:M,4,0)</f>
        <v>2024-04-29</v>
      </c>
      <c r="G232" t="str">
        <f>VLOOKUP(D232&amp;E232,N:Q,4,0)</f>
        <v>2024-04-29</v>
      </c>
      <c r="H232">
        <f>G232-F232</f>
        <v>0</v>
      </c>
      <c r="J232" t="str">
        <f>K232&amp;L232</f>
        <v>Орлов Павел ДенисовичВолков Владимир Геннадьевич</v>
      </c>
      <c r="K232" t="s">
        <v>43</v>
      </c>
      <c r="L232" t="s">
        <v>137</v>
      </c>
      <c r="M232" t="s">
        <v>205</v>
      </c>
      <c r="N232" t="str">
        <f>O232&amp;P232</f>
        <v>Сидорова Елена ВасильевнаОрлова Анна Владимировна</v>
      </c>
      <c r="O232" t="s">
        <v>15</v>
      </c>
      <c r="P232" t="s">
        <v>6</v>
      </c>
      <c r="Q232" t="s">
        <v>407</v>
      </c>
    </row>
    <row r="233">
      <c r="D233" t="s">
        <v>8</v>
      </c>
      <c r="E233" t="s">
        <v>218</v>
      </c>
      <c r="F233" t="str">
        <f>VLOOKUP(D233&amp;E233,J:M,4,0)</f>
        <v>2023-12-29</v>
      </c>
      <c r="G233" t="str">
        <f>VLOOKUP(D233&amp;E233,N:Q,4,0)</f>
        <v>2023-12-29</v>
      </c>
      <c r="H233">
        <f>G233-F233</f>
        <v>0</v>
      </c>
      <c r="J233" t="str">
        <f>K233&amp;L233</f>
        <v>Новикова Ольга ПетровнаПопова Ксения Никитична</v>
      </c>
      <c r="K233" t="s">
        <v>17</v>
      </c>
      <c r="L233" t="s">
        <v>20</v>
      </c>
      <c r="M233" t="s">
        <v>205</v>
      </c>
      <c r="N233" t="str">
        <f>O233&amp;P233</f>
        <v>Петров Владимир КирилловичКозлов Дмитрий Сергеевич</v>
      </c>
      <c r="O233" t="s">
        <v>28</v>
      </c>
      <c r="P233" t="s">
        <v>222</v>
      </c>
      <c r="Q233" t="s">
        <v>406</v>
      </c>
    </row>
    <row r="234">
      <c r="D234" t="s">
        <v>8</v>
      </c>
      <c r="E234" t="s">
        <v>163</v>
      </c>
      <c r="F234" t="str">
        <f>VLOOKUP(D234&amp;E234,J:M,4,0)</f>
        <v>2024-02-16</v>
      </c>
      <c r="G234" t="str">
        <f>VLOOKUP(D234&amp;E234,N:Q,4,0)</f>
        <v>2024-02-16</v>
      </c>
      <c r="H234">
        <f>G234-F234</f>
        <v>0</v>
      </c>
      <c r="J234" t="str">
        <f>K234&amp;L234</f>
        <v>Кузнецов Дмитрий ЛьвовичСеменова Анна Андреевна</v>
      </c>
      <c r="K234" t="s">
        <v>8</v>
      </c>
      <c r="L234" t="s">
        <v>148</v>
      </c>
      <c r="M234" t="s">
        <v>205</v>
      </c>
      <c r="N234" t="str">
        <f>O234&amp;P234</f>
        <v>Новикова Ольга ПетровнаКузнецова Юлия Павловна</v>
      </c>
      <c r="O234" t="s">
        <v>17</v>
      </c>
      <c r="P234" t="s">
        <v>29</v>
      </c>
      <c r="Q234" t="s">
        <v>405</v>
      </c>
    </row>
    <row r="235">
      <c r="D235" t="s">
        <v>8</v>
      </c>
      <c r="E235" t="s">
        <v>248</v>
      </c>
      <c r="F235" t="str">
        <f>VLOOKUP(D235&amp;E235,J:M,4,0)</f>
        <v>2024-08-29</v>
      </c>
      <c r="G235" t="str">
        <f>VLOOKUP(D235&amp;E235,N:Q,4,0)</f>
        <v>2024-08-29</v>
      </c>
      <c r="H235">
        <f>G235-F235</f>
        <v>0</v>
      </c>
      <c r="J235" t="str">
        <f>K235&amp;L235</f>
        <v>Новикова Ольга ПетровнаПопова Дарья Сергеевна</v>
      </c>
      <c r="K235" t="s">
        <v>17</v>
      </c>
      <c r="L235" t="s">
        <v>206</v>
      </c>
      <c r="M235" t="s">
        <v>205</v>
      </c>
      <c r="N235" t="str">
        <f>O235&amp;P235</f>
        <v>Яковлев Артем ИгоревичПопов Артем Егорович</v>
      </c>
      <c r="O235" t="s">
        <v>21</v>
      </c>
      <c r="P235" t="s">
        <v>124</v>
      </c>
      <c r="Q235" t="s">
        <v>405</v>
      </c>
    </row>
    <row r="236">
      <c r="D236" t="s">
        <v>8</v>
      </c>
      <c r="E236" t="s">
        <v>119</v>
      </c>
      <c r="F236" t="str">
        <f>VLOOKUP(D236&amp;E236,J:M,4,0)</f>
        <v>2024-06-19</v>
      </c>
      <c r="G236" t="str">
        <f>VLOOKUP(D236&amp;E236,N:Q,4,0)</f>
        <v>2024-06-19</v>
      </c>
      <c r="H236">
        <f>G236-F236</f>
        <v>0</v>
      </c>
      <c r="J236" t="str">
        <f>K236&amp;L236</f>
        <v>Иванова Анна СергеевнаФедорова Екатерина Михайловна</v>
      </c>
      <c r="K236" t="s">
        <v>11</v>
      </c>
      <c r="L236" t="s">
        <v>204</v>
      </c>
      <c r="M236" t="s">
        <v>205</v>
      </c>
      <c r="N236" t="str">
        <f>O236&amp;P236</f>
        <v>Семенова Ирина ВалерьевнаКузнецов Владимир Станиславович</v>
      </c>
      <c r="O236" t="s">
        <v>57</v>
      </c>
      <c r="P236" t="s">
        <v>130</v>
      </c>
      <c r="Q236" t="s">
        <v>405</v>
      </c>
    </row>
    <row r="237">
      <c r="D237" t="s">
        <v>8</v>
      </c>
      <c r="E237" t="s">
        <v>168</v>
      </c>
      <c r="F237" t="str">
        <f>VLOOKUP(D237&amp;E237,J:M,4,0)</f>
        <v>2024-07-08</v>
      </c>
      <c r="G237" t="str">
        <f>VLOOKUP(D237&amp;E237,N:Q,4,0)</f>
        <v>2024-07-08</v>
      </c>
      <c r="H237">
        <f>G237-F237</f>
        <v>0</v>
      </c>
      <c r="J237" t="str">
        <f>K237&amp;L237</f>
        <v>Громова Мария ИльиничнаКузнецов Матвей Олегович</v>
      </c>
      <c r="K237" t="s">
        <v>13</v>
      </c>
      <c r="L237" t="s">
        <v>175</v>
      </c>
      <c r="M237" t="s">
        <v>205</v>
      </c>
      <c r="N237" t="str">
        <f>O237&amp;P237</f>
        <v>Петров Владимир КирилловичИванов Никита Павлович</v>
      </c>
      <c r="O237" t="s">
        <v>28</v>
      </c>
      <c r="P237" t="s">
        <v>71</v>
      </c>
      <c r="Q237" t="s">
        <v>405</v>
      </c>
    </row>
    <row r="238">
      <c r="D238" t="s">
        <v>8</v>
      </c>
      <c r="E238" t="s">
        <v>225</v>
      </c>
      <c r="F238" t="str">
        <f>VLOOKUP(D238&amp;E238,J:M,4,0)</f>
        <v>2024-03-27</v>
      </c>
      <c r="G238" t="str">
        <f>VLOOKUP(D238&amp;E238,N:Q,4,0)</f>
        <v>2024-03-27</v>
      </c>
      <c r="H238">
        <f>G238-F238</f>
        <v>0</v>
      </c>
      <c r="J238" t="str">
        <f>K238&amp;L238</f>
        <v>Петров Владимир КирилловичМорозова Екатерина Ивановна</v>
      </c>
      <c r="K238" t="s">
        <v>28</v>
      </c>
      <c r="L238" t="s">
        <v>207</v>
      </c>
      <c r="M238" t="s">
        <v>205</v>
      </c>
      <c r="N238" t="str">
        <f>O238&amp;P238</f>
        <v>Громова Мария ИльиничнаВасильева Ирина Артемовна</v>
      </c>
      <c r="O238" t="s">
        <v>13</v>
      </c>
      <c r="P238" t="s">
        <v>231</v>
      </c>
      <c r="Q238" t="s">
        <v>405</v>
      </c>
    </row>
    <row r="239">
      <c r="D239" t="s">
        <v>8</v>
      </c>
      <c r="E239" t="s">
        <v>241</v>
      </c>
      <c r="F239" t="str">
        <f>VLOOKUP(D239&amp;E239,J:M,4,0)</f>
        <v>2024-06-03</v>
      </c>
      <c r="G239" t="str">
        <f>VLOOKUP(D239&amp;E239,N:Q,4,0)</f>
        <v>2024-06-03</v>
      </c>
      <c r="H239">
        <f>G239-F239</f>
        <v>0</v>
      </c>
      <c r="J239" t="str">
        <f>K239&amp;L239</f>
        <v>Семенова Ирина ВалерьевнаВолкова Мария Егоровна</v>
      </c>
      <c r="K239" t="s">
        <v>57</v>
      </c>
      <c r="L239" t="s">
        <v>196</v>
      </c>
      <c r="M239" t="s">
        <v>205</v>
      </c>
      <c r="N239" t="str">
        <f>O239&amp;P239</f>
        <v>Новикова Ольга ПетровнаСтепанова Анна Олеговна</v>
      </c>
      <c r="O239" t="s">
        <v>17</v>
      </c>
      <c r="P239" t="s">
        <v>263</v>
      </c>
      <c r="Q239" t="s">
        <v>405</v>
      </c>
    </row>
    <row r="240">
      <c r="D240" t="s">
        <v>8</v>
      </c>
      <c r="E240" t="s">
        <v>97</v>
      </c>
      <c r="F240" t="str">
        <f>VLOOKUP(D240&amp;E240,J:M,4,0)</f>
        <v>2024-08-07</v>
      </c>
      <c r="G240" t="str">
        <f>VLOOKUP(D240&amp;E240,N:Q,4,0)</f>
        <v>2024-08-07</v>
      </c>
      <c r="H240">
        <f>G240-F240</f>
        <v>0</v>
      </c>
      <c r="J240" t="str">
        <f>K240&amp;L240</f>
        <v>Ткаченко Андрей ОлеговичЕгорова Ольга Юрьевна</v>
      </c>
      <c r="K240" t="s">
        <v>24</v>
      </c>
      <c r="L240" t="s">
        <v>83</v>
      </c>
      <c r="M240" t="s">
        <v>205</v>
      </c>
      <c r="N240" t="str">
        <f>O240&amp;P240</f>
        <v>Семенова Ирина ВалерьевнаСмирнов Артем Егорович</v>
      </c>
      <c r="O240" t="s">
        <v>57</v>
      </c>
      <c r="P240" t="s">
        <v>316</v>
      </c>
      <c r="Q240" t="s">
        <v>404</v>
      </c>
    </row>
    <row r="241">
      <c r="D241" t="s">
        <v>8</v>
      </c>
      <c r="E241" t="s">
        <v>19</v>
      </c>
      <c r="F241" t="str">
        <f>VLOOKUP(D241&amp;E241,J:M,4,0)</f>
        <v>2023-09-04</v>
      </c>
      <c r="G241" t="str">
        <f>VLOOKUP(D241&amp;E241,N:Q,4,0)</f>
        <v>2023-11-09</v>
      </c>
      <c r="H241">
        <f>G241-F241</f>
        <v>66</v>
      </c>
      <c r="J241" t="str">
        <f>K241&amp;L241</f>
        <v>Ткаченко Андрей ОлеговичСидоров Сергей Егорович</v>
      </c>
      <c r="K241" t="s">
        <v>24</v>
      </c>
      <c r="L241" t="s">
        <v>128</v>
      </c>
      <c r="M241" t="s">
        <v>205</v>
      </c>
      <c r="N241" t="str">
        <f>O241&amp;P241</f>
        <v>Кузнецов Дмитрий ЛьвовичНовиков Илья Геннадьевич</v>
      </c>
      <c r="O241" t="s">
        <v>8</v>
      </c>
      <c r="P241" t="s">
        <v>241</v>
      </c>
      <c r="Q241" t="s">
        <v>402</v>
      </c>
    </row>
    <row r="242">
      <c r="D242" t="s">
        <v>8</v>
      </c>
      <c r="E242" t="s">
        <v>200</v>
      </c>
      <c r="F242" t="str">
        <f>VLOOKUP(D242&amp;E242,J:M,4,0)</f>
        <v>2024-05-28</v>
      </c>
      <c r="G242" t="str">
        <f>VLOOKUP(D242&amp;E242,N:Q,4,0)</f>
        <v>2024-05-28</v>
      </c>
      <c r="H242">
        <f>G242-F242</f>
        <v>0</v>
      </c>
      <c r="J242" t="str">
        <f>K242&amp;L242</f>
        <v>Громова Мария ИльиничнаНиколаева Ксения Викторовна</v>
      </c>
      <c r="K242" t="s">
        <v>13</v>
      </c>
      <c r="L242" t="s">
        <v>208</v>
      </c>
      <c r="M242" t="s">
        <v>205</v>
      </c>
      <c r="N242" t="str">
        <f>O242&amp;P242</f>
        <v>Новикова Ольга ПетровнаКозлов Артур Андреевич</v>
      </c>
      <c r="O242" t="s">
        <v>17</v>
      </c>
      <c r="P242" t="s">
        <v>98</v>
      </c>
      <c r="Q242" t="s">
        <v>402</v>
      </c>
    </row>
    <row r="243">
      <c r="D243" t="s">
        <v>8</v>
      </c>
      <c r="E243" t="s">
        <v>239</v>
      </c>
      <c r="F243" t="str">
        <f>VLOOKUP(D243&amp;E243,J:M,4,0)</f>
        <v>2024-05-23</v>
      </c>
      <c r="G243" t="str">
        <f>VLOOKUP(D243&amp;E243,N:Q,4,0)</f>
        <v>2024-05-23</v>
      </c>
      <c r="H243">
        <f>G243-F243</f>
        <v>0</v>
      </c>
      <c r="J243" t="str">
        <f>K243&amp;L243</f>
        <v>Ткаченко Андрей ОлеговичМорозова Наталья Алексеевна</v>
      </c>
      <c r="K243" t="s">
        <v>24</v>
      </c>
      <c r="L243" t="s">
        <v>209</v>
      </c>
      <c r="M243" t="s">
        <v>205</v>
      </c>
      <c r="N243" t="str">
        <f>O243&amp;P243</f>
        <v>Семенова Ирина ВалерьевнаПетров Андрей Алексеевич</v>
      </c>
      <c r="O243" t="s">
        <v>57</v>
      </c>
      <c r="P243" t="s">
        <v>58</v>
      </c>
      <c r="Q243" t="s">
        <v>402</v>
      </c>
    </row>
    <row r="244">
      <c r="D244" t="s">
        <v>8</v>
      </c>
      <c r="E244" t="s">
        <v>77</v>
      </c>
      <c r="F244" t="str">
        <f>VLOOKUP(D244&amp;E244,J:M,4,0)</f>
        <v>2023-12-15</v>
      </c>
      <c r="G244" t="str">
        <f>VLOOKUP(D244&amp;E244,N:Q,4,0)</f>
        <v>2023-12-15</v>
      </c>
      <c r="H244">
        <f>G244-F244</f>
        <v>0</v>
      </c>
      <c r="J244" t="str">
        <f>K244&amp;L244</f>
        <v>Петров Владимир КирилловичСидорова Ольга Олеговна</v>
      </c>
      <c r="K244" t="s">
        <v>28</v>
      </c>
      <c r="L244" t="s">
        <v>177</v>
      </c>
      <c r="M244" t="s">
        <v>210</v>
      </c>
      <c r="N244" t="str">
        <f>O244&amp;P244</f>
        <v>Ткаченко Андрей ОлеговичСтепанова Людмила Никитична</v>
      </c>
      <c r="O244" t="s">
        <v>24</v>
      </c>
      <c r="P244" t="s">
        <v>153</v>
      </c>
      <c r="Q244" t="s">
        <v>402</v>
      </c>
    </row>
    <row r="245">
      <c r="D245" t="s">
        <v>8</v>
      </c>
      <c r="E245" t="s">
        <v>78</v>
      </c>
      <c r="F245" t="str">
        <f>VLOOKUP(D245&amp;E245,J:M,4,0)</f>
        <v>2024-01-30</v>
      </c>
      <c r="G245" t="str">
        <f>VLOOKUP(D245&amp;E245,N:Q,4,0)</f>
        <v>2024-01-30</v>
      </c>
      <c r="H245">
        <f>G245-F245</f>
        <v>0</v>
      </c>
      <c r="J245" t="str">
        <f>K245&amp;L245</f>
        <v>Новикова Ольга ПетровнаПетров Павел Михайлович</v>
      </c>
      <c r="K245" t="s">
        <v>17</v>
      </c>
      <c r="L245" t="s">
        <v>211</v>
      </c>
      <c r="M245" t="s">
        <v>210</v>
      </c>
      <c r="N245" t="str">
        <f>O245&amp;P245</f>
        <v>Фролов Сергей ВикторовичМорозова Екатерина Олеговна</v>
      </c>
      <c r="O245" t="s">
        <v>5</v>
      </c>
      <c r="P245" t="s">
        <v>65</v>
      </c>
      <c r="Q245" t="s">
        <v>402</v>
      </c>
    </row>
    <row r="246">
      <c r="D246" t="s">
        <v>8</v>
      </c>
      <c r="E246" t="s">
        <v>149</v>
      </c>
      <c r="F246" t="str">
        <f>VLOOKUP(D246&amp;E246,J:M,4,0)</f>
        <v>2023-10-24</v>
      </c>
      <c r="G246" t="str">
        <f>VLOOKUP(D246&amp;E246,N:Q,4,0)</f>
        <v>2023-10-24</v>
      </c>
      <c r="H246">
        <f>G246-F246</f>
        <v>0</v>
      </c>
      <c r="J246" t="str">
        <f>K246&amp;L246</f>
        <v>Орлов Павел ДенисовичПавлов Илья Артемович</v>
      </c>
      <c r="K246" t="s">
        <v>43</v>
      </c>
      <c r="L246" t="s">
        <v>158</v>
      </c>
      <c r="M246" t="s">
        <v>210</v>
      </c>
      <c r="N246" t="str">
        <f>O246&amp;P246</f>
        <v>Кузнецов Дмитрий ЛьвовичСеменов Сергей Викторович</v>
      </c>
      <c r="O246" t="s">
        <v>8</v>
      </c>
      <c r="P246" t="s">
        <v>30</v>
      </c>
      <c r="Q246" t="s">
        <v>402</v>
      </c>
    </row>
    <row r="247">
      <c r="D247" t="s">
        <v>8</v>
      </c>
      <c r="E247" t="s">
        <v>89</v>
      </c>
      <c r="F247" t="str">
        <f>VLOOKUP(D247&amp;E247,J:M,4,0)</f>
        <v>2024-03-06</v>
      </c>
      <c r="G247" t="str">
        <f>VLOOKUP(D247&amp;E247,N:Q,4,0)</f>
        <v>2024-03-06</v>
      </c>
      <c r="H247">
        <f>G247-F247</f>
        <v>0</v>
      </c>
      <c r="J247" t="str">
        <f>K247&amp;L247</f>
        <v>Новикова Ольга ПетровнаСмирнова Екатерина Егоровна</v>
      </c>
      <c r="K247" t="s">
        <v>17</v>
      </c>
      <c r="L247" t="s">
        <v>212</v>
      </c>
      <c r="M247" t="s">
        <v>213</v>
      </c>
      <c r="N247" t="str">
        <f>O247&amp;P247</f>
        <v>Фролов Сергей ВикторовичАлексеева Ирина Андреевна</v>
      </c>
      <c r="O247" t="s">
        <v>5</v>
      </c>
      <c r="P247" t="s">
        <v>189</v>
      </c>
      <c r="Q247" t="s">
        <v>402</v>
      </c>
    </row>
    <row r="248">
      <c r="D248" t="s">
        <v>8</v>
      </c>
      <c r="E248" t="s">
        <v>52</v>
      </c>
      <c r="F248" t="str">
        <f>VLOOKUP(D248&amp;E248,J:M,4,0)</f>
        <v>2023-09-14</v>
      </c>
      <c r="G248" t="str">
        <f>VLOOKUP(D248&amp;E248,N:Q,4,0)</f>
        <v>2023-09-14</v>
      </c>
      <c r="H248">
        <f>G248-F248</f>
        <v>0</v>
      </c>
      <c r="J248" t="str">
        <f>K248&amp;L248</f>
        <v>Сидорова Елена ВасильевнаНиколаев Артур Артемович</v>
      </c>
      <c r="K248" t="s">
        <v>15</v>
      </c>
      <c r="L248" t="s">
        <v>151</v>
      </c>
      <c r="M248" t="s">
        <v>213</v>
      </c>
      <c r="N248" t="str">
        <f>O248&amp;P248</f>
        <v>Белов Алексей КонстантиновичСмирнова Валерия Викторовна</v>
      </c>
      <c r="O248" t="s">
        <v>47</v>
      </c>
      <c r="P248" t="s">
        <v>63</v>
      </c>
      <c r="Q248" t="s">
        <v>402</v>
      </c>
    </row>
    <row r="249">
      <c r="D249" t="s">
        <v>8</v>
      </c>
      <c r="E249" t="s">
        <v>234</v>
      </c>
      <c r="F249" t="str">
        <f>VLOOKUP(D249&amp;E249,J:M,4,0)</f>
        <v>2023-12-14</v>
      </c>
      <c r="G249" t="str">
        <f>VLOOKUP(D249&amp;E249,N:Q,4,0)</f>
        <v>2024-07-12</v>
      </c>
      <c r="H249">
        <f>G249-F249</f>
        <v>211</v>
      </c>
      <c r="J249" t="str">
        <f>K249&amp;L249</f>
        <v>Громова Мария ИльиничнаПетров Павел Михайлович</v>
      </c>
      <c r="K249" t="s">
        <v>13</v>
      </c>
      <c r="L249" t="s">
        <v>211</v>
      </c>
      <c r="M249" t="s">
        <v>213</v>
      </c>
      <c r="N249" t="str">
        <f>O249&amp;P249</f>
        <v>Яковлев Артем ИгоревичФедорова Мария Ивановна</v>
      </c>
      <c r="O249" t="s">
        <v>21</v>
      </c>
      <c r="P249" t="s">
        <v>344</v>
      </c>
      <c r="Q249" t="s">
        <v>402</v>
      </c>
    </row>
    <row r="250">
      <c r="D250" t="s">
        <v>8</v>
      </c>
      <c r="E250" t="s">
        <v>113</v>
      </c>
      <c r="F250" t="str">
        <f>VLOOKUP(D250&amp;E250,J:M,4,0)</f>
        <v>2024-06-03</v>
      </c>
      <c r="G250" t="str">
        <f>VLOOKUP(D250&amp;E250,N:Q,4,0)</f>
        <v>2024-06-03</v>
      </c>
      <c r="H250">
        <f>G250-F250</f>
        <v>0</v>
      </c>
      <c r="J250" t="str">
        <f>K250&amp;L250</f>
        <v>Яковлев Артем ИгоревичКузнецова Дарья Ильинична</v>
      </c>
      <c r="K250" t="s">
        <v>21</v>
      </c>
      <c r="L250" t="s">
        <v>214</v>
      </c>
      <c r="M250" t="s">
        <v>213</v>
      </c>
      <c r="N250" t="str">
        <f>O250&amp;P250</f>
        <v>Ткаченко Андрей ОлеговичСмирнов Константин Егорович</v>
      </c>
      <c r="O250" t="s">
        <v>24</v>
      </c>
      <c r="P250" t="s">
        <v>403</v>
      </c>
      <c r="Q250" t="s">
        <v>402</v>
      </c>
    </row>
    <row r="251">
      <c r="D251" t="s">
        <v>8</v>
      </c>
      <c r="E251" t="s">
        <v>106</v>
      </c>
      <c r="F251" t="str">
        <f>VLOOKUP(D251&amp;E251,J:M,4,0)</f>
        <v>2024-04-15</v>
      </c>
      <c r="G251" t="str">
        <f>VLOOKUP(D251&amp;E251,N:Q,4,0)</f>
        <v>2024-04-15</v>
      </c>
      <c r="H251">
        <f>G251-F251</f>
        <v>0</v>
      </c>
      <c r="J251" t="str">
        <f>K251&amp;L251</f>
        <v>Громова Мария ИльиничнаФедорова Людмила Дмитриевна</v>
      </c>
      <c r="K251" t="s">
        <v>13</v>
      </c>
      <c r="L251" t="s">
        <v>215</v>
      </c>
      <c r="M251" t="s">
        <v>213</v>
      </c>
      <c r="N251" t="str">
        <f>O251&amp;P251</f>
        <v>Белов Алексей КонстантиновичПавлова Дарья Андреевна</v>
      </c>
      <c r="O251" t="s">
        <v>47</v>
      </c>
      <c r="P251" t="s">
        <v>78</v>
      </c>
      <c r="Q251" t="s">
        <v>402</v>
      </c>
    </row>
    <row r="252">
      <c r="D252" t="s">
        <v>8</v>
      </c>
      <c r="E252" t="s">
        <v>192</v>
      </c>
      <c r="F252" t="str">
        <f>VLOOKUP(D252&amp;E252,J:M,4,0)</f>
        <v>2023-11-15</v>
      </c>
      <c r="G252" t="str">
        <f>VLOOKUP(D252&amp;E252,N:Q,4,0)</f>
        <v>2024-01-03</v>
      </c>
      <c r="H252">
        <f>G252-F252</f>
        <v>49</v>
      </c>
      <c r="J252" t="str">
        <f>K252&amp;L252</f>
        <v>Семенова Ирина ВалерьевнаСидоров Алексей Кириллович</v>
      </c>
      <c r="K252" t="s">
        <v>57</v>
      </c>
      <c r="L252" t="s">
        <v>14</v>
      </c>
      <c r="M252" t="s">
        <v>213</v>
      </c>
      <c r="N252" t="str">
        <f>O252&amp;P252</f>
        <v>Семенова Ирина ВалерьевнаПетров Сергей Андреевич</v>
      </c>
      <c r="O252" t="s">
        <v>57</v>
      </c>
      <c r="P252" t="s">
        <v>52</v>
      </c>
      <c r="Q252" t="s">
        <v>402</v>
      </c>
    </row>
    <row r="253">
      <c r="D253" t="s">
        <v>8</v>
      </c>
      <c r="E253" t="s">
        <v>69</v>
      </c>
      <c r="F253" t="str">
        <f>VLOOKUP(D253&amp;E253,J:M,4,0)</f>
        <v>2023-09-20</v>
      </c>
      <c r="G253" t="str">
        <f>VLOOKUP(D253&amp;E253,N:Q,4,0)</f>
        <v>2024-03-29</v>
      </c>
      <c r="H253">
        <f>G253-F253</f>
        <v>191</v>
      </c>
      <c r="J253" t="str">
        <f>K253&amp;L253</f>
        <v>Иванова Анна СергеевнаНовиков Дмитрий Иванович</v>
      </c>
      <c r="K253" t="s">
        <v>11</v>
      </c>
      <c r="L253" t="s">
        <v>184</v>
      </c>
      <c r="M253" t="s">
        <v>216</v>
      </c>
      <c r="N253" t="str">
        <f>O253&amp;P253</f>
        <v>Кузнецов Дмитрий ЛьвовичПопов Матвей Викторович</v>
      </c>
      <c r="O253" t="s">
        <v>8</v>
      </c>
      <c r="P253" t="s">
        <v>113</v>
      </c>
      <c r="Q253" t="s">
        <v>402</v>
      </c>
    </row>
    <row r="254">
      <c r="D254" t="s">
        <v>8</v>
      </c>
      <c r="E254" t="s">
        <v>299</v>
      </c>
      <c r="F254" t="str">
        <f>VLOOKUP(D254&amp;E254,J:M,4,0)</f>
        <v>2024-05-27</v>
      </c>
      <c r="G254" t="str">
        <f>VLOOKUP(D254&amp;E254,N:Q,4,0)</f>
        <v>2024-05-27</v>
      </c>
      <c r="H254">
        <f>G254-F254</f>
        <v>0</v>
      </c>
      <c r="J254" t="str">
        <f>K254&amp;L254</f>
        <v>Орлов Павел ДенисовичСтепанов Георгий Иванович</v>
      </c>
      <c r="K254" t="s">
        <v>43</v>
      </c>
      <c r="L254" t="s">
        <v>44</v>
      </c>
      <c r="M254" t="s">
        <v>216</v>
      </c>
      <c r="N254" t="str">
        <f>O254&amp;P254</f>
        <v>Орлов Павел ДенисовичНиколаева Александра Кирилловна</v>
      </c>
      <c r="O254" t="s">
        <v>43</v>
      </c>
      <c r="P254" t="s">
        <v>186</v>
      </c>
      <c r="Q254" t="s">
        <v>402</v>
      </c>
    </row>
    <row r="255">
      <c r="D255" t="s">
        <v>8</v>
      </c>
      <c r="E255" t="s">
        <v>102</v>
      </c>
      <c r="F255" t="str">
        <f>VLOOKUP(D255&amp;E255,J:M,4,0)</f>
        <v>2024-01-11</v>
      </c>
      <c r="G255" t="str">
        <f>VLOOKUP(D255&amp;E255,N:Q,4,0)</f>
        <v>2024-01-11</v>
      </c>
      <c r="H255">
        <f>G255-F255</f>
        <v>0</v>
      </c>
      <c r="J255" t="str">
        <f>K255&amp;L255</f>
        <v>Семенова Ирина ВалерьевнаКозлова Полина Викторовна</v>
      </c>
      <c r="K255" t="s">
        <v>57</v>
      </c>
      <c r="L255" t="s">
        <v>217</v>
      </c>
      <c r="M255" t="s">
        <v>216</v>
      </c>
      <c r="N255" t="str">
        <f>O255&amp;P255</f>
        <v>Кузнецов Дмитрий ЛьвовичВолкова Анна Кирилловна</v>
      </c>
      <c r="O255" t="s">
        <v>8</v>
      </c>
      <c r="P255" t="s">
        <v>223</v>
      </c>
      <c r="Q255" t="s">
        <v>401</v>
      </c>
    </row>
    <row r="256">
      <c r="D256" t="s">
        <v>8</v>
      </c>
      <c r="E256" t="s">
        <v>172</v>
      </c>
      <c r="F256" t="str">
        <f>VLOOKUP(D256&amp;E256,J:M,4,0)</f>
        <v>2024-05-27</v>
      </c>
      <c r="G256" t="str">
        <f>VLOOKUP(D256&amp;E256,N:Q,4,0)</f>
        <v>2024-05-27</v>
      </c>
      <c r="H256">
        <f>G256-F256</f>
        <v>0</v>
      </c>
      <c r="J256" t="str">
        <f>K256&amp;L256</f>
        <v>Новикова Ольга ПетровнаПетров Михаил Егорович</v>
      </c>
      <c r="K256" t="s">
        <v>17</v>
      </c>
      <c r="L256" t="s">
        <v>149</v>
      </c>
      <c r="M256" t="s">
        <v>216</v>
      </c>
      <c r="N256" t="str">
        <f>O256&amp;P256</f>
        <v>Кузнецов Дмитрий ЛьвовичСтепанова Людмила Никитична</v>
      </c>
      <c r="O256" t="s">
        <v>8</v>
      </c>
      <c r="P256" t="s">
        <v>153</v>
      </c>
      <c r="Q256" t="s">
        <v>400</v>
      </c>
    </row>
    <row r="257">
      <c r="D257" t="s">
        <v>8</v>
      </c>
      <c r="E257" t="s">
        <v>30</v>
      </c>
      <c r="F257" t="str">
        <f>VLOOKUP(D257&amp;E257,J:M,4,0)</f>
        <v>2024-06-03</v>
      </c>
      <c r="G257" t="str">
        <f>VLOOKUP(D257&amp;E257,N:Q,4,0)</f>
        <v>2024-06-03</v>
      </c>
      <c r="H257">
        <f>G257-F257</f>
        <v>0</v>
      </c>
      <c r="J257" t="str">
        <f>K257&amp;L257</f>
        <v>Белов Алексей КонстантиновичМорозова Татьяна Кирилловна</v>
      </c>
      <c r="K257" t="s">
        <v>47</v>
      </c>
      <c r="L257" t="s">
        <v>218</v>
      </c>
      <c r="M257" t="s">
        <v>219</v>
      </c>
      <c r="N257" t="str">
        <f>O257&amp;P257</f>
        <v>Ткаченко Андрей ОлеговичСеменов Михаил Никитич</v>
      </c>
      <c r="O257" t="s">
        <v>24</v>
      </c>
      <c r="P257" t="s">
        <v>172</v>
      </c>
      <c r="Q257" t="s">
        <v>400</v>
      </c>
    </row>
    <row r="258">
      <c r="D258" t="s">
        <v>8</v>
      </c>
      <c r="E258" t="s">
        <v>148</v>
      </c>
      <c r="F258" t="str">
        <f>VLOOKUP(D258&amp;E258,J:M,4,0)</f>
        <v>2023-11-27</v>
      </c>
      <c r="G258" t="str">
        <f>VLOOKUP(D258&amp;E258,N:Q,4,0)</f>
        <v>2023-11-27</v>
      </c>
      <c r="H258">
        <f>G258-F258</f>
        <v>0</v>
      </c>
      <c r="J258" t="str">
        <f>K258&amp;L258</f>
        <v>Новикова Ольга ПетровнаНиколаев Егор Романович</v>
      </c>
      <c r="K258" t="s">
        <v>17</v>
      </c>
      <c r="L258" t="s">
        <v>220</v>
      </c>
      <c r="M258" t="s">
        <v>221</v>
      </c>
      <c r="N258" t="str">
        <f>O258&amp;P258</f>
        <v>Громова Мария ИльиничнаПопова Светлана Дмитриевна</v>
      </c>
      <c r="O258" t="s">
        <v>13</v>
      </c>
      <c r="P258" t="s">
        <v>69</v>
      </c>
      <c r="Q258" t="s">
        <v>400</v>
      </c>
    </row>
    <row r="259">
      <c r="D259" t="s">
        <v>8</v>
      </c>
      <c r="E259" t="s">
        <v>14</v>
      </c>
      <c r="F259" t="str">
        <f>VLOOKUP(D259&amp;E259,J:M,4,0)</f>
        <v>2023-09-12</v>
      </c>
      <c r="G259" t="str">
        <f>VLOOKUP(D259&amp;E259,N:Q,4,0)</f>
        <v>2023-12-11</v>
      </c>
      <c r="H259">
        <f>G259-F259</f>
        <v>90</v>
      </c>
      <c r="J259" t="str">
        <f>K259&amp;L259</f>
        <v>Ткаченко Андрей ОлеговичЕгоров Владимир Артемович</v>
      </c>
      <c r="K259" t="s">
        <v>24</v>
      </c>
      <c r="L259" t="s">
        <v>26</v>
      </c>
      <c r="M259" t="s">
        <v>221</v>
      </c>
      <c r="N259" t="str">
        <f>O259&amp;P259</f>
        <v>Белов Алексей КонстантиновичВасильев Дмитрий Алексеевич</v>
      </c>
      <c r="O259" t="s">
        <v>47</v>
      </c>
      <c r="P259" t="s">
        <v>18</v>
      </c>
      <c r="Q259" t="s">
        <v>400</v>
      </c>
    </row>
    <row r="260">
      <c r="D260" t="s">
        <v>8</v>
      </c>
      <c r="E260" t="s">
        <v>50</v>
      </c>
      <c r="F260" t="str">
        <f>VLOOKUP(D260&amp;E260,J:M,4,0)</f>
        <v>2023-09-15</v>
      </c>
      <c r="G260" t="str">
        <f>VLOOKUP(D260&amp;E260,N:Q,4,0)</f>
        <v>2023-09-15</v>
      </c>
      <c r="H260">
        <f>G260-F260</f>
        <v>0</v>
      </c>
      <c r="J260" t="str">
        <f>K260&amp;L260</f>
        <v>Белов Алексей КонстантиновичАлексеев Иван Иванович</v>
      </c>
      <c r="K260" t="s">
        <v>47</v>
      </c>
      <c r="L260" t="s">
        <v>70</v>
      </c>
      <c r="M260" t="s">
        <v>221</v>
      </c>
      <c r="N260" t="str">
        <f>O260&amp;P260</f>
        <v>Яковлев Артем ИгоревичНовиков Дмитрий Иванович</v>
      </c>
      <c r="O260" t="s">
        <v>21</v>
      </c>
      <c r="P260" t="s">
        <v>184</v>
      </c>
      <c r="Q260" t="s">
        <v>399</v>
      </c>
    </row>
    <row r="261">
      <c r="D261" t="s">
        <v>8</v>
      </c>
      <c r="E261" t="s">
        <v>257</v>
      </c>
      <c r="F261" t="str">
        <f>VLOOKUP(D261&amp;E261,J:M,4,0)</f>
        <v>2023-12-27</v>
      </c>
      <c r="G261" t="str">
        <f>VLOOKUP(D261&amp;E261,N:Q,4,0)</f>
        <v>2024-05-16</v>
      </c>
      <c r="H261">
        <f>G261-F261</f>
        <v>141</v>
      </c>
      <c r="J261" t="str">
        <f>K261&amp;L261</f>
        <v>Иванова Анна СергеевнаПопова Светлана Дмитриевна</v>
      </c>
      <c r="K261" t="s">
        <v>11</v>
      </c>
      <c r="L261" t="s">
        <v>69</v>
      </c>
      <c r="M261" t="s">
        <v>221</v>
      </c>
      <c r="N261" t="str">
        <f>O261&amp;P261</f>
        <v>Белов Алексей КонстантиновичАлексеева Анна Олеговна</v>
      </c>
      <c r="O261" t="s">
        <v>47</v>
      </c>
      <c r="P261" t="s">
        <v>339</v>
      </c>
      <c r="Q261" t="s">
        <v>399</v>
      </c>
    </row>
    <row r="262">
      <c r="D262" t="s">
        <v>8</v>
      </c>
      <c r="E262" t="s">
        <v>254</v>
      </c>
      <c r="F262" t="str">
        <f>VLOOKUP(D262&amp;E262,J:M,4,0)</f>
        <v>2024-01-08</v>
      </c>
      <c r="G262" t="str">
        <f>VLOOKUP(D262&amp;E262,N:Q,4,0)</f>
        <v>2024-01-08</v>
      </c>
      <c r="H262">
        <f>G262-F262</f>
        <v>0</v>
      </c>
      <c r="J262" t="str">
        <f>K262&amp;L262</f>
        <v>Семенова Ирина ВалерьевнаКузнецов Алексей Иванович</v>
      </c>
      <c r="K262" t="s">
        <v>57</v>
      </c>
      <c r="L262" t="s">
        <v>110</v>
      </c>
      <c r="M262" t="s">
        <v>221</v>
      </c>
      <c r="N262" t="str">
        <f>O262&amp;P262</f>
        <v>Кузнецов Дмитрий ЛьвовичОрлова Полина Никитична</v>
      </c>
      <c r="O262" t="s">
        <v>8</v>
      </c>
      <c r="P262" t="s">
        <v>200</v>
      </c>
      <c r="Q262" t="s">
        <v>398</v>
      </c>
    </row>
    <row r="263">
      <c r="D263" t="s">
        <v>8</v>
      </c>
      <c r="E263" t="s">
        <v>316</v>
      </c>
      <c r="F263" t="str">
        <f>VLOOKUP(D263&amp;E263,J:M,4,0)</f>
        <v>2024-02-26</v>
      </c>
      <c r="G263" t="str">
        <f>VLOOKUP(D263&amp;E263,N:Q,4,0)</f>
        <v>2024-02-26</v>
      </c>
      <c r="H263">
        <f>G263-F263</f>
        <v>0</v>
      </c>
      <c r="J263" t="str">
        <f>K263&amp;L263</f>
        <v>Сидорова Елена ВасильевнаКозлов Дмитрий Сергеевич</v>
      </c>
      <c r="K263" t="s">
        <v>15</v>
      </c>
      <c r="L263" t="s">
        <v>222</v>
      </c>
      <c r="M263" t="s">
        <v>221</v>
      </c>
      <c r="N263" t="str">
        <f>O263&amp;P263</f>
        <v>Петров Владимир КирилловичМорозов Матвей Романович</v>
      </c>
      <c r="O263" t="s">
        <v>28</v>
      </c>
      <c r="P263" t="s">
        <v>39</v>
      </c>
      <c r="Q263" t="s">
        <v>397</v>
      </c>
    </row>
    <row r="264">
      <c r="D264" t="s">
        <v>8</v>
      </c>
      <c r="E264" t="s">
        <v>31</v>
      </c>
      <c r="F264" t="str">
        <f>VLOOKUP(D264&amp;E264,J:M,4,0)</f>
        <v>2023-09-07</v>
      </c>
      <c r="G264" t="str">
        <f>VLOOKUP(D264&amp;E264,N:Q,4,0)</f>
        <v>2024-02-19</v>
      </c>
      <c r="H264">
        <f>G264-F264</f>
        <v>165</v>
      </c>
      <c r="J264" t="str">
        <f>K264&amp;L264</f>
        <v>Ткаченко Андрей ОлеговичНиколаев Артур Артемович</v>
      </c>
      <c r="K264" t="s">
        <v>24</v>
      </c>
      <c r="L264" t="s">
        <v>151</v>
      </c>
      <c r="M264" t="s">
        <v>221</v>
      </c>
      <c r="N264" t="str">
        <f>O264&amp;P264</f>
        <v>Кузнецов Дмитрий ЛьвовичСеменов Алексей Михайлович</v>
      </c>
      <c r="O264" t="s">
        <v>8</v>
      </c>
      <c r="P264" t="s">
        <v>299</v>
      </c>
      <c r="Q264" t="s">
        <v>397</v>
      </c>
    </row>
    <row r="265">
      <c r="D265" t="s">
        <v>8</v>
      </c>
      <c r="E265" t="s">
        <v>255</v>
      </c>
      <c r="F265" t="str">
        <f>VLOOKUP(D265&amp;E265,J:M,4,0)</f>
        <v>2024-03-14</v>
      </c>
      <c r="G265" t="str">
        <f>VLOOKUP(D265&amp;E265,N:Q,4,0)</f>
        <v>2024-03-14</v>
      </c>
      <c r="H265">
        <f>G265-F265</f>
        <v>0</v>
      </c>
      <c r="J265" t="str">
        <f>K265&amp;L265</f>
        <v>Громова Мария ИльиничнаВолкова Анна Кирилловна</v>
      </c>
      <c r="K265" t="s">
        <v>13</v>
      </c>
      <c r="L265" t="s">
        <v>223</v>
      </c>
      <c r="M265" t="s">
        <v>224</v>
      </c>
      <c r="N265" t="str">
        <f>O265&amp;P265</f>
        <v>Кузнецов Дмитрий ЛьвовичСеменов Михаил Никитич</v>
      </c>
      <c r="O265" t="s">
        <v>8</v>
      </c>
      <c r="P265" t="s">
        <v>172</v>
      </c>
      <c r="Q265" t="s">
        <v>397</v>
      </c>
    </row>
    <row r="266">
      <c r="D266" t="s">
        <v>8</v>
      </c>
      <c r="E266" t="s">
        <v>44</v>
      </c>
      <c r="F266" t="str">
        <f>VLOOKUP(D266&amp;E266,J:M,4,0)</f>
        <v>2023-09-21</v>
      </c>
      <c r="G266" t="str">
        <f>VLOOKUP(D266&amp;E266,N:Q,4,0)</f>
        <v>2023-09-21</v>
      </c>
      <c r="H266">
        <f>G266-F266</f>
        <v>0</v>
      </c>
      <c r="J266" t="str">
        <f>K266&amp;L266</f>
        <v>Фролов Сергей ВикторовичСмирнова Валерия Викторовна</v>
      </c>
      <c r="K266" t="s">
        <v>5</v>
      </c>
      <c r="L266" t="s">
        <v>63</v>
      </c>
      <c r="M266" t="s">
        <v>224</v>
      </c>
      <c r="N266" t="str">
        <f>O266&amp;P266</f>
        <v>Новикова Ольга ПетровнаНовиков Дмитрий Иванович</v>
      </c>
      <c r="O266" t="s">
        <v>17</v>
      </c>
      <c r="P266" t="s">
        <v>184</v>
      </c>
      <c r="Q266" t="s">
        <v>397</v>
      </c>
    </row>
    <row r="267">
      <c r="D267" t="s">
        <v>8</v>
      </c>
      <c r="E267" t="s">
        <v>302</v>
      </c>
      <c r="F267" t="str">
        <f>VLOOKUP(D267&amp;E267,J:M,4,0)</f>
        <v>2024-05-17</v>
      </c>
      <c r="G267" t="str">
        <f>VLOOKUP(D267&amp;E267,N:Q,4,0)</f>
        <v>2024-05-17</v>
      </c>
      <c r="H267">
        <f>G267-F267</f>
        <v>0</v>
      </c>
      <c r="J267" t="str">
        <f>K267&amp;L267</f>
        <v>Петров Владимир КирилловичИванов Матвей Юрьевич</v>
      </c>
      <c r="K267" t="s">
        <v>28</v>
      </c>
      <c r="L267" t="s">
        <v>16</v>
      </c>
      <c r="M267" t="s">
        <v>224</v>
      </c>
      <c r="N267" t="str">
        <f>O267&amp;P267</f>
        <v>Новикова Ольга ПетровнаИванова София Геннадьевна</v>
      </c>
      <c r="O267" t="s">
        <v>17</v>
      </c>
      <c r="P267" t="s">
        <v>121</v>
      </c>
      <c r="Q267" t="s">
        <v>397</v>
      </c>
    </row>
    <row r="268">
      <c r="D268" t="s">
        <v>8</v>
      </c>
      <c r="E268" t="s">
        <v>123</v>
      </c>
      <c r="F268" t="str">
        <f>VLOOKUP(D268&amp;E268,J:M,4,0)</f>
        <v>2024-05-13</v>
      </c>
      <c r="G268" t="str">
        <f>VLOOKUP(D268&amp;E268,N:Q,4,0)</f>
        <v>2024-05-13</v>
      </c>
      <c r="H268">
        <f>G268-F268</f>
        <v>0</v>
      </c>
      <c r="J268" t="str">
        <f>K268&amp;L268</f>
        <v>Сидорова Елена ВасильевнаНиколаева Наталья Сергеевна</v>
      </c>
      <c r="K268" t="s">
        <v>15</v>
      </c>
      <c r="L268" t="s">
        <v>225</v>
      </c>
      <c r="M268" t="s">
        <v>226</v>
      </c>
      <c r="N268" t="str">
        <f>O268&amp;P268</f>
        <v>Ткаченко Андрей ОлеговичПавлова Елена Викторовна</v>
      </c>
      <c r="O268" t="s">
        <v>24</v>
      </c>
      <c r="P268" t="s">
        <v>305</v>
      </c>
      <c r="Q268" t="s">
        <v>397</v>
      </c>
    </row>
    <row r="269">
      <c r="D269" t="s">
        <v>8</v>
      </c>
      <c r="E269" t="s">
        <v>144</v>
      </c>
      <c r="F269" t="str">
        <f>VLOOKUP(D269&amp;E269,J:M,4,0)</f>
        <v>2023-11-01</v>
      </c>
      <c r="G269" t="str">
        <f>VLOOKUP(D269&amp;E269,N:Q,4,0)</f>
        <v>2023-11-01</v>
      </c>
      <c r="H269">
        <f>G269-F269</f>
        <v>0</v>
      </c>
      <c r="J269" t="str">
        <f>K269&amp;L269</f>
        <v>Петров Владимир КирилловичНиколаева Дарья Юрьевна</v>
      </c>
      <c r="K269" t="s">
        <v>28</v>
      </c>
      <c r="L269" t="s">
        <v>227</v>
      </c>
      <c r="M269" t="s">
        <v>228</v>
      </c>
      <c r="N269" t="str">
        <f>O269&amp;P269</f>
        <v>Новикова Ольга ПетровнаКузнецов Алексей Иванович</v>
      </c>
      <c r="O269" t="s">
        <v>17</v>
      </c>
      <c r="P269" t="s">
        <v>110</v>
      </c>
      <c r="Q269" t="s">
        <v>397</v>
      </c>
    </row>
    <row r="270">
      <c r="D270" t="s">
        <v>8</v>
      </c>
      <c r="E270" t="s">
        <v>263</v>
      </c>
      <c r="F270" t="str">
        <f>VLOOKUP(D270&amp;E270,J:M,4,0)</f>
        <v>2024-08-29</v>
      </c>
      <c r="G270" t="str">
        <f>VLOOKUP(D270&amp;E270,N:Q,4,0)</f>
        <v>2024-08-29</v>
      </c>
      <c r="H270">
        <f>G270-F270</f>
        <v>0</v>
      </c>
      <c r="J270" t="str">
        <f>K270&amp;L270</f>
        <v>Сидорова Елена ВасильевнаПавлова Виктория Викторовна</v>
      </c>
      <c r="K270" t="s">
        <v>15</v>
      </c>
      <c r="L270" t="s">
        <v>77</v>
      </c>
      <c r="M270" t="s">
        <v>229</v>
      </c>
      <c r="N270" t="str">
        <f>O270&amp;P270</f>
        <v>Петров Владимир КирилловичОрлова Дарья Сергеевна</v>
      </c>
      <c r="O270" t="s">
        <v>28</v>
      </c>
      <c r="P270" t="s">
        <v>97</v>
      </c>
      <c r="Q270" t="s">
        <v>397</v>
      </c>
    </row>
    <row r="271">
      <c r="D271" t="s">
        <v>8</v>
      </c>
      <c r="E271" t="s">
        <v>45</v>
      </c>
      <c r="F271" t="str">
        <f>VLOOKUP(D271&amp;E271,J:M,4,0)</f>
        <v>2023-09-11</v>
      </c>
      <c r="G271" t="str">
        <f>VLOOKUP(D271&amp;E271,N:Q,4,0)</f>
        <v>2023-09-11</v>
      </c>
      <c r="H271">
        <f>G271-F271</f>
        <v>0</v>
      </c>
      <c r="J271" t="str">
        <f>K271&amp;L271</f>
        <v>Фролов Сергей ВикторовичНиколаева Алиса Романовна</v>
      </c>
      <c r="K271" t="s">
        <v>5</v>
      </c>
      <c r="L271" t="s">
        <v>168</v>
      </c>
      <c r="M271" t="s">
        <v>230</v>
      </c>
      <c r="N271" t="str">
        <f>O271&amp;P271</f>
        <v>Ткаченко Андрей ОлеговичМорозова Светлана Сергеевна</v>
      </c>
      <c r="O271" t="s">
        <v>24</v>
      </c>
      <c r="P271" t="s">
        <v>108</v>
      </c>
      <c r="Q271" t="s">
        <v>397</v>
      </c>
    </row>
    <row r="272">
      <c r="D272" t="s">
        <v>8</v>
      </c>
      <c r="E272" t="s">
        <v>153</v>
      </c>
      <c r="F272" t="str">
        <f>VLOOKUP(D272&amp;E272,J:M,4,0)</f>
        <v>2024-05-30</v>
      </c>
      <c r="G272" t="str">
        <f>VLOOKUP(D272&amp;E272,N:Q,4,0)</f>
        <v>2024-05-30</v>
      </c>
      <c r="H272">
        <f>G272-F272</f>
        <v>0</v>
      </c>
      <c r="J272" t="str">
        <f>K272&amp;L272</f>
        <v>Кузнецов Дмитрий ЛьвовичСидоров Алексей Кириллович</v>
      </c>
      <c r="K272" t="s">
        <v>8</v>
      </c>
      <c r="L272" t="s">
        <v>14</v>
      </c>
      <c r="M272" t="s">
        <v>230</v>
      </c>
      <c r="N272" t="str">
        <f>O272&amp;P272</f>
        <v>Громова Мария ИльиничнаКузнецова София Александровна</v>
      </c>
      <c r="O272" t="s">
        <v>13</v>
      </c>
      <c r="P272" t="s">
        <v>40</v>
      </c>
      <c r="Q272" t="s">
        <v>397</v>
      </c>
    </row>
    <row r="273">
      <c r="D273" t="s">
        <v>8</v>
      </c>
      <c r="E273" t="s">
        <v>93</v>
      </c>
      <c r="F273" t="str">
        <f>VLOOKUP(D273&amp;E273,J:M,4,0)</f>
        <v>2024-07-10</v>
      </c>
      <c r="G273" t="str">
        <f>VLOOKUP(D273&amp;E273,N:Q,4,0)</f>
        <v>2024-07-10</v>
      </c>
      <c r="H273">
        <f>G273-F273</f>
        <v>0</v>
      </c>
      <c r="J273" t="str">
        <f>K273&amp;L273</f>
        <v>Сидорова Елена ВасильевнаВасильева Ирина Артемовна</v>
      </c>
      <c r="K273" t="s">
        <v>15</v>
      </c>
      <c r="L273" t="s">
        <v>231</v>
      </c>
      <c r="M273" t="s">
        <v>230</v>
      </c>
      <c r="N273" t="str">
        <f>O273&amp;P273</f>
        <v>Белов Алексей КонстантиновичПавлов Илья Артемович</v>
      </c>
      <c r="O273" t="s">
        <v>47</v>
      </c>
      <c r="P273" t="s">
        <v>158</v>
      </c>
      <c r="Q273" t="s">
        <v>396</v>
      </c>
    </row>
    <row r="274">
      <c r="D274" t="s">
        <v>8</v>
      </c>
      <c r="E274" t="s">
        <v>157</v>
      </c>
      <c r="F274" t="str">
        <f>VLOOKUP(D274&amp;E274,J:M,4,0)</f>
        <v>2024-08-26</v>
      </c>
      <c r="G274" t="str">
        <f>VLOOKUP(D274&amp;E274,N:Q,4,0)</f>
        <v>2024-08-26</v>
      </c>
      <c r="H274">
        <f>G274-F274</f>
        <v>0</v>
      </c>
      <c r="J274" t="str">
        <f>K274&amp;L274</f>
        <v>Яковлев Артем ИгоревичСидоров Алексей Кириллович</v>
      </c>
      <c r="K274" t="s">
        <v>21</v>
      </c>
      <c r="L274" t="s">
        <v>14</v>
      </c>
      <c r="M274" t="s">
        <v>230</v>
      </c>
      <c r="N274" t="str">
        <f>O274&amp;P274</f>
        <v>Иванова Анна СергеевнаПетров Михаил Егорович</v>
      </c>
      <c r="O274" t="s">
        <v>11</v>
      </c>
      <c r="P274" t="s">
        <v>149</v>
      </c>
      <c r="Q274" t="s">
        <v>396</v>
      </c>
    </row>
    <row r="275">
      <c r="D275" t="s">
        <v>8</v>
      </c>
      <c r="E275" t="s">
        <v>143</v>
      </c>
      <c r="F275" t="str">
        <f>VLOOKUP(D275&amp;E275,J:M,4,0)</f>
        <v>2024-03-18</v>
      </c>
      <c r="G275" t="str">
        <f>VLOOKUP(D275&amp;E275,N:Q,4,0)</f>
        <v>2024-03-18</v>
      </c>
      <c r="H275">
        <f>G275-F275</f>
        <v>0</v>
      </c>
      <c r="J275" t="str">
        <f>K275&amp;L275</f>
        <v>Орлов Павел ДенисовичМорозова Светлана Сергеевна</v>
      </c>
      <c r="K275" t="s">
        <v>43</v>
      </c>
      <c r="L275" t="s">
        <v>108</v>
      </c>
      <c r="M275" t="s">
        <v>230</v>
      </c>
      <c r="N275" t="str">
        <f>O275&amp;P275</f>
        <v>Кузнецов Дмитрий ЛьвовичПавлова Валерия Станиславовна</v>
      </c>
      <c r="O275" t="s">
        <v>8</v>
      </c>
      <c r="P275" t="s">
        <v>239</v>
      </c>
      <c r="Q275" t="s">
        <v>395</v>
      </c>
    </row>
    <row r="276">
      <c r="D276" t="s">
        <v>8</v>
      </c>
      <c r="E276" t="s">
        <v>215</v>
      </c>
      <c r="F276" t="str">
        <f>VLOOKUP(D276&amp;E276,J:M,4,0)</f>
        <v>2024-04-08</v>
      </c>
      <c r="G276" t="str">
        <f>VLOOKUP(D276&amp;E276,N:Q,4,0)</f>
        <v>2024-04-08</v>
      </c>
      <c r="H276">
        <f>G276-F276</f>
        <v>0</v>
      </c>
      <c r="J276" t="str">
        <f>K276&amp;L276</f>
        <v>Белов Алексей КонстантиновичСидоров Сергей Егорович</v>
      </c>
      <c r="K276" t="s">
        <v>47</v>
      </c>
      <c r="L276" t="s">
        <v>128</v>
      </c>
      <c r="M276" t="s">
        <v>230</v>
      </c>
      <c r="N276" t="str">
        <f>O276&amp;P276</f>
        <v>Иванова Анна СергеевнаИванов Никита Павлович</v>
      </c>
      <c r="O276" t="s">
        <v>11</v>
      </c>
      <c r="P276" t="s">
        <v>71</v>
      </c>
      <c r="Q276" t="s">
        <v>395</v>
      </c>
    </row>
    <row r="277">
      <c r="D277" t="s">
        <v>17</v>
      </c>
      <c r="E277" t="s">
        <v>70</v>
      </c>
      <c r="F277" t="str">
        <f>VLOOKUP(D277&amp;E277,J:M,4,0)</f>
        <v>2024-07-30</v>
      </c>
      <c r="G277" t="str">
        <f>VLOOKUP(D277&amp;E277,N:Q,4,0)</f>
        <v>2024-07-30</v>
      </c>
      <c r="H277">
        <f>G277-F277</f>
        <v>0</v>
      </c>
      <c r="J277" t="str">
        <f>K277&amp;L277</f>
        <v>Фролов Сергей ВикторовичЕгоров Никита Станиславович</v>
      </c>
      <c r="K277" t="s">
        <v>5</v>
      </c>
      <c r="L277" t="s">
        <v>49</v>
      </c>
      <c r="M277" t="s">
        <v>230</v>
      </c>
      <c r="N277" t="str">
        <f>O277&amp;P277</f>
        <v>Иванова Анна СергеевнаМорозова Татьяна Кирилловна</v>
      </c>
      <c r="O277" t="s">
        <v>11</v>
      </c>
      <c r="P277" t="s">
        <v>218</v>
      </c>
      <c r="Q277" t="s">
        <v>395</v>
      </c>
    </row>
    <row r="278">
      <c r="D278" t="s">
        <v>17</v>
      </c>
      <c r="E278" t="s">
        <v>42</v>
      </c>
      <c r="F278" t="str">
        <f>VLOOKUP(D278&amp;E278,J:M,4,0)</f>
        <v>2024-01-23</v>
      </c>
      <c r="G278" t="str">
        <f>VLOOKUP(D278&amp;E278,N:Q,4,0)</f>
        <v>2024-01-23</v>
      </c>
      <c r="H278">
        <f>G278-F278</f>
        <v>0</v>
      </c>
      <c r="J278" t="str">
        <f>K278&amp;L278</f>
        <v>Сидорова Елена ВасильевнаФедоров Роман Геннадьевич</v>
      </c>
      <c r="K278" t="s">
        <v>15</v>
      </c>
      <c r="L278" t="s">
        <v>178</v>
      </c>
      <c r="M278" t="s">
        <v>232</v>
      </c>
      <c r="N278" t="str">
        <f>O278&amp;P278</f>
        <v>Новикова Ольга ПетровнаПавлова Валерия Станиславовна</v>
      </c>
      <c r="O278" t="s">
        <v>17</v>
      </c>
      <c r="P278" t="s">
        <v>239</v>
      </c>
      <c r="Q278" t="s">
        <v>394</v>
      </c>
    </row>
    <row r="279">
      <c r="D279" t="s">
        <v>17</v>
      </c>
      <c r="E279" t="s">
        <v>18</v>
      </c>
      <c r="F279" t="str">
        <f>VLOOKUP(D279&amp;E279,J:M,4,0)</f>
        <v>2023-09-04</v>
      </c>
      <c r="G279" t="str">
        <f>VLOOKUP(D279&amp;E279,N:Q,4,0)</f>
        <v>2024-03-06</v>
      </c>
      <c r="H279">
        <f>G279-F279</f>
        <v>184</v>
      </c>
      <c r="J279" t="str">
        <f>K279&amp;L279</f>
        <v>Семенова Ирина ВалерьевнаИванов Никита Павлович</v>
      </c>
      <c r="K279" t="s">
        <v>57</v>
      </c>
      <c r="L279" t="s">
        <v>71</v>
      </c>
      <c r="M279" t="s">
        <v>232</v>
      </c>
      <c r="N279" t="str">
        <f>O279&amp;P279</f>
        <v>Семенова Ирина ВалерьевнаОрлова Вероника Сергеевна</v>
      </c>
      <c r="O279" t="s">
        <v>57</v>
      </c>
      <c r="P279" t="s">
        <v>246</v>
      </c>
      <c r="Q279" t="s">
        <v>393</v>
      </c>
    </row>
    <row r="280">
      <c r="D280" t="s">
        <v>17</v>
      </c>
      <c r="E280" t="s">
        <v>284</v>
      </c>
      <c r="F280" t="str">
        <f>VLOOKUP(D280&amp;E280,J:M,4,0)</f>
        <v>2024-07-22</v>
      </c>
      <c r="G280" t="str">
        <f>VLOOKUP(D280&amp;E280,N:Q,4,0)</f>
        <v>2024-07-22</v>
      </c>
      <c r="H280">
        <f>G280-F280</f>
        <v>0</v>
      </c>
      <c r="J280" t="str">
        <f>K280&amp;L280</f>
        <v>Белов Алексей КонстантиновичМорозова Наталья Алексеевна</v>
      </c>
      <c r="K280" t="s">
        <v>47</v>
      </c>
      <c r="L280" t="s">
        <v>209</v>
      </c>
      <c r="M280" t="s">
        <v>232</v>
      </c>
      <c r="N280" t="str">
        <f>O280&amp;P280</f>
        <v>Белов Алексей КонстантиновичНовикова Ксения Алексеевна</v>
      </c>
      <c r="O280" t="s">
        <v>47</v>
      </c>
      <c r="P280" t="s">
        <v>147</v>
      </c>
      <c r="Q280" t="s">
        <v>393</v>
      </c>
    </row>
    <row r="281">
      <c r="D281" t="s">
        <v>17</v>
      </c>
      <c r="E281" t="s">
        <v>142</v>
      </c>
      <c r="F281" t="str">
        <f>VLOOKUP(D281&amp;E281,J:M,4,0)</f>
        <v>2024-02-15</v>
      </c>
      <c r="G281" t="str">
        <f>VLOOKUP(D281&amp;E281,N:Q,4,0)</f>
        <v>2024-08-30</v>
      </c>
      <c r="H281">
        <f>G281-F281</f>
        <v>197</v>
      </c>
      <c r="J281" t="str">
        <f>K281&amp;L281</f>
        <v>Фролов Сергей ВикторовичКозлова Полина Викторовна</v>
      </c>
      <c r="K281" t="s">
        <v>5</v>
      </c>
      <c r="L281" t="s">
        <v>217</v>
      </c>
      <c r="M281" t="s">
        <v>233</v>
      </c>
      <c r="N281" t="str">
        <f>O281&amp;P281</f>
        <v>Сидорова Елена ВасильевнаСтепанов Матвей Михайлович</v>
      </c>
      <c r="O281" t="s">
        <v>15</v>
      </c>
      <c r="P281" t="s">
        <v>144</v>
      </c>
      <c r="Q281" t="s">
        <v>392</v>
      </c>
    </row>
    <row r="282">
      <c r="D282" t="s">
        <v>17</v>
      </c>
      <c r="E282" t="s">
        <v>137</v>
      </c>
      <c r="F282" t="str">
        <f>VLOOKUP(D282&amp;E282,J:M,4,0)</f>
        <v>2024-05-06</v>
      </c>
      <c r="G282" t="str">
        <f>VLOOKUP(D282&amp;E282,N:Q,4,0)</f>
        <v>2024-05-06</v>
      </c>
      <c r="H282">
        <f>G282-F282</f>
        <v>0</v>
      </c>
      <c r="J282" t="str">
        <f>K282&amp;L282</f>
        <v>Ткаченко Андрей ОлеговичПопов Александр Владимирович</v>
      </c>
      <c r="K282" t="s">
        <v>24</v>
      </c>
      <c r="L282" t="s">
        <v>160</v>
      </c>
      <c r="M282" t="s">
        <v>233</v>
      </c>
      <c r="N282" t="str">
        <f>O282&amp;P282</f>
        <v>Фролов Сергей ВикторовичСтепанова Людмила Никитична</v>
      </c>
      <c r="O282" t="s">
        <v>5</v>
      </c>
      <c r="P282" t="s">
        <v>153</v>
      </c>
      <c r="Q282" t="s">
        <v>392</v>
      </c>
    </row>
    <row r="283">
      <c r="D283" t="s">
        <v>17</v>
      </c>
      <c r="E283" t="s">
        <v>272</v>
      </c>
      <c r="F283" t="str">
        <f>VLOOKUP(D283&amp;E283,J:M,4,0)</f>
        <v>2024-08-12</v>
      </c>
      <c r="G283" t="str">
        <f>VLOOKUP(D283&amp;E283,N:Q,4,0)</f>
        <v>2024-08-12</v>
      </c>
      <c r="H283">
        <f>G283-F283</f>
        <v>0</v>
      </c>
      <c r="J283" t="str">
        <f>K283&amp;L283</f>
        <v>Сидорова Елена ВасильевнаПетров Егор Викторович</v>
      </c>
      <c r="K283" t="s">
        <v>15</v>
      </c>
      <c r="L283" t="s">
        <v>117</v>
      </c>
      <c r="M283" t="s">
        <v>233</v>
      </c>
      <c r="N283" t="str">
        <f>O283&amp;P283</f>
        <v>Громова Мария ИльиничнаВасильев Кирилл Иванович</v>
      </c>
      <c r="O283" t="s">
        <v>13</v>
      </c>
      <c r="P283" t="s">
        <v>284</v>
      </c>
      <c r="Q283" t="s">
        <v>392</v>
      </c>
    </row>
    <row r="284">
      <c r="D284" t="s">
        <v>17</v>
      </c>
      <c r="E284" t="s">
        <v>26</v>
      </c>
      <c r="F284" t="str">
        <f>VLOOKUP(D284&amp;E284,J:M,4,0)</f>
        <v>2023-09-06</v>
      </c>
      <c r="G284" t="str">
        <f>VLOOKUP(D284&amp;E284,N:Q,4,0)</f>
        <v>2023-09-06</v>
      </c>
      <c r="H284">
        <f>G284-F284</f>
        <v>0</v>
      </c>
      <c r="J284" t="str">
        <f>K284&amp;L284</f>
        <v>Кузнецов Дмитрий ЛьвовичПетрова Татьяна Дмитриевна</v>
      </c>
      <c r="K284" t="s">
        <v>8</v>
      </c>
      <c r="L284" t="s">
        <v>234</v>
      </c>
      <c r="M284" t="s">
        <v>235</v>
      </c>
      <c r="N284" t="str">
        <f>O284&amp;P284</f>
        <v>Семенова Ирина ВалерьевнаСмирнов Дмитрий Павлович</v>
      </c>
      <c r="O284" t="s">
        <v>57</v>
      </c>
      <c r="P284" t="s">
        <v>382</v>
      </c>
      <c r="Q284" t="s">
        <v>392</v>
      </c>
    </row>
    <row r="285">
      <c r="D285" t="s">
        <v>17</v>
      </c>
      <c r="E285" t="s">
        <v>85</v>
      </c>
      <c r="F285" t="str">
        <f>VLOOKUP(D285&amp;E285,J:M,4,0)</f>
        <v>2024-07-29</v>
      </c>
      <c r="G285" t="str">
        <f>VLOOKUP(D285&amp;E285,N:Q,4,0)</f>
        <v>2024-07-29</v>
      </c>
      <c r="H285">
        <f>G285-F285</f>
        <v>0</v>
      </c>
      <c r="J285" t="str">
        <f>K285&amp;L285</f>
        <v>Орлов Павел ДенисовичПетров Сергей Александрович</v>
      </c>
      <c r="K285" t="s">
        <v>43</v>
      </c>
      <c r="L285" t="s">
        <v>89</v>
      </c>
      <c r="M285" t="s">
        <v>235</v>
      </c>
      <c r="N285" t="str">
        <f>O285&amp;P285</f>
        <v>Семенова Ирина ВалерьевнаСтепанов Кирилл Павлович</v>
      </c>
      <c r="O285" t="s">
        <v>57</v>
      </c>
      <c r="P285" t="s">
        <v>123</v>
      </c>
      <c r="Q285" t="s">
        <v>392</v>
      </c>
    </row>
    <row r="286">
      <c r="D286" t="s">
        <v>17</v>
      </c>
      <c r="E286" t="s">
        <v>83</v>
      </c>
      <c r="F286" t="str">
        <f>VLOOKUP(D286&amp;E286,J:M,4,0)</f>
        <v>2023-09-26</v>
      </c>
      <c r="G286" t="str">
        <f>VLOOKUP(D286&amp;E286,N:Q,4,0)</f>
        <v>2023-09-26</v>
      </c>
      <c r="H286">
        <f>G286-F286</f>
        <v>0</v>
      </c>
      <c r="J286" t="str">
        <f>K286&amp;L286</f>
        <v>Кузнецов Дмитрий ЛьвовичКозлов Дмитрий Сергеевич</v>
      </c>
      <c r="K286" t="s">
        <v>8</v>
      </c>
      <c r="L286" t="s">
        <v>222</v>
      </c>
      <c r="M286" t="s">
        <v>236</v>
      </c>
      <c r="N286" t="str">
        <f>O286&amp;P286</f>
        <v>Кузнецов Дмитрий ЛьвовичКозлова София Олеговна</v>
      </c>
      <c r="O286" t="s">
        <v>8</v>
      </c>
      <c r="P286" t="s">
        <v>185</v>
      </c>
      <c r="Q286" t="s">
        <v>392</v>
      </c>
    </row>
    <row r="287">
      <c r="D287" t="s">
        <v>17</v>
      </c>
      <c r="E287" t="s">
        <v>16</v>
      </c>
      <c r="F287" t="str">
        <f>VLOOKUP(D287&amp;E287,J:M,4,0)</f>
        <v>2024-08-09</v>
      </c>
      <c r="G287" t="str">
        <f>VLOOKUP(D287&amp;E287,N:Q,4,0)</f>
        <v>2024-08-09</v>
      </c>
      <c r="H287">
        <f>G287-F287</f>
        <v>0</v>
      </c>
      <c r="J287" t="str">
        <f>K287&amp;L287</f>
        <v>Иванова Анна СергеевнаСмирнова Ксения Андреевна</v>
      </c>
      <c r="K287" t="s">
        <v>11</v>
      </c>
      <c r="L287" t="s">
        <v>197</v>
      </c>
      <c r="M287" t="s">
        <v>236</v>
      </c>
      <c r="N287" t="str">
        <f>O287&amp;P287</f>
        <v>Орлов Павел ДенисовичСидорова Екатерина Романовна</v>
      </c>
      <c r="O287" t="s">
        <v>43</v>
      </c>
      <c r="P287" t="s">
        <v>257</v>
      </c>
      <c r="Q287" t="s">
        <v>392</v>
      </c>
    </row>
    <row r="288">
      <c r="D288" t="s">
        <v>17</v>
      </c>
      <c r="E288" t="s">
        <v>103</v>
      </c>
      <c r="F288" t="str">
        <f>VLOOKUP(D288&amp;E288,J:M,4,0)</f>
        <v>2023-12-25</v>
      </c>
      <c r="G288" t="str">
        <f>VLOOKUP(D288&amp;E288,N:Q,4,0)</f>
        <v>2024-01-02</v>
      </c>
      <c r="H288">
        <f>G288-F288</f>
        <v>8</v>
      </c>
      <c r="J288" t="str">
        <f>K288&amp;L288</f>
        <v>Кузнецов Дмитрий ЛьвовичПавлова Виктория Викторовна</v>
      </c>
      <c r="K288" t="s">
        <v>8</v>
      </c>
      <c r="L288" t="s">
        <v>77</v>
      </c>
      <c r="M288" t="s">
        <v>236</v>
      </c>
      <c r="N288" t="str">
        <f>O288&amp;P288</f>
        <v>Громова Мария ИльиничнаСтепанов Андрей Алексеевич</v>
      </c>
      <c r="O288" t="s">
        <v>13</v>
      </c>
      <c r="P288" t="s">
        <v>310</v>
      </c>
      <c r="Q288" t="s">
        <v>392</v>
      </c>
    </row>
    <row r="289">
      <c r="D289" t="s">
        <v>17</v>
      </c>
      <c r="E289" t="s">
        <v>33</v>
      </c>
      <c r="F289" t="str">
        <f>VLOOKUP(D289&amp;E289,J:M,4,0)</f>
        <v>2023-09-08</v>
      </c>
      <c r="G289" t="str">
        <f>VLOOKUP(D289&amp;E289,N:Q,4,0)</f>
        <v>2023-09-08</v>
      </c>
      <c r="H289">
        <f>G289-F289</f>
        <v>0</v>
      </c>
      <c r="J289" t="str">
        <f>K289&amp;L289</f>
        <v>Семенова Ирина ВалерьевнаЛебедев Владимир Ильич</v>
      </c>
      <c r="K289" t="s">
        <v>57</v>
      </c>
      <c r="L289" t="s">
        <v>237</v>
      </c>
      <c r="M289" t="s">
        <v>238</v>
      </c>
      <c r="N289" t="str">
        <f>O289&amp;P289</f>
        <v>Белов Алексей КонстантиновичВолкова Мария Ильинична</v>
      </c>
      <c r="O289" t="s">
        <v>47</v>
      </c>
      <c r="P289" t="s">
        <v>95</v>
      </c>
      <c r="Q289" t="s">
        <v>392</v>
      </c>
    </row>
    <row r="290">
      <c r="D290" t="s">
        <v>17</v>
      </c>
      <c r="E290" t="s">
        <v>265</v>
      </c>
      <c r="F290" t="str">
        <f>VLOOKUP(D290&amp;E290,J:M,4,0)</f>
        <v>2024-06-20</v>
      </c>
      <c r="G290" t="str">
        <f>VLOOKUP(D290&amp;E290,N:Q,4,0)</f>
        <v>2024-06-21</v>
      </c>
      <c r="H290">
        <f>G290-F290</f>
        <v>1</v>
      </c>
      <c r="J290" t="str">
        <f>K290&amp;L290</f>
        <v>Белов Алексей КонстантиновичПавлова Валерия Станиславовна</v>
      </c>
      <c r="K290" t="s">
        <v>47</v>
      </c>
      <c r="L290" t="s">
        <v>239</v>
      </c>
      <c r="M290" t="s">
        <v>238</v>
      </c>
      <c r="N290" t="str">
        <f>O290&amp;P290</f>
        <v>Фролов Сергей ВикторовичЕгорова Валерия Сергеевна</v>
      </c>
      <c r="O290" t="s">
        <v>5</v>
      </c>
      <c r="P290" t="s">
        <v>85</v>
      </c>
      <c r="Q290" t="s">
        <v>392</v>
      </c>
    </row>
    <row r="291">
      <c r="D291" t="s">
        <v>17</v>
      </c>
      <c r="E291" t="s">
        <v>121</v>
      </c>
      <c r="F291" t="str">
        <f>VLOOKUP(D291&amp;E291,J:M,4,0)</f>
        <v>2024-05-27</v>
      </c>
      <c r="G291" t="str">
        <f>VLOOKUP(D291&amp;E291,N:Q,4,0)</f>
        <v>2024-05-27</v>
      </c>
      <c r="H291">
        <f>G291-F291</f>
        <v>0</v>
      </c>
      <c r="J291" t="str">
        <f>K291&amp;L291</f>
        <v>Орлов Павел ДенисовичПетров Павел Михайлович</v>
      </c>
      <c r="K291" t="s">
        <v>43</v>
      </c>
      <c r="L291" t="s">
        <v>211</v>
      </c>
      <c r="M291" t="s">
        <v>238</v>
      </c>
      <c r="N291" t="str">
        <f>O291&amp;P291</f>
        <v>Кузнецов Дмитрий ЛьвовичСтепанов Егор Геннадьевич</v>
      </c>
      <c r="O291" t="s">
        <v>8</v>
      </c>
      <c r="P291" t="s">
        <v>302</v>
      </c>
      <c r="Q291" t="s">
        <v>391</v>
      </c>
    </row>
    <row r="292">
      <c r="D292" t="s">
        <v>17</v>
      </c>
      <c r="E292" t="s">
        <v>115</v>
      </c>
      <c r="F292" t="str">
        <f>VLOOKUP(D292&amp;E292,J:M,4,0)</f>
        <v>2023-10-09</v>
      </c>
      <c r="G292" t="str">
        <f>VLOOKUP(D292&amp;E292,N:Q,4,0)</f>
        <v>2023-10-19</v>
      </c>
      <c r="H292">
        <f>G292-F292</f>
        <v>10</v>
      </c>
      <c r="J292" t="str">
        <f>K292&amp;L292</f>
        <v>Громова Мария ИльиничнаВолкова Ирина Никитична</v>
      </c>
      <c r="K292" t="s">
        <v>13</v>
      </c>
      <c r="L292" t="s">
        <v>161</v>
      </c>
      <c r="M292" t="s">
        <v>238</v>
      </c>
      <c r="N292" t="str">
        <f>O292&amp;P292</f>
        <v>Сидорова Елена ВасильевнаКузнецова Ольга Геннадьевна</v>
      </c>
      <c r="O292" t="s">
        <v>15</v>
      </c>
      <c r="P292" t="s">
        <v>61</v>
      </c>
      <c r="Q292" t="s">
        <v>391</v>
      </c>
    </row>
    <row r="293">
      <c r="D293" t="s">
        <v>17</v>
      </c>
      <c r="E293" t="s">
        <v>98</v>
      </c>
      <c r="F293" t="str">
        <f>VLOOKUP(D293&amp;E293,J:M,4,0)</f>
        <v>2023-11-13</v>
      </c>
      <c r="G293" t="str">
        <f>VLOOKUP(D293&amp;E293,N:Q,4,0)</f>
        <v>2024-06-03</v>
      </c>
      <c r="H293">
        <f>G293-F293</f>
        <v>203</v>
      </c>
      <c r="J293" t="str">
        <f>K293&amp;L293</f>
        <v>Петров Владимир КирилловичЕгоров Никита Станиславович</v>
      </c>
      <c r="K293" t="s">
        <v>28</v>
      </c>
      <c r="L293" t="s">
        <v>49</v>
      </c>
      <c r="M293" t="s">
        <v>238</v>
      </c>
      <c r="N293" t="str">
        <f>O293&amp;P293</f>
        <v>Кузнецов Дмитрий ЛьвовичСидорова Екатерина Романовна</v>
      </c>
      <c r="O293" t="s">
        <v>8</v>
      </c>
      <c r="P293" t="s">
        <v>257</v>
      </c>
      <c r="Q293" t="s">
        <v>390</v>
      </c>
    </row>
    <row r="294">
      <c r="D294" t="s">
        <v>17</v>
      </c>
      <c r="E294" t="s">
        <v>110</v>
      </c>
      <c r="F294" t="str">
        <f>VLOOKUP(D294&amp;E294,J:M,4,0)</f>
        <v>2024-05-27</v>
      </c>
      <c r="G294" t="str">
        <f>VLOOKUP(D294&amp;E294,N:Q,4,0)</f>
        <v>2024-05-27</v>
      </c>
      <c r="H294">
        <f>G294-F294</f>
        <v>0</v>
      </c>
      <c r="J294" t="str">
        <f>K294&amp;L294</f>
        <v>Новикова Ольга ПетровнаСтепанова Валерия Романовна</v>
      </c>
      <c r="K294" t="s">
        <v>17</v>
      </c>
      <c r="L294" t="s">
        <v>99</v>
      </c>
      <c r="M294" t="s">
        <v>238</v>
      </c>
      <c r="N294" t="str">
        <f>O294&amp;P294</f>
        <v>Орлов Павел ДенисовичНиколаев Георгий Ильич</v>
      </c>
      <c r="O294" t="s">
        <v>43</v>
      </c>
      <c r="P294" t="s">
        <v>91</v>
      </c>
      <c r="Q294" t="s">
        <v>390</v>
      </c>
    </row>
    <row r="295">
      <c r="D295" t="s">
        <v>17</v>
      </c>
      <c r="E295" t="s">
        <v>175</v>
      </c>
      <c r="F295" t="str">
        <f>VLOOKUP(D295&amp;E295,J:M,4,0)</f>
        <v>2023-11-06</v>
      </c>
      <c r="G295" t="str">
        <f>VLOOKUP(D295&amp;E295,N:Q,4,0)</f>
        <v>2023-11-06</v>
      </c>
      <c r="H295">
        <f>G295-F295</f>
        <v>0</v>
      </c>
      <c r="J295" t="str">
        <f>K295&amp;L295</f>
        <v>Петров Владимир КирилловичИванов Георгий Иванович</v>
      </c>
      <c r="K295" t="s">
        <v>28</v>
      </c>
      <c r="L295" t="s">
        <v>240</v>
      </c>
      <c r="M295" t="s">
        <v>238</v>
      </c>
      <c r="N295" t="str">
        <f>O295&amp;P295</f>
        <v>Громова Мария ИльиничнаВасильев Александр Павлович</v>
      </c>
      <c r="O295" t="s">
        <v>13</v>
      </c>
      <c r="P295" t="s">
        <v>291</v>
      </c>
      <c r="Q295" t="s">
        <v>390</v>
      </c>
    </row>
    <row r="296">
      <c r="D296" t="s">
        <v>17</v>
      </c>
      <c r="E296" t="s">
        <v>278</v>
      </c>
      <c r="F296" t="str">
        <f>VLOOKUP(D296&amp;E296,J:M,4,0)</f>
        <v>2024-08-07</v>
      </c>
      <c r="G296" t="str">
        <f>VLOOKUP(D296&amp;E296,N:Q,4,0)</f>
        <v>2024-08-07</v>
      </c>
      <c r="H296">
        <f>G296-F296</f>
        <v>0</v>
      </c>
      <c r="J296" t="str">
        <f>K296&amp;L296</f>
        <v>Орлов Павел ДенисовичПопова Ксения Никитична</v>
      </c>
      <c r="K296" t="s">
        <v>43</v>
      </c>
      <c r="L296" t="s">
        <v>20</v>
      </c>
      <c r="M296" t="s">
        <v>238</v>
      </c>
      <c r="N296" t="str">
        <f>O296&amp;P296</f>
        <v>Белов Алексей КонстантиновичВасильев Александр Павлович</v>
      </c>
      <c r="O296" t="s">
        <v>47</v>
      </c>
      <c r="P296" t="s">
        <v>291</v>
      </c>
      <c r="Q296" t="s">
        <v>389</v>
      </c>
    </row>
    <row r="297">
      <c r="D297" t="s">
        <v>17</v>
      </c>
      <c r="E297" t="s">
        <v>92</v>
      </c>
      <c r="F297" t="str">
        <f>VLOOKUP(D297&amp;E297,J:M,4,0)</f>
        <v>2023-09-29</v>
      </c>
      <c r="G297" t="str">
        <f>VLOOKUP(D297&amp;E297,N:Q,4,0)</f>
        <v>2024-05-13</v>
      </c>
      <c r="H297">
        <f>G297-F297</f>
        <v>227</v>
      </c>
      <c r="J297" t="str">
        <f>K297&amp;L297</f>
        <v>Фролов Сергей ВикторовичИванова Анна Геннадьевна</v>
      </c>
      <c r="K297" t="s">
        <v>5</v>
      </c>
      <c r="L297" t="s">
        <v>9</v>
      </c>
      <c r="M297" t="s">
        <v>238</v>
      </c>
      <c r="N297" t="str">
        <f>O297&amp;P297</f>
        <v>Семенова Ирина ВалерьевнаВолкова Мария Егоровна</v>
      </c>
      <c r="O297" t="s">
        <v>57</v>
      </c>
      <c r="P297" t="s">
        <v>196</v>
      </c>
      <c r="Q297" t="s">
        <v>389</v>
      </c>
    </row>
    <row r="298">
      <c r="D298" t="s">
        <v>17</v>
      </c>
      <c r="E298" t="s">
        <v>55</v>
      </c>
      <c r="F298" t="str">
        <f>VLOOKUP(D298&amp;E298,J:M,4,0)</f>
        <v>2023-09-18</v>
      </c>
      <c r="G298" t="str">
        <f>VLOOKUP(D298&amp;E298,N:Q,4,0)</f>
        <v>2023-09-18</v>
      </c>
      <c r="H298">
        <f>G298-F298</f>
        <v>0</v>
      </c>
      <c r="J298" t="str">
        <f>K298&amp;L298</f>
        <v>Яковлев Артем ИгоревичСтепанов Георгий Иванович</v>
      </c>
      <c r="K298" t="s">
        <v>21</v>
      </c>
      <c r="L298" t="s">
        <v>44</v>
      </c>
      <c r="M298" t="s">
        <v>238</v>
      </c>
      <c r="N298" t="str">
        <f>O298&amp;P298</f>
        <v>Семенова Ирина ВалерьевнаВолкова Ирина Никитична</v>
      </c>
      <c r="O298" t="s">
        <v>57</v>
      </c>
      <c r="P298" t="s">
        <v>161</v>
      </c>
      <c r="Q298" t="s">
        <v>388</v>
      </c>
    </row>
    <row r="299">
      <c r="D299" t="s">
        <v>17</v>
      </c>
      <c r="E299" t="s">
        <v>61</v>
      </c>
      <c r="F299" t="str">
        <f>VLOOKUP(D299&amp;E299,J:M,4,0)</f>
        <v>2023-09-26</v>
      </c>
      <c r="G299" t="str">
        <f>VLOOKUP(D299&amp;E299,N:Q,4,0)</f>
        <v>2023-09-26</v>
      </c>
      <c r="H299">
        <f>G299-F299</f>
        <v>0</v>
      </c>
      <c r="J299" t="str">
        <f>K299&amp;L299</f>
        <v>Громова Мария ИльиничнаСтепанов Георгий Иванович</v>
      </c>
      <c r="K299" t="s">
        <v>13</v>
      </c>
      <c r="L299" t="s">
        <v>44</v>
      </c>
      <c r="M299" t="s">
        <v>238</v>
      </c>
      <c r="N299" t="str">
        <f>O299&amp;P299</f>
        <v>Петров Владимир КирилловичФедоров Дмитрий Сергеевич</v>
      </c>
      <c r="O299" t="s">
        <v>28</v>
      </c>
      <c r="P299" t="s">
        <v>56</v>
      </c>
      <c r="Q299" t="s">
        <v>388</v>
      </c>
    </row>
    <row r="300">
      <c r="D300" t="s">
        <v>17</v>
      </c>
      <c r="E300" t="s">
        <v>29</v>
      </c>
      <c r="F300" t="str">
        <f>VLOOKUP(D300&amp;E300,J:M,4,0)</f>
        <v>2024-06-05</v>
      </c>
      <c r="G300" t="str">
        <f>VLOOKUP(D300&amp;E300,N:Q,4,0)</f>
        <v>2024-06-05</v>
      </c>
      <c r="H300">
        <f>G300-F300</f>
        <v>0</v>
      </c>
      <c r="J300" t="str">
        <f>K300&amp;L300</f>
        <v>Сидорова Елена ВасильевнаНовиков Илья Геннадьевич</v>
      </c>
      <c r="K300" t="s">
        <v>15</v>
      </c>
      <c r="L300" t="s">
        <v>241</v>
      </c>
      <c r="M300" t="s">
        <v>238</v>
      </c>
      <c r="N300" t="str">
        <f>O300&amp;P300</f>
        <v>Громова Мария ИльиничнаНовикова Ксения Алексеевна</v>
      </c>
      <c r="O300" t="s">
        <v>13</v>
      </c>
      <c r="P300" t="s">
        <v>147</v>
      </c>
      <c r="Q300" t="s">
        <v>388</v>
      </c>
    </row>
    <row r="301">
      <c r="D301" t="s">
        <v>17</v>
      </c>
      <c r="E301" t="s">
        <v>133</v>
      </c>
      <c r="F301" t="str">
        <f>VLOOKUP(D301&amp;E301,J:M,4,0)</f>
        <v>2023-10-16</v>
      </c>
      <c r="G301" t="str">
        <f>VLOOKUP(D301&amp;E301,N:Q,4,0)</f>
        <v>2023-10-16</v>
      </c>
      <c r="H301">
        <f>G301-F301</f>
        <v>0</v>
      </c>
      <c r="J301" t="str">
        <f>K301&amp;L301</f>
        <v>Сидорова Елена ВасильевнаИванова Валерия Алексеевна</v>
      </c>
      <c r="K301" t="s">
        <v>15</v>
      </c>
      <c r="L301" t="s">
        <v>38</v>
      </c>
      <c r="M301" t="s">
        <v>242</v>
      </c>
      <c r="N301" t="str">
        <f>O301&amp;P301</f>
        <v>Ткаченко Андрей ОлеговичАлексеева Наталья Андреевна</v>
      </c>
      <c r="O301" t="s">
        <v>24</v>
      </c>
      <c r="P301" t="s">
        <v>42</v>
      </c>
      <c r="Q301" t="s">
        <v>388</v>
      </c>
    </row>
    <row r="302">
      <c r="D302" t="s">
        <v>17</v>
      </c>
      <c r="E302" t="s">
        <v>342</v>
      </c>
      <c r="F302" t="str">
        <f>VLOOKUP(D302&amp;E302,J:M,4,0)</f>
        <v>2024-06-28</v>
      </c>
      <c r="G302" t="str">
        <f>VLOOKUP(D302&amp;E302,N:Q,4,0)</f>
        <v>2024-06-28</v>
      </c>
      <c r="H302">
        <f>G302-F302</f>
        <v>0</v>
      </c>
      <c r="J302" t="str">
        <f>K302&amp;L302</f>
        <v>Иванова Анна СергеевнаВасильева Юлия Геннадьевна</v>
      </c>
      <c r="K302" t="s">
        <v>11</v>
      </c>
      <c r="L302" t="s">
        <v>48</v>
      </c>
      <c r="M302" t="s">
        <v>242</v>
      </c>
      <c r="N302" t="str">
        <f>O302&amp;P302</f>
        <v>Кузнецов Дмитрий ЛьвовичСтепанов Кирилл Павлович</v>
      </c>
      <c r="O302" t="s">
        <v>8</v>
      </c>
      <c r="P302" t="s">
        <v>123</v>
      </c>
      <c r="Q302" t="s">
        <v>388</v>
      </c>
    </row>
    <row r="303">
      <c r="D303" t="s">
        <v>17</v>
      </c>
      <c r="E303" t="s">
        <v>39</v>
      </c>
      <c r="F303" t="str">
        <f>VLOOKUP(D303&amp;E303,J:M,4,0)</f>
        <v>2024-02-12</v>
      </c>
      <c r="G303" t="str">
        <f>VLOOKUP(D303&amp;E303,N:Q,4,0)</f>
        <v>2024-02-12</v>
      </c>
      <c r="H303">
        <f>G303-F303</f>
        <v>0</v>
      </c>
      <c r="J303" t="str">
        <f>K303&amp;L303</f>
        <v>Иванова Анна СергеевнаПопова Вероника Ивановна</v>
      </c>
      <c r="K303" t="s">
        <v>11</v>
      </c>
      <c r="L303" t="s">
        <v>243</v>
      </c>
      <c r="M303" t="s">
        <v>244</v>
      </c>
      <c r="N303" t="str">
        <f>O303&amp;P303</f>
        <v>Новикова Ольга ПетровнаКузнецова Екатерина Александровна</v>
      </c>
      <c r="O303" t="s">
        <v>17</v>
      </c>
      <c r="P303" t="s">
        <v>92</v>
      </c>
      <c r="Q303" t="s">
        <v>388</v>
      </c>
    </row>
    <row r="304">
      <c r="D304" t="s">
        <v>17</v>
      </c>
      <c r="E304" t="s">
        <v>108</v>
      </c>
      <c r="F304" t="str">
        <f>VLOOKUP(D304&amp;E304,J:M,4,0)</f>
        <v>2023-12-26</v>
      </c>
      <c r="G304" t="str">
        <f>VLOOKUP(D304&amp;E304,N:Q,4,0)</f>
        <v>2023-12-26</v>
      </c>
      <c r="H304">
        <f>G304-F304</f>
        <v>0</v>
      </c>
      <c r="J304" t="str">
        <f>K304&amp;L304</f>
        <v>Семенова Ирина ВалерьевнаАлексеева Наталья Андреевна</v>
      </c>
      <c r="K304" t="s">
        <v>57</v>
      </c>
      <c r="L304" t="s">
        <v>42</v>
      </c>
      <c r="M304" t="s">
        <v>244</v>
      </c>
      <c r="N304" t="str">
        <f>O304&amp;P304</f>
        <v>Иванова Анна СергеевнаИванов Павел Павлович</v>
      </c>
      <c r="O304" t="s">
        <v>11</v>
      </c>
      <c r="P304" t="s">
        <v>80</v>
      </c>
      <c r="Q304" t="s">
        <v>388</v>
      </c>
    </row>
    <row r="305">
      <c r="D305" t="s">
        <v>17</v>
      </c>
      <c r="E305" t="s">
        <v>248</v>
      </c>
      <c r="F305" t="str">
        <f>VLOOKUP(D305&amp;E305,J:M,4,0)</f>
        <v>2024-02-02</v>
      </c>
      <c r="G305" t="str">
        <f>VLOOKUP(D305&amp;E305,N:Q,4,0)</f>
        <v>2024-08-23</v>
      </c>
      <c r="H305">
        <f>G305-F305</f>
        <v>203</v>
      </c>
      <c r="J305" t="str">
        <f>K305&amp;L305</f>
        <v>Сидорова Елена ВасильевнаПопова Светлана Дмитриевна</v>
      </c>
      <c r="K305" t="s">
        <v>15</v>
      </c>
      <c r="L305" t="s">
        <v>69</v>
      </c>
      <c r="M305" t="s">
        <v>245</v>
      </c>
      <c r="N305" t="str">
        <f>O305&amp;P305</f>
        <v>Иванова Анна СергеевнаОрлова Анна Владимировна</v>
      </c>
      <c r="O305" t="s">
        <v>11</v>
      </c>
      <c r="P305" t="s">
        <v>6</v>
      </c>
      <c r="Q305" t="s">
        <v>388</v>
      </c>
    </row>
    <row r="306">
      <c r="D306" t="s">
        <v>17</v>
      </c>
      <c r="E306" t="s">
        <v>151</v>
      </c>
      <c r="F306" t="str">
        <f>VLOOKUP(D306&amp;E306,J:M,4,0)</f>
        <v>2023-10-24</v>
      </c>
      <c r="G306" t="str">
        <f>VLOOKUP(D306&amp;E306,N:Q,4,0)</f>
        <v>2024-04-12</v>
      </c>
      <c r="H306">
        <f>G306-F306</f>
        <v>171</v>
      </c>
      <c r="J306" t="str">
        <f>K306&amp;L306</f>
        <v>Сидорова Елена ВасильевнаСтепанов Алексей Михайлович</v>
      </c>
      <c r="K306" t="s">
        <v>15</v>
      </c>
      <c r="L306" t="s">
        <v>60</v>
      </c>
      <c r="M306" t="s">
        <v>245</v>
      </c>
      <c r="N306" t="str">
        <f>O306&amp;P306</f>
        <v>Петров Владимир КирилловичСидорова Екатерина Романовна</v>
      </c>
      <c r="O306" t="s">
        <v>28</v>
      </c>
      <c r="P306" t="s">
        <v>257</v>
      </c>
      <c r="Q306" t="s">
        <v>388</v>
      </c>
    </row>
    <row r="307">
      <c r="D307" t="s">
        <v>17</v>
      </c>
      <c r="E307" t="s">
        <v>267</v>
      </c>
      <c r="F307" t="str">
        <f>VLOOKUP(D307&amp;E307,J:M,4,0)</f>
        <v>2024-01-04</v>
      </c>
      <c r="G307" t="str">
        <f>VLOOKUP(D307&amp;E307,N:Q,4,0)</f>
        <v>2024-01-04</v>
      </c>
      <c r="H307">
        <f>G307-F307</f>
        <v>0</v>
      </c>
      <c r="J307" t="str">
        <f>K307&amp;L307</f>
        <v>Белов Алексей КонстантиновичФедорова Людмила Дмитриевна</v>
      </c>
      <c r="K307" t="s">
        <v>47</v>
      </c>
      <c r="L307" t="s">
        <v>215</v>
      </c>
      <c r="M307" t="s">
        <v>245</v>
      </c>
      <c r="N307" t="str">
        <f>O307&amp;P307</f>
        <v>Фролов Сергей ВикторовичКузнецова Дарья Ильинична</v>
      </c>
      <c r="O307" t="s">
        <v>5</v>
      </c>
      <c r="P307" t="s">
        <v>214</v>
      </c>
      <c r="Q307" t="s">
        <v>387</v>
      </c>
    </row>
    <row r="308">
      <c r="D308" t="s">
        <v>17</v>
      </c>
      <c r="E308" t="s">
        <v>91</v>
      </c>
      <c r="F308" t="str">
        <f>VLOOKUP(D308&amp;E308,J:M,4,0)</f>
        <v>2023-10-13</v>
      </c>
      <c r="G308" t="str">
        <f>VLOOKUP(D308&amp;E308,N:Q,4,0)</f>
        <v>2023-10-13</v>
      </c>
      <c r="H308">
        <f>G308-F308</f>
        <v>0</v>
      </c>
      <c r="J308" t="str">
        <f>K308&amp;L308</f>
        <v>Сидорова Елена ВасильевнаОрлова Вероника Сергеевна</v>
      </c>
      <c r="K308" t="s">
        <v>15</v>
      </c>
      <c r="L308" t="s">
        <v>246</v>
      </c>
      <c r="M308" t="s">
        <v>245</v>
      </c>
      <c r="N308" t="str">
        <f>O308&amp;P308</f>
        <v>Фролов Сергей ВикторовичСеменов Михаил Никитич</v>
      </c>
      <c r="O308" t="s">
        <v>5</v>
      </c>
      <c r="P308" t="s">
        <v>172</v>
      </c>
      <c r="Q308" t="s">
        <v>387</v>
      </c>
    </row>
    <row r="309">
      <c r="D309" t="s">
        <v>17</v>
      </c>
      <c r="E309" t="s">
        <v>220</v>
      </c>
      <c r="F309" t="str">
        <f>VLOOKUP(D309&amp;E309,J:M,4,0)</f>
        <v>2023-12-04</v>
      </c>
      <c r="G309" t="str">
        <f>VLOOKUP(D309&amp;E309,N:Q,4,0)</f>
        <v>2023-12-04</v>
      </c>
      <c r="H309">
        <f>G309-F309</f>
        <v>0</v>
      </c>
      <c r="J309" t="str">
        <f>K309&amp;L309</f>
        <v>Иванова Анна СергеевнаКозлова Полина Викторовна</v>
      </c>
      <c r="K309" t="s">
        <v>11</v>
      </c>
      <c r="L309" t="s">
        <v>217</v>
      </c>
      <c r="M309" t="s">
        <v>245</v>
      </c>
      <c r="N309" t="str">
        <f>O309&amp;P309</f>
        <v>Орлов Павел ДенисовичКузнецов Дмитрий Андреевич</v>
      </c>
      <c r="O309" t="s">
        <v>43</v>
      </c>
      <c r="P309" t="s">
        <v>22</v>
      </c>
      <c r="Q309" t="s">
        <v>387</v>
      </c>
    </row>
    <row r="310">
      <c r="D310" t="s">
        <v>17</v>
      </c>
      <c r="E310" t="s">
        <v>119</v>
      </c>
      <c r="F310" t="str">
        <f>VLOOKUP(D310&amp;E310,J:M,4,0)</f>
        <v>2024-01-15</v>
      </c>
      <c r="G310" t="str">
        <f>VLOOKUP(D310&amp;E310,N:Q,4,0)</f>
        <v>2024-01-15</v>
      </c>
      <c r="H310">
        <f>G310-F310</f>
        <v>0</v>
      </c>
      <c r="J310" t="str">
        <f>K310&amp;L310</f>
        <v>Сидорова Елена ВасильевнаСтепанова Алиса Станиславовна</v>
      </c>
      <c r="K310" t="s">
        <v>15</v>
      </c>
      <c r="L310" t="s">
        <v>67</v>
      </c>
      <c r="M310" t="s">
        <v>247</v>
      </c>
      <c r="N310" t="str">
        <f>O310&amp;P310</f>
        <v>Кузнецов Дмитрий ЛьвовичВолков Константин Дмитриевич</v>
      </c>
      <c r="O310" t="s">
        <v>8</v>
      </c>
      <c r="P310" t="s">
        <v>79</v>
      </c>
      <c r="Q310" t="s">
        <v>386</v>
      </c>
    </row>
    <row r="311">
      <c r="D311" t="s">
        <v>17</v>
      </c>
      <c r="E311" t="s">
        <v>270</v>
      </c>
      <c r="F311" t="str">
        <f>VLOOKUP(D311&amp;E311,J:M,4,0)</f>
        <v>2024-01-09</v>
      </c>
      <c r="G311" t="str">
        <f>VLOOKUP(D311&amp;E311,N:Q,4,0)</f>
        <v>2024-02-14</v>
      </c>
      <c r="H311">
        <f>G311-F311</f>
        <v>36</v>
      </c>
      <c r="J311" t="str">
        <f>K311&amp;L311</f>
        <v>Белов Алексей КонстантиновичПетров Артем Иванович</v>
      </c>
      <c r="K311" t="s">
        <v>47</v>
      </c>
      <c r="L311" t="s">
        <v>100</v>
      </c>
      <c r="M311" t="s">
        <v>247</v>
      </c>
      <c r="N311" t="str">
        <f>O311&amp;P311</f>
        <v>Орлов Павел ДенисовичНиколаев Владимир Егорович</v>
      </c>
      <c r="O311" t="s">
        <v>43</v>
      </c>
      <c r="P311" t="s">
        <v>190</v>
      </c>
      <c r="Q311" t="s">
        <v>386</v>
      </c>
    </row>
    <row r="312">
      <c r="D312" t="s">
        <v>17</v>
      </c>
      <c r="E312" t="s">
        <v>184</v>
      </c>
      <c r="F312" t="str">
        <f>VLOOKUP(D312&amp;E312,J:M,4,0)</f>
        <v>2024-05-27</v>
      </c>
      <c r="G312" t="str">
        <f>VLOOKUP(D312&amp;E312,N:Q,4,0)</f>
        <v>2024-08-09</v>
      </c>
      <c r="H312">
        <f>G312-F312</f>
        <v>74</v>
      </c>
      <c r="J312" t="str">
        <f>K312&amp;L312</f>
        <v>Петров Владимир КирилловичНиколаев Артем Александрович</v>
      </c>
      <c r="K312" t="s">
        <v>28</v>
      </c>
      <c r="L312" t="s">
        <v>248</v>
      </c>
      <c r="M312" t="s">
        <v>247</v>
      </c>
      <c r="N312" t="str">
        <f>O312&amp;P312</f>
        <v>Петров Владимир КирилловичНовиков Илья Геннадьевич</v>
      </c>
      <c r="O312" t="s">
        <v>28</v>
      </c>
      <c r="P312" t="s">
        <v>241</v>
      </c>
      <c r="Q312" t="s">
        <v>385</v>
      </c>
    </row>
    <row r="313">
      <c r="D313" t="s">
        <v>17</v>
      </c>
      <c r="E313" t="s">
        <v>147</v>
      </c>
      <c r="F313" t="str">
        <f>VLOOKUP(D313&amp;E313,J:M,4,0)</f>
        <v>2023-10-31</v>
      </c>
      <c r="G313" t="str">
        <f>VLOOKUP(D313&amp;E313,N:Q,4,0)</f>
        <v>2023-10-31</v>
      </c>
      <c r="H313">
        <f>G313-F313</f>
        <v>0</v>
      </c>
      <c r="J313" t="str">
        <f>K313&amp;L313</f>
        <v>Новикова Ольга ПетровнаИванов Павел Сергеевич</v>
      </c>
      <c r="K313" t="s">
        <v>17</v>
      </c>
      <c r="L313" t="s">
        <v>103</v>
      </c>
      <c r="M313" t="s">
        <v>249</v>
      </c>
      <c r="N313" t="str">
        <f>O313&amp;P313</f>
        <v>Орлов Павел ДенисовичЕгорова Татьяна Ильинична</v>
      </c>
      <c r="O313" t="s">
        <v>43</v>
      </c>
      <c r="P313" t="s">
        <v>12</v>
      </c>
      <c r="Q313" t="s">
        <v>385</v>
      </c>
    </row>
    <row r="314">
      <c r="D314" t="s">
        <v>17</v>
      </c>
      <c r="E314" t="s">
        <v>116</v>
      </c>
      <c r="F314" t="str">
        <f>VLOOKUP(D314&amp;E314,J:M,4,0)</f>
        <v>2023-10-18</v>
      </c>
      <c r="G314" t="str">
        <f>VLOOKUP(D314&amp;E314,N:Q,4,0)</f>
        <v>2023-10-18</v>
      </c>
      <c r="H314">
        <f>G314-F314</f>
        <v>0</v>
      </c>
      <c r="J314" t="str">
        <f>K314&amp;L314</f>
        <v>Кузнецов Дмитрий ЛьвовичИванов Кирилл Кириллович</v>
      </c>
      <c r="K314" t="s">
        <v>8</v>
      </c>
      <c r="L314" t="s">
        <v>250</v>
      </c>
      <c r="M314" t="s">
        <v>249</v>
      </c>
      <c r="N314" t="str">
        <f>O314&amp;P314</f>
        <v>Кузнецов Дмитрий ЛьвовичИванова Людмила Алексеевна</v>
      </c>
      <c r="O314" t="s">
        <v>8</v>
      </c>
      <c r="P314" t="s">
        <v>59</v>
      </c>
      <c r="Q314" t="s">
        <v>385</v>
      </c>
    </row>
    <row r="315">
      <c r="D315" t="s">
        <v>17</v>
      </c>
      <c r="E315" t="s">
        <v>170</v>
      </c>
      <c r="F315" t="str">
        <f>VLOOKUP(D315&amp;E315,J:M,4,0)</f>
        <v>2023-12-29</v>
      </c>
      <c r="G315" t="str">
        <f>VLOOKUP(D315&amp;E315,N:Q,4,0)</f>
        <v>2023-12-29</v>
      </c>
      <c r="H315">
        <f>G315-F315</f>
        <v>0</v>
      </c>
      <c r="J315" t="str">
        <f>K315&amp;L315</f>
        <v>Орлов Павел ДенисовичНовикова Анна Ильинична</v>
      </c>
      <c r="K315" t="s">
        <v>43</v>
      </c>
      <c r="L315" t="s">
        <v>35</v>
      </c>
      <c r="M315" t="s">
        <v>249</v>
      </c>
      <c r="N315" t="str">
        <f>O315&amp;P315</f>
        <v>Сидорова Елена ВасильевнаПавлов Максим Владимирович</v>
      </c>
      <c r="O315" t="s">
        <v>15</v>
      </c>
      <c r="P315" t="s">
        <v>383</v>
      </c>
      <c r="Q315" t="s">
        <v>384</v>
      </c>
    </row>
    <row r="316">
      <c r="D316" t="s">
        <v>17</v>
      </c>
      <c r="E316" t="s">
        <v>41</v>
      </c>
      <c r="F316" t="str">
        <f>VLOOKUP(D316&amp;E316,J:M,4,0)</f>
        <v>2024-07-17</v>
      </c>
      <c r="G316" t="str">
        <f>VLOOKUP(D316&amp;E316,N:Q,4,0)</f>
        <v>2024-07-17</v>
      </c>
      <c r="H316">
        <f>G316-F316</f>
        <v>0</v>
      </c>
      <c r="J316" t="str">
        <f>K316&amp;L316</f>
        <v>Иванова Анна СергеевнаНиколаева Алиса Ивановна</v>
      </c>
      <c r="K316" t="s">
        <v>11</v>
      </c>
      <c r="L316" t="s">
        <v>119</v>
      </c>
      <c r="M316" t="s">
        <v>249</v>
      </c>
      <c r="N316" t="str">
        <f>O316&amp;P316</f>
        <v>Орлов Павел ДенисовичМорозова Екатерина Ивановна</v>
      </c>
      <c r="O316" t="s">
        <v>43</v>
      </c>
      <c r="P316" t="s">
        <v>207</v>
      </c>
      <c r="Q316" t="s">
        <v>384</v>
      </c>
    </row>
    <row r="317">
      <c r="D317" t="s">
        <v>17</v>
      </c>
      <c r="E317" t="s">
        <v>200</v>
      </c>
      <c r="F317" t="str">
        <f>VLOOKUP(D317&amp;E317,J:M,4,0)</f>
        <v>2024-06-20</v>
      </c>
      <c r="G317" t="str">
        <f>VLOOKUP(D317&amp;E317,N:Q,4,0)</f>
        <v>2024-06-20</v>
      </c>
      <c r="H317">
        <f>G317-F317</f>
        <v>0</v>
      </c>
      <c r="J317" t="str">
        <f>K317&amp;L317</f>
        <v>Орлов Павел ДенисовичКозлов Дмитрий Сергеевич</v>
      </c>
      <c r="K317" t="s">
        <v>43</v>
      </c>
      <c r="L317" t="s">
        <v>222</v>
      </c>
      <c r="M317" t="s">
        <v>249</v>
      </c>
      <c r="N317" t="str">
        <f>O317&amp;P317</f>
        <v>Фролов Сергей ВикторовичФедоров Максим Дмитриевич</v>
      </c>
      <c r="O317" t="s">
        <v>5</v>
      </c>
      <c r="P317" t="s">
        <v>105</v>
      </c>
      <c r="Q317" t="s">
        <v>384</v>
      </c>
    </row>
    <row r="318">
      <c r="D318" t="s">
        <v>17</v>
      </c>
      <c r="E318" t="s">
        <v>158</v>
      </c>
      <c r="F318" t="str">
        <f>VLOOKUP(D318&amp;E318,J:M,4,0)</f>
        <v>2024-07-05</v>
      </c>
      <c r="G318" t="str">
        <f>VLOOKUP(D318&amp;E318,N:Q,4,0)</f>
        <v>2024-07-05</v>
      </c>
      <c r="H318">
        <f>G318-F318</f>
        <v>0</v>
      </c>
      <c r="J318" t="str">
        <f>K318&amp;L318</f>
        <v>Белов Алексей КонстантиновичВолков Константин Дмитриевич</v>
      </c>
      <c r="K318" t="s">
        <v>47</v>
      </c>
      <c r="L318" t="s">
        <v>79</v>
      </c>
      <c r="M318" t="s">
        <v>249</v>
      </c>
      <c r="N318" t="str">
        <f>O318&amp;P318</f>
        <v>Новикова Ольга ПетровнаСеменов Сергей Викторович</v>
      </c>
      <c r="O318" t="s">
        <v>17</v>
      </c>
      <c r="P318" t="s">
        <v>30</v>
      </c>
      <c r="Q318" t="s">
        <v>384</v>
      </c>
    </row>
    <row r="319">
      <c r="D319" t="s">
        <v>17</v>
      </c>
      <c r="E319" t="s">
        <v>101</v>
      </c>
      <c r="F319" t="str">
        <f>VLOOKUP(D319&amp;E319,J:M,4,0)</f>
        <v>2024-05-06</v>
      </c>
      <c r="G319" t="str">
        <f>VLOOKUP(D319&amp;E319,N:Q,4,0)</f>
        <v>2024-05-06</v>
      </c>
      <c r="H319">
        <f>G319-F319</f>
        <v>0</v>
      </c>
      <c r="J319" t="str">
        <f>K319&amp;L319</f>
        <v>Новикова Ольга ПетровнаМорозова Светлана Сергеевна</v>
      </c>
      <c r="K319" t="s">
        <v>17</v>
      </c>
      <c r="L319" t="s">
        <v>108</v>
      </c>
      <c r="M319" t="s">
        <v>251</v>
      </c>
      <c r="N319" t="str">
        <f>O319&amp;P319</f>
        <v>Семенова Ирина ВалерьевнаКозлова София Олеговна</v>
      </c>
      <c r="O319" t="s">
        <v>57</v>
      </c>
      <c r="P319" t="s">
        <v>185</v>
      </c>
      <c r="Q319" t="s">
        <v>381</v>
      </c>
    </row>
    <row r="320">
      <c r="D320" t="s">
        <v>17</v>
      </c>
      <c r="E320" t="s">
        <v>239</v>
      </c>
      <c r="F320" t="str">
        <f>VLOOKUP(D320&amp;E320,J:M,4,0)</f>
        <v>2024-05-22</v>
      </c>
      <c r="G320" t="str">
        <f>VLOOKUP(D320&amp;E320,N:Q,4,0)</f>
        <v>2024-05-22</v>
      </c>
      <c r="H320">
        <f>G320-F320</f>
        <v>0</v>
      </c>
      <c r="J320" t="str">
        <f>K320&amp;L320</f>
        <v>Яковлев Артем ИгоревичПопов Матвей Викторович</v>
      </c>
      <c r="K320" t="s">
        <v>21</v>
      </c>
      <c r="L320" t="s">
        <v>113</v>
      </c>
      <c r="M320" t="s">
        <v>251</v>
      </c>
      <c r="N320" t="str">
        <f>O320&amp;P320</f>
        <v>Белов Алексей КонстантиновичКузнецова Екатерина Александровна</v>
      </c>
      <c r="O320" t="s">
        <v>47</v>
      </c>
      <c r="P320" t="s">
        <v>92</v>
      </c>
      <c r="Q320" t="s">
        <v>381</v>
      </c>
    </row>
    <row r="321">
      <c r="D321" t="s">
        <v>17</v>
      </c>
      <c r="E321" t="s">
        <v>58</v>
      </c>
      <c r="F321" t="str">
        <f>VLOOKUP(D321&amp;E321,J:M,4,0)</f>
        <v>2024-01-08</v>
      </c>
      <c r="G321" t="str">
        <f>VLOOKUP(D321&amp;E321,N:Q,4,0)</f>
        <v>2024-01-08</v>
      </c>
      <c r="H321">
        <f>G321-F321</f>
        <v>0</v>
      </c>
      <c r="J321" t="str">
        <f>K321&amp;L321</f>
        <v>Громова Мария ИльиничнаНиколаева Дарья Алексеевна</v>
      </c>
      <c r="K321" t="s">
        <v>13</v>
      </c>
      <c r="L321" t="s">
        <v>252</v>
      </c>
      <c r="M321" t="s">
        <v>253</v>
      </c>
      <c r="N321" t="str">
        <f>O321&amp;P321</f>
        <v>Новикова Ольга ПетровнаПавлова Анна Ивановна</v>
      </c>
      <c r="O321" t="s">
        <v>17</v>
      </c>
      <c r="P321" t="s">
        <v>101</v>
      </c>
      <c r="Q321" t="s">
        <v>381</v>
      </c>
    </row>
    <row r="322">
      <c r="D322" t="s">
        <v>17</v>
      </c>
      <c r="E322" t="s">
        <v>149</v>
      </c>
      <c r="F322" t="str">
        <f>VLOOKUP(D322&amp;E322,J:M,4,0)</f>
        <v>2023-11-30</v>
      </c>
      <c r="G322" t="str">
        <f>VLOOKUP(D322&amp;E322,N:Q,4,0)</f>
        <v>2023-11-30</v>
      </c>
      <c r="H322">
        <f>G322-F322</f>
        <v>0</v>
      </c>
      <c r="J322" t="str">
        <f>K322&amp;L322</f>
        <v>Семенова Ирина ВалерьевнаСидорова София Дмитриевна</v>
      </c>
      <c r="K322" t="s">
        <v>57</v>
      </c>
      <c r="L322" t="s">
        <v>254</v>
      </c>
      <c r="M322" t="s">
        <v>253</v>
      </c>
      <c r="N322" t="str">
        <f>O322&amp;P322</f>
        <v>Семенова Ирина ВалерьевнаСмирнов Дмитрий Павлович</v>
      </c>
      <c r="O322" t="s">
        <v>57</v>
      </c>
      <c r="P322" t="s">
        <v>382</v>
      </c>
      <c r="Q322" t="s">
        <v>381</v>
      </c>
    </row>
    <row r="323">
      <c r="D323" t="s">
        <v>17</v>
      </c>
      <c r="E323" t="s">
        <v>211</v>
      </c>
      <c r="F323" t="str">
        <f>VLOOKUP(D323&amp;E323,J:M,4,0)</f>
        <v>2023-11-28</v>
      </c>
      <c r="G323" t="str">
        <f>VLOOKUP(D323&amp;E323,N:Q,4,0)</f>
        <v>2023-11-28</v>
      </c>
      <c r="H323">
        <f>G323-F323</f>
        <v>0</v>
      </c>
      <c r="J323" t="str">
        <f>K323&amp;L323</f>
        <v>Громова Мария ИльиничнаПопов Роман Сергеевич</v>
      </c>
      <c r="K323" t="s">
        <v>13</v>
      </c>
      <c r="L323" t="s">
        <v>106</v>
      </c>
      <c r="M323" t="s">
        <v>253</v>
      </c>
      <c r="N323" t="str">
        <f>O323&amp;P323</f>
        <v>Иванова Анна СергеевнаФедорова Екатерина Михайловна</v>
      </c>
      <c r="O323" t="s">
        <v>11</v>
      </c>
      <c r="P323" t="s">
        <v>204</v>
      </c>
      <c r="Q323" t="s">
        <v>381</v>
      </c>
    </row>
    <row r="324">
      <c r="D324" t="s">
        <v>17</v>
      </c>
      <c r="E324" t="s">
        <v>181</v>
      </c>
      <c r="F324" t="str">
        <f>VLOOKUP(D324&amp;E324,J:M,4,0)</f>
        <v>2023-11-23</v>
      </c>
      <c r="G324" t="str">
        <f>VLOOKUP(D324&amp;E324,N:Q,4,0)</f>
        <v>2023-11-23</v>
      </c>
      <c r="H324">
        <f>G324-F324</f>
        <v>0</v>
      </c>
      <c r="J324" t="str">
        <f>K324&amp;L324</f>
        <v>Иванова Анна СергеевнаСмирнова Мария Владимировна</v>
      </c>
      <c r="K324" t="s">
        <v>11</v>
      </c>
      <c r="L324" t="s">
        <v>255</v>
      </c>
      <c r="M324" t="s">
        <v>253</v>
      </c>
      <c r="N324" t="str">
        <f>O324&amp;P324</f>
        <v>Новикова Ольга ПетровнаВолков Владимир Геннадьевич</v>
      </c>
      <c r="O324" t="s">
        <v>17</v>
      </c>
      <c r="P324" t="s">
        <v>137</v>
      </c>
      <c r="Q324" t="s">
        <v>381</v>
      </c>
    </row>
    <row r="325">
      <c r="D325" t="s">
        <v>17</v>
      </c>
      <c r="E325" t="s">
        <v>206</v>
      </c>
      <c r="F325" t="str">
        <f>VLOOKUP(D325&amp;E325,J:M,4,0)</f>
        <v>2023-11-27</v>
      </c>
      <c r="G325" t="str">
        <f>VLOOKUP(D325&amp;E325,N:Q,4,0)</f>
        <v>2023-11-27</v>
      </c>
      <c r="H325">
        <f>G325-F325</f>
        <v>0</v>
      </c>
      <c r="J325" t="str">
        <f>K325&amp;L325</f>
        <v>Орлов Павел ДенисовичПопов Александр Владимирович</v>
      </c>
      <c r="K325" t="s">
        <v>43</v>
      </c>
      <c r="L325" t="s">
        <v>160</v>
      </c>
      <c r="M325" t="s">
        <v>253</v>
      </c>
      <c r="N325" t="str">
        <f>O325&amp;P325</f>
        <v>Фролов Сергей ВикторовичЛебедев Владимир Ильич</v>
      </c>
      <c r="O325" t="s">
        <v>5</v>
      </c>
      <c r="P325" t="s">
        <v>237</v>
      </c>
      <c r="Q325" t="s">
        <v>381</v>
      </c>
    </row>
    <row r="326">
      <c r="D326" t="s">
        <v>17</v>
      </c>
      <c r="E326" t="s">
        <v>20</v>
      </c>
      <c r="F326" t="str">
        <f>VLOOKUP(D326&amp;E326,J:M,4,0)</f>
        <v>2023-11-27</v>
      </c>
      <c r="G326" t="str">
        <f>VLOOKUP(D326&amp;E326,N:Q,4,0)</f>
        <v>2023-11-27</v>
      </c>
      <c r="H326">
        <f>G326-F326</f>
        <v>0</v>
      </c>
      <c r="J326" t="str">
        <f>K326&amp;L326</f>
        <v>Фролов Сергей ВикторовичВолков Константин Александрович</v>
      </c>
      <c r="K326" t="s">
        <v>5</v>
      </c>
      <c r="L326" t="s">
        <v>256</v>
      </c>
      <c r="M326" t="s">
        <v>253</v>
      </c>
      <c r="N326" t="str">
        <f>O326&amp;P326</f>
        <v>Белов Алексей КонстантиновичИванова Ксения Александровна</v>
      </c>
      <c r="O326" t="s">
        <v>47</v>
      </c>
      <c r="P326" t="s">
        <v>265</v>
      </c>
      <c r="Q326" t="s">
        <v>380</v>
      </c>
    </row>
    <row r="327">
      <c r="D327" t="s">
        <v>17</v>
      </c>
      <c r="E327" t="s">
        <v>192</v>
      </c>
      <c r="F327" t="str">
        <f>VLOOKUP(D327&amp;E327,J:M,4,0)</f>
        <v>2023-11-16</v>
      </c>
      <c r="G327" t="str">
        <f>VLOOKUP(D327&amp;E327,N:Q,4,0)</f>
        <v>2024-01-19</v>
      </c>
      <c r="H327">
        <f>G327-F327</f>
        <v>64</v>
      </c>
      <c r="J327" t="str">
        <f>K327&amp;L327</f>
        <v>Кузнецов Дмитрий ЛьвовичСидорова Екатерина Романовна</v>
      </c>
      <c r="K327" t="s">
        <v>8</v>
      </c>
      <c r="L327" t="s">
        <v>257</v>
      </c>
      <c r="M327" t="s">
        <v>253</v>
      </c>
      <c r="N327" t="str">
        <f>O327&amp;P327</f>
        <v>Белов Алексей КонстантиновичКозлова София Олеговна</v>
      </c>
      <c r="O327" t="s">
        <v>47</v>
      </c>
      <c r="P327" t="s">
        <v>185</v>
      </c>
      <c r="Q327" t="s">
        <v>380</v>
      </c>
    </row>
    <row r="328">
      <c r="D328" t="s">
        <v>17</v>
      </c>
      <c r="E328" t="s">
        <v>299</v>
      </c>
      <c r="F328" t="str">
        <f>VLOOKUP(D328&amp;E328,J:M,4,0)</f>
        <v>2024-03-25</v>
      </c>
      <c r="G328" t="str">
        <f>VLOOKUP(D328&amp;E328,N:Q,4,0)</f>
        <v>2024-03-25</v>
      </c>
      <c r="H328">
        <f>G328-F328</f>
        <v>0</v>
      </c>
      <c r="J328" t="str">
        <f>K328&amp;L328</f>
        <v>Орлов Павел ДенисовичСеменов Иван Александрович</v>
      </c>
      <c r="K328" t="s">
        <v>43</v>
      </c>
      <c r="L328" t="s">
        <v>258</v>
      </c>
      <c r="M328" t="s">
        <v>259</v>
      </c>
      <c r="N328" t="str">
        <f>O328&amp;P328</f>
        <v>Громова Мария ИльиничнаПавлова Валерия Станиславовна</v>
      </c>
      <c r="O328" t="s">
        <v>13</v>
      </c>
      <c r="P328" t="s">
        <v>239</v>
      </c>
      <c r="Q328" t="s">
        <v>379</v>
      </c>
    </row>
    <row r="329">
      <c r="D329" t="s">
        <v>17</v>
      </c>
      <c r="E329" t="s">
        <v>102</v>
      </c>
      <c r="F329" t="str">
        <f>VLOOKUP(D329&amp;E329,J:M,4,0)</f>
        <v>2024-07-22</v>
      </c>
      <c r="G329" t="str">
        <f>VLOOKUP(D329&amp;E329,N:Q,4,0)</f>
        <v>2024-07-22</v>
      </c>
      <c r="H329">
        <f>G329-F329</f>
        <v>0</v>
      </c>
      <c r="J329" t="str">
        <f>K329&amp;L329</f>
        <v>Кузнецов Дмитрий ЛьвовичМорозова Татьяна Кирилловна</v>
      </c>
      <c r="K329" t="s">
        <v>8</v>
      </c>
      <c r="L329" t="s">
        <v>218</v>
      </c>
      <c r="M329" t="s">
        <v>260</v>
      </c>
      <c r="N329" t="str">
        <f>O329&amp;P329</f>
        <v>Фролов Сергей ВикторовичСтепанов Кирилл Павлович</v>
      </c>
      <c r="O329" t="s">
        <v>5</v>
      </c>
      <c r="P329" t="s">
        <v>123</v>
      </c>
      <c r="Q329" t="s">
        <v>378</v>
      </c>
    </row>
    <row r="330">
      <c r="D330" t="s">
        <v>17</v>
      </c>
      <c r="E330" t="s">
        <v>172</v>
      </c>
      <c r="F330" t="str">
        <f>VLOOKUP(D330&amp;E330,J:M,4,0)</f>
        <v>2023-11-06</v>
      </c>
      <c r="G330" t="str">
        <f>VLOOKUP(D330&amp;E330,N:Q,4,0)</f>
        <v>2024-04-11</v>
      </c>
      <c r="H330">
        <f>G330-F330</f>
        <v>157</v>
      </c>
      <c r="J330" t="str">
        <f>K330&amp;L330</f>
        <v>Новикова Ольга ПетровнаОрлов Дмитрий Иванович</v>
      </c>
      <c r="K330" t="s">
        <v>17</v>
      </c>
      <c r="L330" t="s">
        <v>170</v>
      </c>
      <c r="M330" t="s">
        <v>260</v>
      </c>
      <c r="N330" t="str">
        <f>O330&amp;P330</f>
        <v>Иванова Анна СергеевнаВасильев Александр Павлович</v>
      </c>
      <c r="O330" t="s">
        <v>11</v>
      </c>
      <c r="P330" t="s">
        <v>291</v>
      </c>
      <c r="Q330" t="s">
        <v>378</v>
      </c>
    </row>
    <row r="331">
      <c r="D331" t="s">
        <v>17</v>
      </c>
      <c r="E331" t="s">
        <v>30</v>
      </c>
      <c r="F331" t="str">
        <f>VLOOKUP(D331&amp;E331,J:M,4,0)</f>
        <v>2024-05-07</v>
      </c>
      <c r="G331" t="str">
        <f>VLOOKUP(D331&amp;E331,N:Q,4,0)</f>
        <v>2024-05-07</v>
      </c>
      <c r="H331">
        <f>G331-F331</f>
        <v>0</v>
      </c>
      <c r="J331" t="str">
        <f>K331&amp;L331</f>
        <v>Ткаченко Андрей ОлеговичСидоров Алексей Кириллович</v>
      </c>
      <c r="K331" t="s">
        <v>24</v>
      </c>
      <c r="L331" t="s">
        <v>14</v>
      </c>
      <c r="M331" t="s">
        <v>260</v>
      </c>
      <c r="N331" t="str">
        <f>O331&amp;P331</f>
        <v>Семенова Ирина ВалерьевнаИванова Елена Алексеевна</v>
      </c>
      <c r="O331" t="s">
        <v>57</v>
      </c>
      <c r="P331" t="s">
        <v>118</v>
      </c>
      <c r="Q331" t="s">
        <v>378</v>
      </c>
    </row>
    <row r="332">
      <c r="D332" t="s">
        <v>17</v>
      </c>
      <c r="E332" t="s">
        <v>148</v>
      </c>
      <c r="F332" t="str">
        <f>VLOOKUP(D332&amp;E332,J:M,4,0)</f>
        <v>2023-10-23</v>
      </c>
      <c r="G332" t="str">
        <f>VLOOKUP(D332&amp;E332,N:Q,4,0)</f>
        <v>2024-04-19</v>
      </c>
      <c r="H332">
        <f>G332-F332</f>
        <v>179</v>
      </c>
      <c r="J332" t="str">
        <f>K332&amp;L332</f>
        <v>Новикова Ольга ПетровнаСмирнова Алиса Артемовна</v>
      </c>
      <c r="K332" t="s">
        <v>17</v>
      </c>
      <c r="L332" t="s">
        <v>31</v>
      </c>
      <c r="M332" t="s">
        <v>261</v>
      </c>
      <c r="N332" t="str">
        <f>O332&amp;P332</f>
        <v>Иванова Анна СергеевнаСеменов Иван Александрович</v>
      </c>
      <c r="O332" t="s">
        <v>11</v>
      </c>
      <c r="P332" t="s">
        <v>258</v>
      </c>
      <c r="Q332" t="s">
        <v>377</v>
      </c>
    </row>
    <row r="333">
      <c r="D333" t="s">
        <v>17</v>
      </c>
      <c r="E333" t="s">
        <v>14</v>
      </c>
      <c r="F333" t="str">
        <f>VLOOKUP(D333&amp;E333,J:M,4,0)</f>
        <v>2024-03-04</v>
      </c>
      <c r="G333" t="str">
        <f>VLOOKUP(D333&amp;E333,N:Q,4,0)</f>
        <v>2024-03-04</v>
      </c>
      <c r="H333">
        <f>G333-F333</f>
        <v>0</v>
      </c>
      <c r="J333" t="str">
        <f>K333&amp;L333</f>
        <v>Фролов Сергей ВикторовичИванов Андрей Владимирович</v>
      </c>
      <c r="K333" t="s">
        <v>5</v>
      </c>
      <c r="L333" t="s">
        <v>198</v>
      </c>
      <c r="M333" t="s">
        <v>261</v>
      </c>
      <c r="N333" t="str">
        <f>O333&amp;P333</f>
        <v>Сидорова Елена ВасильевнаИванов Павел Сергеевич</v>
      </c>
      <c r="O333" t="s">
        <v>15</v>
      </c>
      <c r="P333" t="s">
        <v>103</v>
      </c>
      <c r="Q333" t="s">
        <v>377</v>
      </c>
    </row>
    <row r="334">
      <c r="D334" t="s">
        <v>17</v>
      </c>
      <c r="E334" t="s">
        <v>50</v>
      </c>
      <c r="F334" t="str">
        <f>VLOOKUP(D334&amp;E334,J:M,4,0)</f>
        <v>2024-06-12</v>
      </c>
      <c r="G334" t="str">
        <f>VLOOKUP(D334&amp;E334,N:Q,4,0)</f>
        <v>2024-06-12</v>
      </c>
      <c r="H334">
        <f>G334-F334</f>
        <v>0</v>
      </c>
      <c r="J334" t="str">
        <f>K334&amp;L334</f>
        <v>Громова Мария ИльиничнаИванов Павел Сергеевич</v>
      </c>
      <c r="K334" t="s">
        <v>13</v>
      </c>
      <c r="L334" t="s">
        <v>103</v>
      </c>
      <c r="M334" t="s">
        <v>261</v>
      </c>
      <c r="N334" t="str">
        <f>O334&amp;P334</f>
        <v>Яковлев Артем ИгоревичСеменов Сергей Викторович</v>
      </c>
      <c r="O334" t="s">
        <v>21</v>
      </c>
      <c r="P334" t="s">
        <v>30</v>
      </c>
      <c r="Q334" t="s">
        <v>377</v>
      </c>
    </row>
    <row r="335">
      <c r="D335" t="s">
        <v>17</v>
      </c>
      <c r="E335" t="s">
        <v>254</v>
      </c>
      <c r="F335" t="str">
        <f>VLOOKUP(D335&amp;E335,J:M,4,0)</f>
        <v>2024-01-25</v>
      </c>
      <c r="G335" t="str">
        <f>VLOOKUP(D335&amp;E335,N:Q,4,0)</f>
        <v>2024-01-25</v>
      </c>
      <c r="H335">
        <f>G335-F335</f>
        <v>0</v>
      </c>
      <c r="J335" t="str">
        <f>K335&amp;L335</f>
        <v>Фролов Сергей ВикторовичНиколаева Дарья Алексеевна</v>
      </c>
      <c r="K335" t="s">
        <v>5</v>
      </c>
      <c r="L335" t="s">
        <v>252</v>
      </c>
      <c r="M335" t="s">
        <v>261</v>
      </c>
      <c r="N335" t="str">
        <f>O335&amp;P335</f>
        <v>Кузнецов Дмитрий ЛьвовичВасильева Юлия Геннадьевна</v>
      </c>
      <c r="O335" t="s">
        <v>8</v>
      </c>
      <c r="P335" t="s">
        <v>48</v>
      </c>
      <c r="Q335" t="s">
        <v>377</v>
      </c>
    </row>
    <row r="336">
      <c r="D336" t="s">
        <v>17</v>
      </c>
      <c r="E336" t="s">
        <v>31</v>
      </c>
      <c r="F336" t="str">
        <f>VLOOKUP(D336&amp;E336,J:M,4,0)</f>
        <v>2024-01-01</v>
      </c>
      <c r="G336" t="str">
        <f>VLOOKUP(D336&amp;E336,N:Q,4,0)</f>
        <v>2024-01-01</v>
      </c>
      <c r="H336">
        <f>G336-F336</f>
        <v>0</v>
      </c>
      <c r="J336" t="str">
        <f>K336&amp;L336</f>
        <v>Яковлев Артем ИгоревичПопов Матвей Александрович</v>
      </c>
      <c r="K336" t="s">
        <v>21</v>
      </c>
      <c r="L336" t="s">
        <v>181</v>
      </c>
      <c r="M336" t="s">
        <v>261</v>
      </c>
      <c r="N336" t="str">
        <f>O336&amp;P336</f>
        <v>Сидорова Елена ВасильевнаСтепанов Андрей Алексеевич</v>
      </c>
      <c r="O336" t="s">
        <v>15</v>
      </c>
      <c r="P336" t="s">
        <v>310</v>
      </c>
      <c r="Q336" t="s">
        <v>377</v>
      </c>
    </row>
    <row r="337">
      <c r="D337" t="s">
        <v>17</v>
      </c>
      <c r="E337" t="s">
        <v>63</v>
      </c>
      <c r="F337" t="str">
        <f>VLOOKUP(D337&amp;E337,J:M,4,0)</f>
        <v>2023-11-01</v>
      </c>
      <c r="G337" t="str">
        <f>VLOOKUP(D337&amp;E337,N:Q,4,0)</f>
        <v>2023-11-01</v>
      </c>
      <c r="H337">
        <f>G337-F337</f>
        <v>0</v>
      </c>
      <c r="J337" t="str">
        <f>K337&amp;L337</f>
        <v>Семенова Ирина ВалерьевнаМорозов Никита Ильич</v>
      </c>
      <c r="K337" t="s">
        <v>57</v>
      </c>
      <c r="L337" t="s">
        <v>138</v>
      </c>
      <c r="M337" t="s">
        <v>261</v>
      </c>
      <c r="N337" t="str">
        <f>O337&amp;P337</f>
        <v>Петров Владимир КирилловичСмирнова Валерия Викторовна</v>
      </c>
      <c r="O337" t="s">
        <v>28</v>
      </c>
      <c r="P337" t="s">
        <v>63</v>
      </c>
      <c r="Q337" t="s">
        <v>377</v>
      </c>
    </row>
    <row r="338">
      <c r="D338" t="s">
        <v>17</v>
      </c>
      <c r="E338" t="s">
        <v>212</v>
      </c>
      <c r="F338" t="str">
        <f>VLOOKUP(D338&amp;E338,J:M,4,0)</f>
        <v>2023-11-29</v>
      </c>
      <c r="G338" t="str">
        <f>VLOOKUP(D338&amp;E338,N:Q,4,0)</f>
        <v>2024-08-16</v>
      </c>
      <c r="H338">
        <f>G338-F338</f>
        <v>261</v>
      </c>
      <c r="J338" t="str">
        <f>K338&amp;L338</f>
        <v>Громова Мария ИльиничнаСтепанова Валерия Романовна</v>
      </c>
      <c r="K338" t="s">
        <v>13</v>
      </c>
      <c r="L338" t="s">
        <v>99</v>
      </c>
      <c r="M338" t="s">
        <v>261</v>
      </c>
      <c r="N338" t="str">
        <f>O338&amp;P338</f>
        <v>Ткаченко Андрей ОлеговичПетров Егор Викторович</v>
      </c>
      <c r="O338" t="s">
        <v>24</v>
      </c>
      <c r="P338" t="s">
        <v>117</v>
      </c>
      <c r="Q338" t="s">
        <v>376</v>
      </c>
    </row>
    <row r="339">
      <c r="D339" t="s">
        <v>17</v>
      </c>
      <c r="E339" t="s">
        <v>197</v>
      </c>
      <c r="F339" t="str">
        <f>VLOOKUP(D339&amp;E339,J:M,4,0)</f>
        <v>2024-02-16</v>
      </c>
      <c r="G339" t="str">
        <f>VLOOKUP(D339&amp;E339,N:Q,4,0)</f>
        <v>2024-02-16</v>
      </c>
      <c r="H339">
        <f>G339-F339</f>
        <v>0</v>
      </c>
      <c r="J339" t="str">
        <f>K339&amp;L339</f>
        <v>Ткаченко Андрей ОлеговичПетров Павел Михайлович</v>
      </c>
      <c r="K339" t="s">
        <v>24</v>
      </c>
      <c r="L339" t="s">
        <v>211</v>
      </c>
      <c r="M339" t="s">
        <v>261</v>
      </c>
      <c r="N339" t="str">
        <f>O339&amp;P339</f>
        <v>Кузнецов Дмитрий ЛьвовичМорозова Екатерина Ивановна</v>
      </c>
      <c r="O339" t="s">
        <v>8</v>
      </c>
      <c r="P339" t="s">
        <v>207</v>
      </c>
      <c r="Q339" t="s">
        <v>376</v>
      </c>
    </row>
    <row r="340">
      <c r="D340" t="s">
        <v>17</v>
      </c>
      <c r="E340" t="s">
        <v>60</v>
      </c>
      <c r="F340" t="str">
        <f>VLOOKUP(D340&amp;E340,J:M,4,0)</f>
        <v>2023-09-18</v>
      </c>
      <c r="G340" t="str">
        <f>VLOOKUP(D340&amp;E340,N:Q,4,0)</f>
        <v>2023-09-18</v>
      </c>
      <c r="H340">
        <f>G340-F340</f>
        <v>0</v>
      </c>
      <c r="J340" t="str">
        <f>K340&amp;L340</f>
        <v>Кузнецов Дмитрий ЛьвовичИванов Георгий Иванович</v>
      </c>
      <c r="K340" t="s">
        <v>8</v>
      </c>
      <c r="L340" t="s">
        <v>240</v>
      </c>
      <c r="M340" t="s">
        <v>262</v>
      </c>
      <c r="N340" t="str">
        <f>O340&amp;P340</f>
        <v>Иванова Анна СергеевнаПетров Артем Иванович</v>
      </c>
      <c r="O340" t="s">
        <v>11</v>
      </c>
      <c r="P340" t="s">
        <v>100</v>
      </c>
      <c r="Q340" t="s">
        <v>376</v>
      </c>
    </row>
    <row r="341">
      <c r="D341" t="s">
        <v>17</v>
      </c>
      <c r="E341" t="s">
        <v>302</v>
      </c>
      <c r="F341" t="str">
        <f>VLOOKUP(D341&amp;E341,J:M,4,0)</f>
        <v>2024-02-22</v>
      </c>
      <c r="G341" t="str">
        <f>VLOOKUP(D341&amp;E341,N:Q,4,0)</f>
        <v>2024-08-14</v>
      </c>
      <c r="H341">
        <f>G341-F341</f>
        <v>174</v>
      </c>
      <c r="J341" t="str">
        <f>K341&amp;L341</f>
        <v>Новикова Ольга ПетровнаИванов Павел Сергеевич</v>
      </c>
      <c r="K341" t="s">
        <v>17</v>
      </c>
      <c r="L341" t="s">
        <v>103</v>
      </c>
      <c r="M341" t="s">
        <v>262</v>
      </c>
      <c r="N341" t="str">
        <f>O341&amp;P341</f>
        <v>Петров Владимир КирилловичФедоров Алексей Павлович</v>
      </c>
      <c r="O341" t="s">
        <v>28</v>
      </c>
      <c r="P341" t="s">
        <v>174</v>
      </c>
      <c r="Q341" t="s">
        <v>376</v>
      </c>
    </row>
    <row r="342">
      <c r="D342" t="s">
        <v>17</v>
      </c>
      <c r="E342" t="s">
        <v>144</v>
      </c>
      <c r="F342" t="str">
        <f>VLOOKUP(D342&amp;E342,J:M,4,0)</f>
        <v>2023-11-06</v>
      </c>
      <c r="G342" t="str">
        <f>VLOOKUP(D342&amp;E342,N:Q,4,0)</f>
        <v>2024-08-27</v>
      </c>
      <c r="H342">
        <f>G342-F342</f>
        <v>295</v>
      </c>
      <c r="J342" t="str">
        <f>K342&amp;L342</f>
        <v>Фролов Сергей ВикторовичСтепанова Анна Олеговна</v>
      </c>
      <c r="K342" t="s">
        <v>5</v>
      </c>
      <c r="L342" t="s">
        <v>263</v>
      </c>
      <c r="M342" t="s">
        <v>262</v>
      </c>
      <c r="N342" t="str">
        <f>O342&amp;P342</f>
        <v>Яковлев Артем ИгоревичНовикова Ксения Алексеевна</v>
      </c>
      <c r="O342" t="s">
        <v>21</v>
      </c>
      <c r="P342" t="s">
        <v>147</v>
      </c>
      <c r="Q342" t="s">
        <v>376</v>
      </c>
    </row>
    <row r="343">
      <c r="D343" t="s">
        <v>17</v>
      </c>
      <c r="E343" t="s">
        <v>263</v>
      </c>
      <c r="F343" t="str">
        <f>VLOOKUP(D343&amp;E343,J:M,4,0)</f>
        <v>2024-06-05</v>
      </c>
      <c r="G343" t="str">
        <f>VLOOKUP(D343&amp;E343,N:Q,4,0)</f>
        <v>2024-06-05</v>
      </c>
      <c r="H343">
        <f>G343-F343</f>
        <v>0</v>
      </c>
      <c r="J343" t="str">
        <f>K343&amp;L343</f>
        <v>Громова Мария ИльиничнаПавлова София Артемовна</v>
      </c>
      <c r="K343" t="s">
        <v>13</v>
      </c>
      <c r="L343" t="s">
        <v>111</v>
      </c>
      <c r="M343" t="s">
        <v>262</v>
      </c>
      <c r="N343" t="str">
        <f>O343&amp;P343</f>
        <v>Сидорова Елена ВасильевнаНиколаев Артем Александрович</v>
      </c>
      <c r="O343" t="s">
        <v>15</v>
      </c>
      <c r="P343" t="s">
        <v>248</v>
      </c>
      <c r="Q343" t="s">
        <v>376</v>
      </c>
    </row>
    <row r="344">
      <c r="D344" t="s">
        <v>17</v>
      </c>
      <c r="E344" t="s">
        <v>99</v>
      </c>
      <c r="F344" t="str">
        <f>VLOOKUP(D344&amp;E344,J:M,4,0)</f>
        <v>2023-11-20</v>
      </c>
      <c r="G344" t="str">
        <f>VLOOKUP(D344&amp;E344,N:Q,4,0)</f>
        <v>2023-12-18</v>
      </c>
      <c r="H344">
        <f>G344-F344</f>
        <v>28</v>
      </c>
      <c r="J344" t="str">
        <f>K344&amp;L344</f>
        <v>Яковлев Артем ИгоревичСтепанов Георгий Иванович</v>
      </c>
      <c r="K344" t="s">
        <v>21</v>
      </c>
      <c r="L344" t="s">
        <v>44</v>
      </c>
      <c r="M344" t="s">
        <v>262</v>
      </c>
      <c r="N344" t="str">
        <f>O344&amp;P344</f>
        <v>Семенова Ирина ВалерьевнаФедоров Алексей Павлович</v>
      </c>
      <c r="O344" t="s">
        <v>57</v>
      </c>
      <c r="P344" t="s">
        <v>174</v>
      </c>
      <c r="Q344" t="s">
        <v>376</v>
      </c>
    </row>
    <row r="345">
      <c r="D345" t="s">
        <v>17</v>
      </c>
      <c r="E345" t="s">
        <v>45</v>
      </c>
      <c r="F345" t="str">
        <f>VLOOKUP(D345&amp;E345,J:M,4,0)</f>
        <v>2023-11-13</v>
      </c>
      <c r="G345" t="str">
        <f>VLOOKUP(D345&amp;E345,N:Q,4,0)</f>
        <v>2023-11-13</v>
      </c>
      <c r="H345">
        <f>G345-F345</f>
        <v>0</v>
      </c>
      <c r="J345" t="str">
        <f>K345&amp;L345</f>
        <v>Иванова Анна СергеевнаКозлова Полина Викторовна</v>
      </c>
      <c r="K345" t="s">
        <v>11</v>
      </c>
      <c r="L345" t="s">
        <v>217</v>
      </c>
      <c r="M345" t="s">
        <v>262</v>
      </c>
      <c r="N345" t="str">
        <f>O345&amp;P345</f>
        <v>Яковлев Артем ИгоревичСтепанова Валерия Романовна</v>
      </c>
      <c r="O345" t="s">
        <v>21</v>
      </c>
      <c r="P345" t="s">
        <v>99</v>
      </c>
      <c r="Q345" t="s">
        <v>376</v>
      </c>
    </row>
    <row r="346">
      <c r="D346" t="s">
        <v>17</v>
      </c>
      <c r="E346" t="s">
        <v>153</v>
      </c>
      <c r="F346" t="str">
        <f>VLOOKUP(D346&amp;E346,J:M,4,0)</f>
        <v>2024-04-26</v>
      </c>
      <c r="G346" t="str">
        <f>VLOOKUP(D346&amp;E346,N:Q,4,0)</f>
        <v>2024-04-26</v>
      </c>
      <c r="H346">
        <f>G346-F346</f>
        <v>0</v>
      </c>
      <c r="J346" t="str">
        <f>K346&amp;L346</f>
        <v>Кузнецов Дмитрий ЛьвовичПопова Полина Романовна</v>
      </c>
      <c r="K346" t="s">
        <v>8</v>
      </c>
      <c r="L346" t="s">
        <v>192</v>
      </c>
      <c r="M346" t="s">
        <v>264</v>
      </c>
      <c r="N346" t="str">
        <f>O346&amp;P346</f>
        <v>Орлов Павел ДенисовичЛебедев Дмитрий Олегович</v>
      </c>
      <c r="O346" t="s">
        <v>43</v>
      </c>
      <c r="P346" t="s">
        <v>75</v>
      </c>
      <c r="Q346" t="s">
        <v>376</v>
      </c>
    </row>
    <row r="347">
      <c r="D347" t="s">
        <v>17</v>
      </c>
      <c r="E347" t="s">
        <v>174</v>
      </c>
      <c r="F347" t="str">
        <f>VLOOKUP(D347&amp;E347,J:M,4,0)</f>
        <v>2023-11-20</v>
      </c>
      <c r="G347" t="str">
        <f>VLOOKUP(D347&amp;E347,N:Q,4,0)</f>
        <v>2023-11-20</v>
      </c>
      <c r="H347">
        <f>G347-F347</f>
        <v>0</v>
      </c>
      <c r="J347" t="str">
        <f>K347&amp;L347</f>
        <v>Иванова Анна СергеевнаИванова Ксения Александровна</v>
      </c>
      <c r="K347" t="s">
        <v>11</v>
      </c>
      <c r="L347" t="s">
        <v>265</v>
      </c>
      <c r="M347" t="s">
        <v>264</v>
      </c>
      <c r="N347" t="str">
        <f>O347&amp;P347</f>
        <v>Иванова Анна СергеевнаСтепанова Анна Олеговна</v>
      </c>
      <c r="O347" t="s">
        <v>11</v>
      </c>
      <c r="P347" t="s">
        <v>263</v>
      </c>
      <c r="Q347" t="s">
        <v>375</v>
      </c>
    </row>
    <row r="348">
      <c r="D348" t="s">
        <v>17</v>
      </c>
      <c r="E348" t="s">
        <v>105</v>
      </c>
      <c r="F348" t="str">
        <f>VLOOKUP(D348&amp;E348,J:M,4,0)</f>
        <v>2024-07-30</v>
      </c>
      <c r="G348" t="str">
        <f>VLOOKUP(D348&amp;E348,N:Q,4,0)</f>
        <v>2024-07-30</v>
      </c>
      <c r="H348">
        <f>G348-F348</f>
        <v>0</v>
      </c>
      <c r="J348" t="str">
        <f>K348&amp;L348</f>
        <v>Орлов Павел ДенисовичВолкова Мария Егоровна</v>
      </c>
      <c r="K348" t="s">
        <v>43</v>
      </c>
      <c r="L348" t="s">
        <v>196</v>
      </c>
      <c r="M348" t="s">
        <v>264</v>
      </c>
      <c r="N348" t="str">
        <f>O348&amp;P348</f>
        <v>Сидорова Елена ВасильевнаМорозов Никита Ильич</v>
      </c>
      <c r="O348" t="s">
        <v>15</v>
      </c>
      <c r="P348" t="s">
        <v>138</v>
      </c>
      <c r="Q348" t="s">
        <v>375</v>
      </c>
    </row>
    <row r="349">
      <c r="D349" t="s">
        <v>17</v>
      </c>
      <c r="E349" t="s">
        <v>363</v>
      </c>
      <c r="F349" t="str">
        <f>VLOOKUP(D349&amp;E349,J:M,4,0)</f>
        <v>2024-08-26</v>
      </c>
      <c r="G349" t="str">
        <f>VLOOKUP(D349&amp;E349,N:Q,4,0)</f>
        <v>2024-08-26</v>
      </c>
      <c r="H349">
        <f>G349-F349</f>
        <v>0</v>
      </c>
      <c r="J349" t="str">
        <f>K349&amp;L349</f>
        <v>Громова Мария ИльиничнаСмирнова Екатерина Егоровна</v>
      </c>
      <c r="K349" t="s">
        <v>13</v>
      </c>
      <c r="L349" t="s">
        <v>212</v>
      </c>
      <c r="M349" t="s">
        <v>266</v>
      </c>
      <c r="N349" t="str">
        <f>O349&amp;P349</f>
        <v>Фролов Сергей ВикторовичМорозова Екатерина Олеговна</v>
      </c>
      <c r="O349" t="s">
        <v>5</v>
      </c>
      <c r="P349" t="s">
        <v>65</v>
      </c>
      <c r="Q349" t="s">
        <v>375</v>
      </c>
    </row>
    <row r="350">
      <c r="D350" t="s">
        <v>17</v>
      </c>
      <c r="E350" t="s">
        <v>344</v>
      </c>
      <c r="F350" t="str">
        <f>VLOOKUP(D350&amp;E350,J:M,4,0)</f>
        <v>2024-04-15</v>
      </c>
      <c r="G350" t="str">
        <f>VLOOKUP(D350&amp;E350,N:Q,4,0)</f>
        <v>2024-04-15</v>
      </c>
      <c r="H350">
        <f>G350-F350</f>
        <v>0</v>
      </c>
      <c r="J350" t="str">
        <f>K350&amp;L350</f>
        <v>Громова Мария ИльиничнаАлексеев Иван Иванович</v>
      </c>
      <c r="K350" t="s">
        <v>13</v>
      </c>
      <c r="L350" t="s">
        <v>70</v>
      </c>
      <c r="M350" t="s">
        <v>266</v>
      </c>
      <c r="N350" t="str">
        <f>O350&amp;P350</f>
        <v>Новикова Ольга ПетровнаСтепанова Людмила Никитична</v>
      </c>
      <c r="O350" t="s">
        <v>17</v>
      </c>
      <c r="P350" t="s">
        <v>153</v>
      </c>
      <c r="Q350" t="s">
        <v>375</v>
      </c>
    </row>
    <row r="351">
      <c r="D351" t="s">
        <v>43</v>
      </c>
      <c r="E351" t="s">
        <v>96</v>
      </c>
      <c r="F351" t="str">
        <f>VLOOKUP(D351&amp;E351,J:M,4,0)</f>
        <v>2024-06-13</v>
      </c>
      <c r="G351" t="str">
        <f>VLOOKUP(D351&amp;E351,N:Q,4,0)</f>
        <v>2024-06-13</v>
      </c>
      <c r="H351">
        <f>G351-F351</f>
        <v>0</v>
      </c>
      <c r="J351" t="str">
        <f>K351&amp;L351</f>
        <v>Новикова Ольга ПетровнаНиколаев Владимир Геннадьевич</v>
      </c>
      <c r="K351" t="s">
        <v>17</v>
      </c>
      <c r="L351" t="s">
        <v>267</v>
      </c>
      <c r="M351" t="s">
        <v>266</v>
      </c>
      <c r="N351" t="str">
        <f>O351&amp;P351</f>
        <v>Семенова Ирина ВалерьевнаНиколаева Дарья Алексеевна</v>
      </c>
      <c r="O351" t="s">
        <v>57</v>
      </c>
      <c r="P351" t="s">
        <v>252</v>
      </c>
      <c r="Q351" t="s">
        <v>375</v>
      </c>
    </row>
    <row r="352">
      <c r="D352" t="s">
        <v>43</v>
      </c>
      <c r="E352" t="s">
        <v>276</v>
      </c>
      <c r="F352" t="str">
        <f>VLOOKUP(D352&amp;E352,J:M,4,0)</f>
        <v>2024-01-12</v>
      </c>
      <c r="G352" t="str">
        <f>VLOOKUP(D352&amp;E352,N:Q,4,0)</f>
        <v>2024-01-12</v>
      </c>
      <c r="H352">
        <f>G352-F352</f>
        <v>0</v>
      </c>
      <c r="J352" t="str">
        <f>K352&amp;L352</f>
        <v>Орлов Павел ДенисовичКозлов Артур Андреевич</v>
      </c>
      <c r="K352" t="s">
        <v>43</v>
      </c>
      <c r="L352" t="s">
        <v>98</v>
      </c>
      <c r="M352" t="s">
        <v>268</v>
      </c>
      <c r="N352" t="str">
        <f>O352&amp;P352</f>
        <v>Семенова Ирина ВалерьевнаМорозова Светлана Сергеевна</v>
      </c>
      <c r="O352" t="s">
        <v>57</v>
      </c>
      <c r="P352" t="s">
        <v>108</v>
      </c>
      <c r="Q352" t="s">
        <v>373</v>
      </c>
    </row>
    <row r="353">
      <c r="D353" t="s">
        <v>43</v>
      </c>
      <c r="E353" t="s">
        <v>291</v>
      </c>
      <c r="F353" t="str">
        <f>VLOOKUP(D353&amp;E353,J:M,4,0)</f>
        <v>2024-03-04</v>
      </c>
      <c r="G353" t="str">
        <f>VLOOKUP(D353&amp;E353,N:Q,4,0)</f>
        <v>2024-07-24</v>
      </c>
      <c r="H353">
        <f>G353-F353</f>
        <v>142</v>
      </c>
      <c r="J353" t="str">
        <f>K353&amp;L353</f>
        <v>Кузнецов Дмитрий ЛьвовичСидорова София Дмитриевна</v>
      </c>
      <c r="K353" t="s">
        <v>8</v>
      </c>
      <c r="L353" t="s">
        <v>254</v>
      </c>
      <c r="M353" t="s">
        <v>269</v>
      </c>
      <c r="N353" t="str">
        <f>O353&amp;P353</f>
        <v>Громова Мария ИльиничнаСеменов Михаил Никитич</v>
      </c>
      <c r="O353" t="s">
        <v>13</v>
      </c>
      <c r="P353" t="s">
        <v>172</v>
      </c>
      <c r="Q353" t="s">
        <v>373</v>
      </c>
    </row>
    <row r="354">
      <c r="D354" t="s">
        <v>43</v>
      </c>
      <c r="E354" t="s">
        <v>81</v>
      </c>
      <c r="F354" t="str">
        <f>VLOOKUP(D354&amp;E354,J:M,4,0)</f>
        <v>2024-08-28</v>
      </c>
      <c r="G354" t="str">
        <f>VLOOKUP(D354&amp;E354,N:Q,4,0)</f>
        <v>2024-08-28</v>
      </c>
      <c r="H354">
        <f>G354-F354</f>
        <v>0</v>
      </c>
      <c r="J354" t="str">
        <f>K354&amp;L354</f>
        <v>Белов Алексей КонстантиновичЕгорова Ольга Юрьевна</v>
      </c>
      <c r="K354" t="s">
        <v>47</v>
      </c>
      <c r="L354" t="s">
        <v>83</v>
      </c>
      <c r="M354" t="s">
        <v>269</v>
      </c>
      <c r="N354" t="str">
        <f>O354&amp;P354</f>
        <v>Фролов Сергей ВикторовичСмирнов Сергей Андреевич</v>
      </c>
      <c r="O354" t="s">
        <v>5</v>
      </c>
      <c r="P354" t="s">
        <v>374</v>
      </c>
      <c r="Q354" t="s">
        <v>373</v>
      </c>
    </row>
    <row r="355">
      <c r="D355" t="s">
        <v>43</v>
      </c>
      <c r="E355" t="s">
        <v>137</v>
      </c>
      <c r="F355" t="str">
        <f>VLOOKUP(D355&amp;E355,J:M,4,0)</f>
        <v>2023-11-27</v>
      </c>
      <c r="G355" t="str">
        <f>VLOOKUP(D355&amp;E355,N:Q,4,0)</f>
        <v>2023-11-27</v>
      </c>
      <c r="H355">
        <f>G355-F355</f>
        <v>0</v>
      </c>
      <c r="J355" t="str">
        <f>K355&amp;L355</f>
        <v>Ткаченко Андрей ОлеговичНиколаев Артем Александрович</v>
      </c>
      <c r="K355" t="s">
        <v>24</v>
      </c>
      <c r="L355" t="s">
        <v>248</v>
      </c>
      <c r="M355" t="s">
        <v>269</v>
      </c>
      <c r="N355" t="str">
        <f>O355&amp;P355</f>
        <v>Яковлев Артем ИгоревичЕгорова Валерия Сергеевна</v>
      </c>
      <c r="O355" t="s">
        <v>21</v>
      </c>
      <c r="P355" t="s">
        <v>85</v>
      </c>
      <c r="Q355" t="s">
        <v>372</v>
      </c>
    </row>
    <row r="356">
      <c r="D356" t="s">
        <v>43</v>
      </c>
      <c r="E356" t="s">
        <v>196</v>
      </c>
      <c r="F356" t="str">
        <f>VLOOKUP(D356&amp;E356,J:M,4,0)</f>
        <v>2024-01-03</v>
      </c>
      <c r="G356" t="str">
        <f>VLOOKUP(D356&amp;E356,N:Q,4,0)</f>
        <v>2024-01-03</v>
      </c>
      <c r="H356">
        <f>G356-F356</f>
        <v>0</v>
      </c>
      <c r="J356" t="str">
        <f>K356&amp;L356</f>
        <v>Белов Алексей КонстантиновичПавлова Валерия Станиславовна</v>
      </c>
      <c r="K356" t="s">
        <v>47</v>
      </c>
      <c r="L356" t="s">
        <v>239</v>
      </c>
      <c r="M356" t="s">
        <v>269</v>
      </c>
      <c r="N356" t="str">
        <f>O356&amp;P356</f>
        <v>Белов Алексей КонстантиновичНиколаева Александра Кирилловна</v>
      </c>
      <c r="O356" t="s">
        <v>47</v>
      </c>
      <c r="P356" t="s">
        <v>186</v>
      </c>
      <c r="Q356" t="s">
        <v>372</v>
      </c>
    </row>
    <row r="357">
      <c r="D357" t="s">
        <v>43</v>
      </c>
      <c r="E357" t="s">
        <v>95</v>
      </c>
      <c r="F357" t="str">
        <f>VLOOKUP(D357&amp;E357,J:M,4,0)</f>
        <v>2024-08-13</v>
      </c>
      <c r="G357" t="str">
        <f>VLOOKUP(D357&amp;E357,N:Q,4,0)</f>
        <v>2024-08-13</v>
      </c>
      <c r="H357">
        <f>G357-F357</f>
        <v>0</v>
      </c>
      <c r="J357" t="str">
        <f>K357&amp;L357</f>
        <v>Новикова Ольга ПетровнаПетров Андрей Алексеевич</v>
      </c>
      <c r="K357" t="s">
        <v>17</v>
      </c>
      <c r="L357" t="s">
        <v>58</v>
      </c>
      <c r="M357" t="s">
        <v>269</v>
      </c>
      <c r="N357" t="str">
        <f>O357&amp;P357</f>
        <v>Ткаченко Андрей ОлеговичИванова Елена Алексеевна</v>
      </c>
      <c r="O357" t="s">
        <v>24</v>
      </c>
      <c r="P357" t="s">
        <v>118</v>
      </c>
      <c r="Q357" t="s">
        <v>372</v>
      </c>
    </row>
    <row r="358">
      <c r="D358" t="s">
        <v>43</v>
      </c>
      <c r="E358" t="s">
        <v>49</v>
      </c>
      <c r="F358" t="str">
        <f>VLOOKUP(D358&amp;E358,J:M,4,0)</f>
        <v>2023-09-12</v>
      </c>
      <c r="G358" t="str">
        <f>VLOOKUP(D358&amp;E358,N:Q,4,0)</f>
        <v>2024-03-25</v>
      </c>
      <c r="H358">
        <f>G358-F358</f>
        <v>195</v>
      </c>
      <c r="J358" t="str">
        <f>K358&amp;L358</f>
        <v>Орлов Павел ДенисовичФедоров Алексей Павлович</v>
      </c>
      <c r="K358" t="s">
        <v>43</v>
      </c>
      <c r="L358" t="s">
        <v>174</v>
      </c>
      <c r="M358" t="s">
        <v>269</v>
      </c>
      <c r="N358" t="str">
        <f>O358&amp;P358</f>
        <v>Сидорова Елена ВасильевнаПопова София Никитична</v>
      </c>
      <c r="O358" t="s">
        <v>15</v>
      </c>
      <c r="P358" t="s">
        <v>288</v>
      </c>
      <c r="Q358" t="s">
        <v>372</v>
      </c>
    </row>
    <row r="359">
      <c r="D359" t="s">
        <v>43</v>
      </c>
      <c r="E359" t="s">
        <v>85</v>
      </c>
      <c r="F359" t="str">
        <f>VLOOKUP(D359&amp;E359,J:M,4,0)</f>
        <v>2023-11-23</v>
      </c>
      <c r="G359" t="str">
        <f>VLOOKUP(D359&amp;E359,N:Q,4,0)</f>
        <v>2023-11-23</v>
      </c>
      <c r="H359">
        <f>G359-F359</f>
        <v>0</v>
      </c>
      <c r="J359" t="str">
        <f>K359&amp;L359</f>
        <v>Сидорова Елена ВасильевнаКузнецова Екатерина Александровна</v>
      </c>
      <c r="K359" t="s">
        <v>15</v>
      </c>
      <c r="L359" t="s">
        <v>92</v>
      </c>
      <c r="M359" t="s">
        <v>269</v>
      </c>
      <c r="N359" t="str">
        <f>O359&amp;P359</f>
        <v>Сидорова Елена ВасильевнаПопов Александр Владимирович</v>
      </c>
      <c r="O359" t="s">
        <v>15</v>
      </c>
      <c r="P359" t="s">
        <v>160</v>
      </c>
      <c r="Q359" t="s">
        <v>372</v>
      </c>
    </row>
    <row r="360">
      <c r="D360" t="s">
        <v>43</v>
      </c>
      <c r="E360" t="s">
        <v>83</v>
      </c>
      <c r="F360" t="str">
        <f>VLOOKUP(D360&amp;E360,J:M,4,0)</f>
        <v>2024-08-19</v>
      </c>
      <c r="G360" t="str">
        <f>VLOOKUP(D360&amp;E360,N:Q,4,0)</f>
        <v>2024-08-19</v>
      </c>
      <c r="H360">
        <f>G360-F360</f>
        <v>0</v>
      </c>
      <c r="J360" t="str">
        <f>K360&amp;L360</f>
        <v>Белов Алексей КонстантиновичМорозова Светлана Сергеевна</v>
      </c>
      <c r="K360" t="s">
        <v>47</v>
      </c>
      <c r="L360" t="s">
        <v>108</v>
      </c>
      <c r="M360" t="s">
        <v>269</v>
      </c>
      <c r="N360" t="str">
        <f>O360&amp;P360</f>
        <v>Громова Мария ИльиничнаВолкова Ирина Никитична</v>
      </c>
      <c r="O360" t="s">
        <v>13</v>
      </c>
      <c r="P360" t="s">
        <v>161</v>
      </c>
      <c r="Q360" t="s">
        <v>371</v>
      </c>
    </row>
    <row r="361">
      <c r="D361" t="s">
        <v>43</v>
      </c>
      <c r="E361" t="s">
        <v>12</v>
      </c>
      <c r="F361" t="str">
        <f>VLOOKUP(D361&amp;E361,J:M,4,0)</f>
        <v>2024-05-08</v>
      </c>
      <c r="G361" t="str">
        <f>VLOOKUP(D361&amp;E361,N:Q,4,0)</f>
        <v>2024-05-08</v>
      </c>
      <c r="H361">
        <f>G361-F361</f>
        <v>0</v>
      </c>
      <c r="J361" t="str">
        <f>K361&amp;L361</f>
        <v>Новикова Ольга ПетровнаНиколаева Екатерина Никитична</v>
      </c>
      <c r="K361" t="s">
        <v>17</v>
      </c>
      <c r="L361" t="s">
        <v>270</v>
      </c>
      <c r="M361" t="s">
        <v>271</v>
      </c>
      <c r="N361" t="str">
        <f>O361&amp;P361</f>
        <v>Белов Алексей КонстантиновичЕгорова Татьяна Ильинична</v>
      </c>
      <c r="O361" t="s">
        <v>47</v>
      </c>
      <c r="P361" t="s">
        <v>12</v>
      </c>
      <c r="Q361" t="s">
        <v>371</v>
      </c>
    </row>
    <row r="362">
      <c r="D362" t="s">
        <v>43</v>
      </c>
      <c r="E362" t="s">
        <v>198</v>
      </c>
      <c r="F362" t="str">
        <f>VLOOKUP(D362&amp;E362,J:M,4,0)</f>
        <v>2024-08-22</v>
      </c>
      <c r="G362" t="str">
        <f>VLOOKUP(D362&amp;E362,N:Q,4,0)</f>
        <v>2024-08-22</v>
      </c>
      <c r="H362">
        <f>G362-F362</f>
        <v>0</v>
      </c>
      <c r="J362" t="str">
        <f>K362&amp;L362</f>
        <v>Петров Владимир КирилловичЕгоров Андрей Дмитриевич</v>
      </c>
      <c r="K362" t="s">
        <v>28</v>
      </c>
      <c r="L362" t="s">
        <v>272</v>
      </c>
      <c r="M362" t="s">
        <v>271</v>
      </c>
      <c r="N362" t="str">
        <f>O362&amp;P362</f>
        <v>Иванова Анна СергеевнаНиколаева Елена Геннадьевна</v>
      </c>
      <c r="O362" t="s">
        <v>11</v>
      </c>
      <c r="P362" t="s">
        <v>73</v>
      </c>
      <c r="Q362" t="s">
        <v>371</v>
      </c>
    </row>
    <row r="363">
      <c r="D363" t="s">
        <v>43</v>
      </c>
      <c r="E363" t="s">
        <v>250</v>
      </c>
      <c r="F363" t="str">
        <f>VLOOKUP(D363&amp;E363,J:M,4,0)</f>
        <v>2024-04-22</v>
      </c>
      <c r="G363" t="str">
        <f>VLOOKUP(D363&amp;E363,N:Q,4,0)</f>
        <v>2024-04-22</v>
      </c>
      <c r="H363">
        <f>G363-F363</f>
        <v>0</v>
      </c>
      <c r="J363" t="str">
        <f>K363&amp;L363</f>
        <v>Белов Алексей КонстантиновичСтепанова Ирина Артемовна</v>
      </c>
      <c r="K363" t="s">
        <v>47</v>
      </c>
      <c r="L363" t="s">
        <v>45</v>
      </c>
      <c r="M363" t="s">
        <v>271</v>
      </c>
      <c r="N363" t="str">
        <f>O363&amp;P363</f>
        <v>Белов Алексей КонстантиновичВолков Константин Александрович</v>
      </c>
      <c r="O363" t="s">
        <v>47</v>
      </c>
      <c r="P363" t="s">
        <v>256</v>
      </c>
      <c r="Q363" t="s">
        <v>369</v>
      </c>
    </row>
    <row r="364">
      <c r="D364" t="s">
        <v>43</v>
      </c>
      <c r="E364" t="s">
        <v>71</v>
      </c>
      <c r="F364" t="str">
        <f>VLOOKUP(D364&amp;E364,J:M,4,0)</f>
        <v>2024-03-29</v>
      </c>
      <c r="G364" t="str">
        <f>VLOOKUP(D364&amp;E364,N:Q,4,0)</f>
        <v>2024-03-29</v>
      </c>
      <c r="H364">
        <f>G364-F364</f>
        <v>0</v>
      </c>
      <c r="J364" t="str">
        <f>K364&amp;L364</f>
        <v>Семенова Ирина ВалерьевнаЛебедева Полина Никитична</v>
      </c>
      <c r="K364" t="s">
        <v>57</v>
      </c>
      <c r="L364" t="s">
        <v>273</v>
      </c>
      <c r="M364" t="s">
        <v>274</v>
      </c>
      <c r="N364" t="str">
        <f>O364&amp;P364</f>
        <v>Громова Мария ИльиничнаСеменов Константин Артемович</v>
      </c>
      <c r="O364" t="s">
        <v>13</v>
      </c>
      <c r="P364" t="s">
        <v>102</v>
      </c>
      <c r="Q364" t="s">
        <v>369</v>
      </c>
    </row>
    <row r="365">
      <c r="D365" t="s">
        <v>43</v>
      </c>
      <c r="E365" t="s">
        <v>80</v>
      </c>
      <c r="F365" t="str">
        <f>VLOOKUP(D365&amp;E365,J:M,4,0)</f>
        <v>2023-09-25</v>
      </c>
      <c r="G365" t="str">
        <f>VLOOKUP(D365&amp;E365,N:Q,4,0)</f>
        <v>2023-09-25</v>
      </c>
      <c r="H365">
        <f>G365-F365</f>
        <v>0</v>
      </c>
      <c r="J365" t="str">
        <f>K365&amp;L365</f>
        <v>Кузнецов Дмитрий ЛьвовичКозлова София Олеговна</v>
      </c>
      <c r="K365" t="s">
        <v>8</v>
      </c>
      <c r="L365" t="s">
        <v>185</v>
      </c>
      <c r="M365" t="s">
        <v>275</v>
      </c>
      <c r="N365" t="str">
        <f>O365&amp;P365</f>
        <v>Петров Владимир КирилловичСтепанов Георгий Иванович</v>
      </c>
      <c r="O365" t="s">
        <v>28</v>
      </c>
      <c r="P365" t="s">
        <v>44</v>
      </c>
      <c r="Q365" t="s">
        <v>369</v>
      </c>
    </row>
    <row r="366">
      <c r="D366" t="s">
        <v>43</v>
      </c>
      <c r="E366" t="s">
        <v>103</v>
      </c>
      <c r="F366" t="str">
        <f>VLOOKUP(D366&amp;E366,J:M,4,0)</f>
        <v>2024-03-29</v>
      </c>
      <c r="G366" t="str">
        <f>VLOOKUP(D366&amp;E366,N:Q,4,0)</f>
        <v>2024-03-29</v>
      </c>
      <c r="H366">
        <f>G366-F366</f>
        <v>0</v>
      </c>
      <c r="J366" t="str">
        <f>K366&amp;L366</f>
        <v>Кузнецов Дмитрий ЛьвовичСеменов Константин Артемович</v>
      </c>
      <c r="K366" t="s">
        <v>8</v>
      </c>
      <c r="L366" t="s">
        <v>102</v>
      </c>
      <c r="M366" t="s">
        <v>275</v>
      </c>
      <c r="N366" t="str">
        <f>O366&amp;P366</f>
        <v>Орлов Павел ДенисовичПетров Андрей Алексеевич</v>
      </c>
      <c r="O366" t="s">
        <v>43</v>
      </c>
      <c r="P366" t="s">
        <v>58</v>
      </c>
      <c r="Q366" t="s">
        <v>369</v>
      </c>
    </row>
    <row r="367">
      <c r="D367" t="s">
        <v>43</v>
      </c>
      <c r="E367" t="s">
        <v>118</v>
      </c>
      <c r="F367" t="str">
        <f>VLOOKUP(D367&amp;E367,J:M,4,0)</f>
        <v>2023-10-16</v>
      </c>
      <c r="G367" t="str">
        <f>VLOOKUP(D367&amp;E367,N:Q,4,0)</f>
        <v>2023-10-16</v>
      </c>
      <c r="H367">
        <f>G367-F367</f>
        <v>0</v>
      </c>
      <c r="J367" t="str">
        <f>K367&amp;L367</f>
        <v>Орлов Павел ДенисовичАлексеева София Андреевна</v>
      </c>
      <c r="K367" t="s">
        <v>43</v>
      </c>
      <c r="L367" t="s">
        <v>276</v>
      </c>
      <c r="M367" t="s">
        <v>277</v>
      </c>
      <c r="N367" t="str">
        <f>O367&amp;P367</f>
        <v>Белов Алексей КонстантиновичФедоров Георгий Егорович</v>
      </c>
      <c r="O367" t="s">
        <v>47</v>
      </c>
      <c r="P367" t="s">
        <v>370</v>
      </c>
      <c r="Q367" t="s">
        <v>369</v>
      </c>
    </row>
    <row r="368">
      <c r="D368" t="s">
        <v>43</v>
      </c>
      <c r="E368" t="s">
        <v>265</v>
      </c>
      <c r="F368" t="str">
        <f>VLOOKUP(D368&amp;E368,J:M,4,0)</f>
        <v>2024-07-22</v>
      </c>
      <c r="G368" t="str">
        <f>VLOOKUP(D368&amp;E368,N:Q,4,0)</f>
        <v>2024-07-22</v>
      </c>
      <c r="H368">
        <f>G368-F368</f>
        <v>0</v>
      </c>
      <c r="J368" t="str">
        <f>K368&amp;L368</f>
        <v>Иванова Анна СергеевнаПавлов Илья Артемович</v>
      </c>
      <c r="K368" t="s">
        <v>11</v>
      </c>
      <c r="L368" t="s">
        <v>158</v>
      </c>
      <c r="M368" t="s">
        <v>277</v>
      </c>
      <c r="N368" t="str">
        <f>O368&amp;P368</f>
        <v>Кузнецов Дмитрий ЛьвовичВолкова Мария Ильинична</v>
      </c>
      <c r="O368" t="s">
        <v>8</v>
      </c>
      <c r="P368" t="s">
        <v>95</v>
      </c>
      <c r="Q368" t="s">
        <v>369</v>
      </c>
    </row>
    <row r="369">
      <c r="D369" t="s">
        <v>43</v>
      </c>
      <c r="E369" t="s">
        <v>59</v>
      </c>
      <c r="F369" t="str">
        <f>VLOOKUP(D369&amp;E369,J:M,4,0)</f>
        <v>2024-08-19</v>
      </c>
      <c r="G369" t="str">
        <f>VLOOKUP(D369&amp;E369,N:Q,4,0)</f>
        <v>2024-08-19</v>
      </c>
      <c r="H369">
        <f>G369-F369</f>
        <v>0</v>
      </c>
      <c r="J369" t="str">
        <f>K369&amp;L369</f>
        <v>Сидорова Елена ВасильевнаИванов Матвей Юрьевич</v>
      </c>
      <c r="K369" t="s">
        <v>15</v>
      </c>
      <c r="L369" t="s">
        <v>16</v>
      </c>
      <c r="M369" t="s">
        <v>277</v>
      </c>
      <c r="N369" t="str">
        <f>O369&amp;P369</f>
        <v>Фролов Сергей ВикторовичПавлов Андрей Викторович</v>
      </c>
      <c r="O369" t="s">
        <v>5</v>
      </c>
      <c r="P369" t="s">
        <v>131</v>
      </c>
      <c r="Q369" t="s">
        <v>369</v>
      </c>
    </row>
    <row r="370">
      <c r="D370" t="s">
        <v>43</v>
      </c>
      <c r="E370" t="s">
        <v>315</v>
      </c>
      <c r="F370" t="str">
        <f>VLOOKUP(D370&amp;E370,J:M,4,0)</f>
        <v>2024-02-16</v>
      </c>
      <c r="G370" t="str">
        <f>VLOOKUP(D370&amp;E370,N:Q,4,0)</f>
        <v>2024-02-16</v>
      </c>
      <c r="H370">
        <f>G370-F370</f>
        <v>0</v>
      </c>
      <c r="J370" t="str">
        <f>K370&amp;L370</f>
        <v>Кузнецов Дмитрий ЛьвовичКузнецова Вероника Геннадьевна</v>
      </c>
      <c r="K370" t="s">
        <v>8</v>
      </c>
      <c r="L370" t="s">
        <v>278</v>
      </c>
      <c r="M370" t="s">
        <v>277</v>
      </c>
      <c r="N370" t="str">
        <f>O370&amp;P370</f>
        <v>Орлов Павел ДенисовичИванов Кирилл Кириллович</v>
      </c>
      <c r="O370" t="s">
        <v>43</v>
      </c>
      <c r="P370" t="s">
        <v>250</v>
      </c>
      <c r="Q370" t="s">
        <v>369</v>
      </c>
    </row>
    <row r="371">
      <c r="D371" t="s">
        <v>43</v>
      </c>
      <c r="E371" t="s">
        <v>98</v>
      </c>
      <c r="F371" t="str">
        <f>VLOOKUP(D371&amp;E371,J:M,4,0)</f>
        <v>2024-01-05</v>
      </c>
      <c r="G371" t="str">
        <f>VLOOKUP(D371&amp;E371,N:Q,4,0)</f>
        <v>2024-01-05</v>
      </c>
      <c r="H371">
        <f>G371-F371</f>
        <v>0</v>
      </c>
      <c r="J371" t="str">
        <f>K371&amp;L371</f>
        <v>Сидорова Елена ВасильевнаВасильева Анна Ильинична</v>
      </c>
      <c r="K371" t="s">
        <v>15</v>
      </c>
      <c r="L371" t="s">
        <v>142</v>
      </c>
      <c r="M371" t="s">
        <v>279</v>
      </c>
      <c r="N371" t="str">
        <f>O371&amp;P371</f>
        <v>Белов Алексей КонстантиновичВолкова Анна Кирилловна</v>
      </c>
      <c r="O371" t="s">
        <v>47</v>
      </c>
      <c r="P371" t="s">
        <v>223</v>
      </c>
      <c r="Q371" t="s">
        <v>369</v>
      </c>
    </row>
    <row r="372">
      <c r="D372" t="s">
        <v>43</v>
      </c>
      <c r="E372" t="s">
        <v>222</v>
      </c>
      <c r="F372" t="str">
        <f>VLOOKUP(D372&amp;E372,J:M,4,0)</f>
        <v>2023-12-25</v>
      </c>
      <c r="G372" t="str">
        <f>VLOOKUP(D372&amp;E372,N:Q,4,0)</f>
        <v>2023-12-25</v>
      </c>
      <c r="H372">
        <f>G372-F372</f>
        <v>0</v>
      </c>
      <c r="J372" t="str">
        <f>K372&amp;L372</f>
        <v>Ткаченко Андрей ОлеговичСтепанов Кирилл Павлович</v>
      </c>
      <c r="K372" t="s">
        <v>24</v>
      </c>
      <c r="L372" t="s">
        <v>123</v>
      </c>
      <c r="M372" t="s">
        <v>279</v>
      </c>
      <c r="N372" t="str">
        <f>O372&amp;P372</f>
        <v>Белов Алексей КонстантиновичЕгоров Владимир Артемович</v>
      </c>
      <c r="O372" t="s">
        <v>47</v>
      </c>
      <c r="P372" t="s">
        <v>26</v>
      </c>
      <c r="Q372" t="s">
        <v>368</v>
      </c>
    </row>
    <row r="373">
      <c r="D373" t="s">
        <v>43</v>
      </c>
      <c r="E373" t="s">
        <v>217</v>
      </c>
      <c r="F373" t="str">
        <f>VLOOKUP(D373&amp;E373,J:M,4,0)</f>
        <v>2024-06-12</v>
      </c>
      <c r="G373" t="str">
        <f>VLOOKUP(D373&amp;E373,N:Q,4,0)</f>
        <v>2024-06-12</v>
      </c>
      <c r="H373">
        <f>G373-F373</f>
        <v>0</v>
      </c>
      <c r="J373" t="str">
        <f>K373&amp;L373</f>
        <v>Белов Алексей КонстантиновичНиколаева Александра Александровна</v>
      </c>
      <c r="K373" t="s">
        <v>47</v>
      </c>
      <c r="L373" t="s">
        <v>280</v>
      </c>
      <c r="M373" t="s">
        <v>279</v>
      </c>
      <c r="N373" t="str">
        <f>O373&amp;P373</f>
        <v>Сидорова Елена ВасильевнаНовикова Людмила Павловна</v>
      </c>
      <c r="O373" t="s">
        <v>15</v>
      </c>
      <c r="P373" t="s">
        <v>116</v>
      </c>
      <c r="Q373" t="s">
        <v>368</v>
      </c>
    </row>
    <row r="374">
      <c r="D374" t="s">
        <v>43</v>
      </c>
      <c r="E374" t="s">
        <v>185</v>
      </c>
      <c r="F374" t="str">
        <f>VLOOKUP(D374&amp;E374,J:M,4,0)</f>
        <v>2024-03-14</v>
      </c>
      <c r="G374" t="str">
        <f>VLOOKUP(D374&amp;E374,N:Q,4,0)</f>
        <v>2024-04-10</v>
      </c>
      <c r="H374">
        <f>G374-F374</f>
        <v>27</v>
      </c>
      <c r="J374" t="str">
        <f>K374&amp;L374</f>
        <v>Новикова Ольга ПетровнаНиколаева Алиса Ивановна</v>
      </c>
      <c r="K374" t="s">
        <v>17</v>
      </c>
      <c r="L374" t="s">
        <v>119</v>
      </c>
      <c r="M374" t="s">
        <v>279</v>
      </c>
      <c r="N374" t="str">
        <f>O374&amp;P374</f>
        <v>Новикова Ольга ПетровнаСеменова Анна Андреевна</v>
      </c>
      <c r="O374" t="s">
        <v>17</v>
      </c>
      <c r="P374" t="s">
        <v>148</v>
      </c>
      <c r="Q374" t="s">
        <v>368</v>
      </c>
    </row>
    <row r="375">
      <c r="D375" t="s">
        <v>43</v>
      </c>
      <c r="E375" t="s">
        <v>22</v>
      </c>
      <c r="F375" t="str">
        <f>VLOOKUP(D375&amp;E375,J:M,4,0)</f>
        <v>2024-05-10</v>
      </c>
      <c r="G375" t="str">
        <f>VLOOKUP(D375&amp;E375,N:Q,4,0)</f>
        <v>2024-05-10</v>
      </c>
      <c r="H375">
        <f>G375-F375</f>
        <v>0</v>
      </c>
      <c r="J375" t="str">
        <f>K375&amp;L375</f>
        <v>Орлов Павел ДенисовичНиколаева Алиса Ивановна</v>
      </c>
      <c r="K375" t="s">
        <v>43</v>
      </c>
      <c r="L375" t="s">
        <v>119</v>
      </c>
      <c r="M375" t="s">
        <v>279</v>
      </c>
      <c r="N375" t="str">
        <f>O375&amp;P375</f>
        <v>Ткаченко Андрей ОлеговичФедоров Дмитрий Сергеевич</v>
      </c>
      <c r="O375" t="s">
        <v>24</v>
      </c>
      <c r="P375" t="s">
        <v>56</v>
      </c>
      <c r="Q375" t="s">
        <v>368</v>
      </c>
    </row>
    <row r="376">
      <c r="D376" t="s">
        <v>43</v>
      </c>
      <c r="E376" t="s">
        <v>129</v>
      </c>
      <c r="F376" t="str">
        <f>VLOOKUP(D376&amp;E376,J:M,4,0)</f>
        <v>2023-11-20</v>
      </c>
      <c r="G376" t="str">
        <f>VLOOKUP(D376&amp;E376,N:Q,4,0)</f>
        <v>2023-11-20</v>
      </c>
      <c r="H376">
        <f>G376-F376</f>
        <v>0</v>
      </c>
      <c r="J376" t="str">
        <f>K376&amp;L376</f>
        <v>Семенова Ирина ВалерьевнаВасильева Анна Ильинична</v>
      </c>
      <c r="K376" t="s">
        <v>57</v>
      </c>
      <c r="L376" t="s">
        <v>142</v>
      </c>
      <c r="M376" t="s">
        <v>279</v>
      </c>
      <c r="N376" t="str">
        <f>O376&amp;P376</f>
        <v>Петров Владимир КирилловичСтепанов Кирилл Павлович</v>
      </c>
      <c r="O376" t="s">
        <v>28</v>
      </c>
      <c r="P376" t="s">
        <v>123</v>
      </c>
      <c r="Q376" t="s">
        <v>367</v>
      </c>
    </row>
    <row r="377">
      <c r="D377" t="s">
        <v>43</v>
      </c>
      <c r="E377" t="s">
        <v>75</v>
      </c>
      <c r="F377" t="str">
        <f>VLOOKUP(D377&amp;E377,J:M,4,0)</f>
        <v>2024-04-29</v>
      </c>
      <c r="G377" t="str">
        <f>VLOOKUP(D377&amp;E377,N:Q,4,0)</f>
        <v>2024-04-29</v>
      </c>
      <c r="H377">
        <f>G377-F377</f>
        <v>0</v>
      </c>
      <c r="J377" t="str">
        <f>K377&amp;L377</f>
        <v>Кузнецов Дмитрий ЛьвовичЕгорова Ольга Юрьевна</v>
      </c>
      <c r="K377" t="s">
        <v>8</v>
      </c>
      <c r="L377" t="s">
        <v>83</v>
      </c>
      <c r="M377" t="s">
        <v>279</v>
      </c>
      <c r="N377" t="str">
        <f>O377&amp;P377</f>
        <v>Белов Алексей КонстантиновичАлексеева Ирина Андреевна</v>
      </c>
      <c r="O377" t="s">
        <v>47</v>
      </c>
      <c r="P377" t="s">
        <v>189</v>
      </c>
      <c r="Q377" t="s">
        <v>367</v>
      </c>
    </row>
    <row r="378">
      <c r="D378" t="s">
        <v>43</v>
      </c>
      <c r="E378" t="s">
        <v>39</v>
      </c>
      <c r="F378" t="str">
        <f>VLOOKUP(D378&amp;E378,J:M,4,0)</f>
        <v>2024-01-22</v>
      </c>
      <c r="G378" t="str">
        <f>VLOOKUP(D378&amp;E378,N:Q,4,0)</f>
        <v>2024-01-22</v>
      </c>
      <c r="H378">
        <f>G378-F378</f>
        <v>0</v>
      </c>
      <c r="J378" t="str">
        <f>K378&amp;L378</f>
        <v>Сидорова Елена ВасильевнаВолков Владимир Геннадьевич</v>
      </c>
      <c r="K378" t="s">
        <v>15</v>
      </c>
      <c r="L378" t="s">
        <v>137</v>
      </c>
      <c r="M378" t="s">
        <v>279</v>
      </c>
      <c r="N378" t="str">
        <f>O378&amp;P378</f>
        <v>Ткаченко Андрей ОлеговичВолкова Анна Кирилловна</v>
      </c>
      <c r="O378" t="s">
        <v>24</v>
      </c>
      <c r="P378" t="s">
        <v>223</v>
      </c>
      <c r="Q378" t="s">
        <v>367</v>
      </c>
    </row>
    <row r="379">
      <c r="D379" t="s">
        <v>43</v>
      </c>
      <c r="E379" t="s">
        <v>68</v>
      </c>
      <c r="F379" t="str">
        <f>VLOOKUP(D379&amp;E379,J:M,4,0)</f>
        <v>2024-08-19</v>
      </c>
      <c r="G379" t="str">
        <f>VLOOKUP(D379&amp;E379,N:Q,4,0)</f>
        <v>2024-08-19</v>
      </c>
      <c r="H379">
        <f>G379-F379</f>
        <v>0</v>
      </c>
      <c r="J379" t="str">
        <f>K379&amp;L379</f>
        <v>Семенова Ирина ВалерьевнаСеменов Константин Артемович</v>
      </c>
      <c r="K379" t="s">
        <v>57</v>
      </c>
      <c r="L379" t="s">
        <v>102</v>
      </c>
      <c r="M379" t="s">
        <v>281</v>
      </c>
      <c r="N379" t="str">
        <f>O379&amp;P379</f>
        <v>Семенова Ирина ВалерьевнаПавлова Дарья Андреевна</v>
      </c>
      <c r="O379" t="s">
        <v>57</v>
      </c>
      <c r="P379" t="s">
        <v>78</v>
      </c>
      <c r="Q379" t="s">
        <v>367</v>
      </c>
    </row>
    <row r="380">
      <c r="D380" t="s">
        <v>43</v>
      </c>
      <c r="E380" t="s">
        <v>207</v>
      </c>
      <c r="F380" t="str">
        <f>VLOOKUP(D380&amp;E380,J:M,4,0)</f>
        <v>2024-05-07</v>
      </c>
      <c r="G380" t="str">
        <f>VLOOKUP(D380&amp;E380,N:Q,4,0)</f>
        <v>2024-05-07</v>
      </c>
      <c r="H380">
        <f>G380-F380</f>
        <v>0</v>
      </c>
      <c r="J380" t="str">
        <f>K380&amp;L380</f>
        <v>Иванова Анна СергеевнаПавлова Виктория Викторовна</v>
      </c>
      <c r="K380" t="s">
        <v>11</v>
      </c>
      <c r="L380" t="s">
        <v>77</v>
      </c>
      <c r="M380" t="s">
        <v>281</v>
      </c>
      <c r="N380" t="str">
        <f>O380&amp;P380</f>
        <v>Иванова Анна СергеевнаВолков Владимир Геннадьевич</v>
      </c>
      <c r="O380" t="s">
        <v>11</v>
      </c>
      <c r="P380" t="s">
        <v>137</v>
      </c>
      <c r="Q380" t="s">
        <v>366</v>
      </c>
    </row>
    <row r="381">
      <c r="D381" t="s">
        <v>43</v>
      </c>
      <c r="E381" t="s">
        <v>108</v>
      </c>
      <c r="F381" t="str">
        <f>VLOOKUP(D381&amp;E381,J:M,4,0)</f>
        <v>2023-10-05</v>
      </c>
      <c r="G381" t="str">
        <f>VLOOKUP(D381&amp;E381,N:Q,4,0)</f>
        <v>2023-12-11</v>
      </c>
      <c r="H381">
        <f>G381-F381</f>
        <v>67</v>
      </c>
      <c r="J381" t="str">
        <f>K381&amp;L381</f>
        <v>Петров Владимир КирилловичОрлова Дарья Владимировна</v>
      </c>
      <c r="K381" t="s">
        <v>28</v>
      </c>
      <c r="L381" t="s">
        <v>87</v>
      </c>
      <c r="M381" t="s">
        <v>282</v>
      </c>
      <c r="N381" t="str">
        <f>O381&amp;P381</f>
        <v>Иванова Анна СергеевнаЕгорова Ирина Кирилловна</v>
      </c>
      <c r="O381" t="s">
        <v>11</v>
      </c>
      <c r="P381" t="s">
        <v>140</v>
      </c>
      <c r="Q381" t="s">
        <v>366</v>
      </c>
    </row>
    <row r="382">
      <c r="D382" t="s">
        <v>43</v>
      </c>
      <c r="E382" t="s">
        <v>267</v>
      </c>
      <c r="F382" t="str">
        <f>VLOOKUP(D382&amp;E382,J:M,4,0)</f>
        <v>2024-01-29</v>
      </c>
      <c r="G382" t="str">
        <f>VLOOKUP(D382&amp;E382,N:Q,4,0)</f>
        <v>2024-02-19</v>
      </c>
      <c r="H382">
        <f>G382-F382</f>
        <v>21</v>
      </c>
      <c r="J382" t="str">
        <f>K382&amp;L382</f>
        <v>Семенова Ирина ВалерьевнаНовикова Ксения Алексеевна</v>
      </c>
      <c r="K382" t="s">
        <v>57</v>
      </c>
      <c r="L382" t="s">
        <v>147</v>
      </c>
      <c r="M382" t="s">
        <v>282</v>
      </c>
      <c r="N382" t="str">
        <f>O382&amp;P382</f>
        <v>Петров Владимир КирилловичОрлова Людмила Артемовна</v>
      </c>
      <c r="O382" t="s">
        <v>28</v>
      </c>
      <c r="P382" t="s">
        <v>19</v>
      </c>
      <c r="Q382" t="s">
        <v>364</v>
      </c>
    </row>
    <row r="383">
      <c r="D383" t="s">
        <v>43</v>
      </c>
      <c r="E383" t="s">
        <v>190</v>
      </c>
      <c r="F383" t="str">
        <f>VLOOKUP(D383&amp;E383,J:M,4,0)</f>
        <v>2024-05-09</v>
      </c>
      <c r="G383" t="str">
        <f>VLOOKUP(D383&amp;E383,N:Q,4,0)</f>
        <v>2024-05-09</v>
      </c>
      <c r="H383">
        <f>G383-F383</f>
        <v>0</v>
      </c>
      <c r="J383" t="str">
        <f>K383&amp;L383</f>
        <v>Сидорова Елена ВасильевнаНовиков Дмитрий Иванович</v>
      </c>
      <c r="K383" t="s">
        <v>15</v>
      </c>
      <c r="L383" t="s">
        <v>184</v>
      </c>
      <c r="M383" t="s">
        <v>283</v>
      </c>
      <c r="N383" t="str">
        <f>O383&amp;P383</f>
        <v>Яковлев Артем ИгоревичЕгоров Дмитрий Ильич</v>
      </c>
      <c r="O383" t="s">
        <v>21</v>
      </c>
      <c r="P383" t="s">
        <v>365</v>
      </c>
      <c r="Q383" t="s">
        <v>364</v>
      </c>
    </row>
    <row r="384">
      <c r="D384" t="s">
        <v>43</v>
      </c>
      <c r="E384" t="s">
        <v>91</v>
      </c>
      <c r="F384" t="str">
        <f>VLOOKUP(D384&amp;E384,J:M,4,0)</f>
        <v>2024-05-16</v>
      </c>
      <c r="G384" t="str">
        <f>VLOOKUP(D384&amp;E384,N:Q,4,0)</f>
        <v>2024-05-16</v>
      </c>
      <c r="H384">
        <f>G384-F384</f>
        <v>0</v>
      </c>
      <c r="J384" t="str">
        <f>K384&amp;L384</f>
        <v>Кузнецов Дмитрий ЛьвовичВасильев Кирилл Иванович</v>
      </c>
      <c r="K384" t="s">
        <v>8</v>
      </c>
      <c r="L384" t="s">
        <v>284</v>
      </c>
      <c r="M384" t="s">
        <v>283</v>
      </c>
      <c r="N384" t="str">
        <f>O384&amp;P384</f>
        <v>Сидорова Елена ВасильевнаКозлов Артур Андреевич</v>
      </c>
      <c r="O384" t="s">
        <v>15</v>
      </c>
      <c r="P384" t="s">
        <v>98</v>
      </c>
      <c r="Q384" t="s">
        <v>364</v>
      </c>
    </row>
    <row r="385">
      <c r="D385" t="s">
        <v>43</v>
      </c>
      <c r="E385" t="s">
        <v>37</v>
      </c>
      <c r="F385" t="str">
        <f>VLOOKUP(D385&amp;E385,J:M,4,0)</f>
        <v>2023-11-09</v>
      </c>
      <c r="G385" t="str">
        <f>VLOOKUP(D385&amp;E385,N:Q,4,0)</f>
        <v>2023-11-09</v>
      </c>
      <c r="H385">
        <f>G385-F385</f>
        <v>0</v>
      </c>
      <c r="J385" t="str">
        <f>K385&amp;L385</f>
        <v>Иванова Анна СергеевнаСмирнова Екатерина Егоровна</v>
      </c>
      <c r="K385" t="s">
        <v>11</v>
      </c>
      <c r="L385" t="s">
        <v>212</v>
      </c>
      <c r="M385" t="s">
        <v>283</v>
      </c>
      <c r="N385" t="str">
        <f>O385&amp;P385</f>
        <v>Кузнецов Дмитрий ЛьвовичПопов Роман Сергеевич</v>
      </c>
      <c r="O385" t="s">
        <v>8</v>
      </c>
      <c r="P385" t="s">
        <v>106</v>
      </c>
      <c r="Q385" t="s">
        <v>361</v>
      </c>
    </row>
    <row r="386">
      <c r="D386" t="s">
        <v>43</v>
      </c>
      <c r="E386" t="s">
        <v>186</v>
      </c>
      <c r="F386" t="str">
        <f>VLOOKUP(D386&amp;E386,J:M,4,0)</f>
        <v>2024-04-03</v>
      </c>
      <c r="G386" t="str">
        <f>VLOOKUP(D386&amp;E386,N:Q,4,0)</f>
        <v>2024-06-03</v>
      </c>
      <c r="H386">
        <f>G386-F386</f>
        <v>61</v>
      </c>
      <c r="J386" t="str">
        <f>K386&amp;L386</f>
        <v>Белов Алексей КонстантиновичИванов Павел Павлович</v>
      </c>
      <c r="K386" t="s">
        <v>47</v>
      </c>
      <c r="L386" t="s">
        <v>80</v>
      </c>
      <c r="M386" t="s">
        <v>283</v>
      </c>
      <c r="N386" t="str">
        <f>O386&amp;P386</f>
        <v>Белов Алексей КонстантиновичСидорова Вероника Романовна</v>
      </c>
      <c r="O386" t="s">
        <v>47</v>
      </c>
      <c r="P386" t="s">
        <v>171</v>
      </c>
      <c r="Q386" t="s">
        <v>361</v>
      </c>
    </row>
    <row r="387">
      <c r="D387" t="s">
        <v>43</v>
      </c>
      <c r="E387" t="s">
        <v>119</v>
      </c>
      <c r="F387" t="str">
        <f>VLOOKUP(D387&amp;E387,J:M,4,0)</f>
        <v>2024-01-15</v>
      </c>
      <c r="G387" t="str">
        <f>VLOOKUP(D387&amp;E387,N:Q,4,0)</f>
        <v>2024-03-14</v>
      </c>
      <c r="H387">
        <f>G387-F387</f>
        <v>59</v>
      </c>
      <c r="J387" t="str">
        <f>K387&amp;L387</f>
        <v>Белов Алексей КонстантиновичПавлова София Артемовна</v>
      </c>
      <c r="K387" t="s">
        <v>47</v>
      </c>
      <c r="L387" t="s">
        <v>111</v>
      </c>
      <c r="M387" t="s">
        <v>283</v>
      </c>
      <c r="N387" t="str">
        <f>O387&amp;P387</f>
        <v>Ткаченко Андрей ОлеговичСеменов Иван Дмитриевич</v>
      </c>
      <c r="O387" t="s">
        <v>24</v>
      </c>
      <c r="P387" t="s">
        <v>362</v>
      </c>
      <c r="Q387" t="s">
        <v>361</v>
      </c>
    </row>
    <row r="388">
      <c r="D388" t="s">
        <v>43</v>
      </c>
      <c r="E388" t="s">
        <v>227</v>
      </c>
      <c r="F388" t="str">
        <f>VLOOKUP(D388&amp;E388,J:M,4,0)</f>
        <v>2024-02-13</v>
      </c>
      <c r="G388" t="str">
        <f>VLOOKUP(D388&amp;E388,N:Q,4,0)</f>
        <v>2024-08-30</v>
      </c>
      <c r="H388">
        <f>G388-F388</f>
        <v>199</v>
      </c>
      <c r="J388" t="str">
        <f>K388&amp;L388</f>
        <v>Кузнецов Дмитрий ЛьвовичАлексеева Екатерина Павловна</v>
      </c>
      <c r="K388" t="s">
        <v>8</v>
      </c>
      <c r="L388" t="s">
        <v>96</v>
      </c>
      <c r="M388" t="s">
        <v>283</v>
      </c>
      <c r="N388" t="str">
        <f>O388&amp;P388</f>
        <v>Фролов Сергей ВикторовичСтепанова Валерия Романовна</v>
      </c>
      <c r="O388" t="s">
        <v>5</v>
      </c>
      <c r="P388" t="s">
        <v>99</v>
      </c>
      <c r="Q388" t="s">
        <v>361</v>
      </c>
    </row>
    <row r="389">
      <c r="D389" t="s">
        <v>43</v>
      </c>
      <c r="E389" t="s">
        <v>208</v>
      </c>
      <c r="F389" t="str">
        <f>VLOOKUP(D389&amp;E389,J:M,4,0)</f>
        <v>2024-07-04</v>
      </c>
      <c r="G389" t="str">
        <f>VLOOKUP(D389&amp;E389,N:Q,4,0)</f>
        <v>2024-07-04</v>
      </c>
      <c r="H389">
        <f>G389-F389</f>
        <v>0</v>
      </c>
      <c r="J389" t="str">
        <f>K389&amp;L389</f>
        <v>Новикова Ольга ПетровнаПопова Полина Романовна</v>
      </c>
      <c r="K389" t="s">
        <v>17</v>
      </c>
      <c r="L389" t="s">
        <v>192</v>
      </c>
      <c r="M389" t="s">
        <v>285</v>
      </c>
      <c r="N389" t="str">
        <f>O389&amp;P389</f>
        <v>Яковлев Артем ИгоревичФедорова Людмила Дмитриевна</v>
      </c>
      <c r="O389" t="s">
        <v>21</v>
      </c>
      <c r="P389" t="s">
        <v>215</v>
      </c>
      <c r="Q389" t="s">
        <v>361</v>
      </c>
    </row>
    <row r="390">
      <c r="D390" t="s">
        <v>43</v>
      </c>
      <c r="E390" t="s">
        <v>35</v>
      </c>
      <c r="F390" t="str">
        <f>VLOOKUP(D390&amp;E390,J:M,4,0)</f>
        <v>2023-12-25</v>
      </c>
      <c r="G390" t="str">
        <f>VLOOKUP(D390&amp;E390,N:Q,4,0)</f>
        <v>2023-12-25</v>
      </c>
      <c r="H390">
        <f>G390-F390</f>
        <v>0</v>
      </c>
      <c r="J390" t="str">
        <f>K390&amp;L390</f>
        <v>Иванова Анна СергеевнаНиколаев Артур Артемович</v>
      </c>
      <c r="K390" t="s">
        <v>11</v>
      </c>
      <c r="L390" t="s">
        <v>151</v>
      </c>
      <c r="M390" t="s">
        <v>285</v>
      </c>
      <c r="N390" t="str">
        <f>O390&amp;P390</f>
        <v>Новикова Ольга ПетровнаФедорова Мария Ивановна</v>
      </c>
      <c r="O390" t="s">
        <v>17</v>
      </c>
      <c r="P390" t="s">
        <v>344</v>
      </c>
      <c r="Q390" t="s">
        <v>361</v>
      </c>
    </row>
    <row r="391">
      <c r="D391" t="s">
        <v>43</v>
      </c>
      <c r="E391" t="s">
        <v>147</v>
      </c>
      <c r="F391" t="str">
        <f>VLOOKUP(D391&amp;E391,J:M,4,0)</f>
        <v>2023-11-13</v>
      </c>
      <c r="G391" t="str">
        <f>VLOOKUP(D391&amp;E391,N:Q,4,0)</f>
        <v>2023-11-13</v>
      </c>
      <c r="H391">
        <f>G391-F391</f>
        <v>0</v>
      </c>
      <c r="J391" t="str">
        <f>K391&amp;L391</f>
        <v>Яковлев Артем ИгоревичМорозова Екатерина Олеговна</v>
      </c>
      <c r="K391" t="s">
        <v>21</v>
      </c>
      <c r="L391" t="s">
        <v>65</v>
      </c>
      <c r="M391" t="s">
        <v>286</v>
      </c>
      <c r="N391" t="str">
        <f>O391&amp;P391</f>
        <v>Петров Владимир КирилловичВасильева Мария Ивановна</v>
      </c>
      <c r="O391" t="s">
        <v>28</v>
      </c>
      <c r="P391" t="s">
        <v>135</v>
      </c>
      <c r="Q391" t="s">
        <v>361</v>
      </c>
    </row>
    <row r="392">
      <c r="D392" t="s">
        <v>43</v>
      </c>
      <c r="E392" t="s">
        <v>116</v>
      </c>
      <c r="F392" t="str">
        <f>VLOOKUP(D392&amp;E392,J:M,4,0)</f>
        <v>2023-10-09</v>
      </c>
      <c r="G392" t="str">
        <f>VLOOKUP(D392&amp;E392,N:Q,4,0)</f>
        <v>2023-10-09</v>
      </c>
      <c r="H392">
        <f>G392-F392</f>
        <v>0</v>
      </c>
      <c r="J392" t="str">
        <f>K392&amp;L392</f>
        <v>Иванова Анна СергеевнаПопов Александр Владимирович</v>
      </c>
      <c r="K392" t="s">
        <v>11</v>
      </c>
      <c r="L392" t="s">
        <v>160</v>
      </c>
      <c r="M392" t="s">
        <v>286</v>
      </c>
      <c r="N392" t="str">
        <f>O392&amp;P392</f>
        <v>Белов Алексей КонстантиновичВасильев Кирилл Иванович</v>
      </c>
      <c r="O392" t="s">
        <v>47</v>
      </c>
      <c r="P392" t="s">
        <v>284</v>
      </c>
      <c r="Q392" t="s">
        <v>361</v>
      </c>
    </row>
    <row r="393">
      <c r="D393" t="s">
        <v>43</v>
      </c>
      <c r="E393" t="s">
        <v>170</v>
      </c>
      <c r="F393" t="str">
        <f>VLOOKUP(D393&amp;E393,J:M,4,0)</f>
        <v>2024-06-10</v>
      </c>
      <c r="G393" t="str">
        <f>VLOOKUP(D393&amp;E393,N:Q,4,0)</f>
        <v>2024-06-10</v>
      </c>
      <c r="H393">
        <f>G393-F393</f>
        <v>0</v>
      </c>
      <c r="J393" t="str">
        <f>K393&amp;L393</f>
        <v>Петров Владимир КирилловичКузнецова Виктория Ивановна</v>
      </c>
      <c r="K393" t="s">
        <v>28</v>
      </c>
      <c r="L393" t="s">
        <v>287</v>
      </c>
      <c r="M393" t="s">
        <v>286</v>
      </c>
      <c r="N393" t="str">
        <f>O393&amp;P393</f>
        <v>Белов Алексей КонстантиновичФедорова Анна Кирилловна</v>
      </c>
      <c r="O393" t="s">
        <v>47</v>
      </c>
      <c r="P393" t="s">
        <v>363</v>
      </c>
      <c r="Q393" t="s">
        <v>361</v>
      </c>
    </row>
    <row r="394">
      <c r="D394" t="s">
        <v>43</v>
      </c>
      <c r="E394" t="s">
        <v>6</v>
      </c>
      <c r="F394" t="str">
        <f>VLOOKUP(D394&amp;E394,J:M,4,0)</f>
        <v>2023-09-26</v>
      </c>
      <c r="G394" t="str">
        <f>VLOOKUP(D394&amp;E394,N:Q,4,0)</f>
        <v>2023-09-26</v>
      </c>
      <c r="H394">
        <f>G394-F394</f>
        <v>0</v>
      </c>
      <c r="J394" t="str">
        <f>K394&amp;L394</f>
        <v>Семенова Ирина ВалерьевнаНиколаева Александра Кирилловна</v>
      </c>
      <c r="K394" t="s">
        <v>57</v>
      </c>
      <c r="L394" t="s">
        <v>186</v>
      </c>
      <c r="M394" t="s">
        <v>286</v>
      </c>
      <c r="N394" t="str">
        <f>O394&amp;P394</f>
        <v>Громова Мария ИльиничнаЕгоров Никита Станиславович</v>
      </c>
      <c r="O394" t="s">
        <v>13</v>
      </c>
      <c r="P394" t="s">
        <v>49</v>
      </c>
      <c r="Q394" t="s">
        <v>361</v>
      </c>
    </row>
    <row r="395">
      <c r="D395" t="s">
        <v>43</v>
      </c>
      <c r="E395" t="s">
        <v>87</v>
      </c>
      <c r="F395" t="str">
        <f>VLOOKUP(D395&amp;E395,J:M,4,0)</f>
        <v>2023-11-21</v>
      </c>
      <c r="G395" t="str">
        <f>VLOOKUP(D395&amp;E395,N:Q,4,0)</f>
        <v>2023-11-21</v>
      </c>
      <c r="H395">
        <f>G395-F395</f>
        <v>0</v>
      </c>
      <c r="J395" t="str">
        <f>K395&amp;L395</f>
        <v>Орлов Павел ДенисовичМорозов Матвей Романович</v>
      </c>
      <c r="K395" t="s">
        <v>43</v>
      </c>
      <c r="L395" t="s">
        <v>39</v>
      </c>
      <c r="M395" t="s">
        <v>286</v>
      </c>
      <c r="N395" t="str">
        <f>O395&amp;P395</f>
        <v>Сидорова Елена ВасильевнаНовикова Ксения Алексеевна</v>
      </c>
      <c r="O395" t="s">
        <v>15</v>
      </c>
      <c r="P395" t="s">
        <v>147</v>
      </c>
      <c r="Q395" t="s">
        <v>360</v>
      </c>
    </row>
    <row r="396">
      <c r="D396" t="s">
        <v>43</v>
      </c>
      <c r="E396" t="s">
        <v>158</v>
      </c>
      <c r="F396" t="str">
        <f>VLOOKUP(D396&amp;E396,J:M,4,0)</f>
        <v>2023-11-28</v>
      </c>
      <c r="G396" t="str">
        <f>VLOOKUP(D396&amp;E396,N:Q,4,0)</f>
        <v>2024-02-29</v>
      </c>
      <c r="H396">
        <f>G396-F396</f>
        <v>93</v>
      </c>
      <c r="J396" t="str">
        <f>K396&amp;L396</f>
        <v>Семенова Ирина ВалерьевнаИванова Людмила Алексеевна</v>
      </c>
      <c r="K396" t="s">
        <v>57</v>
      </c>
      <c r="L396" t="s">
        <v>59</v>
      </c>
      <c r="M396" t="s">
        <v>286</v>
      </c>
      <c r="N396" t="str">
        <f>O396&amp;P396</f>
        <v>Кузнецов Дмитрий ЛьвовичАлексеева Анна Олеговна</v>
      </c>
      <c r="O396" t="s">
        <v>8</v>
      </c>
      <c r="P396" t="s">
        <v>339</v>
      </c>
      <c r="Q396" t="s">
        <v>360</v>
      </c>
    </row>
    <row r="397">
      <c r="D397" t="s">
        <v>43</v>
      </c>
      <c r="E397" t="s">
        <v>58</v>
      </c>
      <c r="F397" t="str">
        <f>VLOOKUP(D397&amp;E397,J:M,4,0)</f>
        <v>2024-02-13</v>
      </c>
      <c r="G397" t="str">
        <f>VLOOKUP(D397&amp;E397,N:Q,4,0)</f>
        <v>2024-04-22</v>
      </c>
      <c r="H397">
        <f>G397-F397</f>
        <v>69</v>
      </c>
      <c r="J397" t="str">
        <f>K397&amp;L397</f>
        <v>Сидорова Елена ВасильевнаКузнецова Виктория Ивановна</v>
      </c>
      <c r="K397" t="s">
        <v>15</v>
      </c>
      <c r="L397" t="s">
        <v>287</v>
      </c>
      <c r="M397" t="s">
        <v>286</v>
      </c>
      <c r="N397" t="str">
        <f>O397&amp;P397</f>
        <v>Новикова Ольга ПетровнаНиколаев Артур Артемович</v>
      </c>
      <c r="O397" t="s">
        <v>17</v>
      </c>
      <c r="P397" t="s">
        <v>151</v>
      </c>
      <c r="Q397" t="s">
        <v>360</v>
      </c>
    </row>
    <row r="398">
      <c r="D398" t="s">
        <v>43</v>
      </c>
      <c r="E398" t="s">
        <v>211</v>
      </c>
      <c r="F398" t="str">
        <f>VLOOKUP(D398&amp;E398,J:M,4,0)</f>
        <v>2023-12-18</v>
      </c>
      <c r="G398" t="str">
        <f>VLOOKUP(D398&amp;E398,N:Q,4,0)</f>
        <v>2023-12-18</v>
      </c>
      <c r="H398">
        <f>G398-F398</f>
        <v>0</v>
      </c>
      <c r="J398" t="str">
        <f>K398&amp;L398</f>
        <v>Белов Алексей КонстантиновичПопова София Никитична</v>
      </c>
      <c r="K398" t="s">
        <v>47</v>
      </c>
      <c r="L398" t="s">
        <v>288</v>
      </c>
      <c r="M398" t="s">
        <v>286</v>
      </c>
      <c r="N398" t="str">
        <f>O398&amp;P398</f>
        <v>Новикова Ольга ПетровнаСеменов Михаил Никитич</v>
      </c>
      <c r="O398" t="s">
        <v>17</v>
      </c>
      <c r="P398" t="s">
        <v>172</v>
      </c>
      <c r="Q398" t="s">
        <v>359</v>
      </c>
    </row>
    <row r="399">
      <c r="D399" t="s">
        <v>43</v>
      </c>
      <c r="E399" t="s">
        <v>89</v>
      </c>
      <c r="F399" t="str">
        <f>VLOOKUP(D399&amp;E399,J:M,4,0)</f>
        <v>2023-11-17</v>
      </c>
      <c r="G399" t="str">
        <f>VLOOKUP(D399&amp;E399,N:Q,4,0)</f>
        <v>2023-12-14</v>
      </c>
      <c r="H399">
        <f>G399-F399</f>
        <v>27</v>
      </c>
      <c r="J399" t="str">
        <f>K399&amp;L399</f>
        <v>Новикова Ольга ПетровнаАлексеева Наталья Андреевна</v>
      </c>
      <c r="K399" t="s">
        <v>17</v>
      </c>
      <c r="L399" t="s">
        <v>42</v>
      </c>
      <c r="M399" t="s">
        <v>289</v>
      </c>
      <c r="N399" t="str">
        <f>O399&amp;P399</f>
        <v>Орлов Павел ДенисовичКозлова София Олеговна</v>
      </c>
      <c r="O399" t="s">
        <v>43</v>
      </c>
      <c r="P399" t="s">
        <v>185</v>
      </c>
      <c r="Q399" t="s">
        <v>358</v>
      </c>
    </row>
    <row r="400">
      <c r="D400" t="s">
        <v>43</v>
      </c>
      <c r="E400" t="s">
        <v>160</v>
      </c>
      <c r="F400" t="str">
        <f>VLOOKUP(D400&amp;E400,J:M,4,0)</f>
        <v>2023-12-27</v>
      </c>
      <c r="G400" t="str">
        <f>VLOOKUP(D400&amp;E400,N:Q,4,0)</f>
        <v>2023-12-27</v>
      </c>
      <c r="H400">
        <f>G400-F400</f>
        <v>0</v>
      </c>
      <c r="J400" t="str">
        <f>K400&amp;L400</f>
        <v>Ткаченко Андрей ОлеговичСтепанова Алиса Станиславовна</v>
      </c>
      <c r="K400" t="s">
        <v>24</v>
      </c>
      <c r="L400" t="s">
        <v>67</v>
      </c>
      <c r="M400" t="s">
        <v>290</v>
      </c>
      <c r="N400" t="str">
        <f>O400&amp;P400</f>
        <v>Семенова Ирина ВалерьевнаЛебедева Полина Никитична</v>
      </c>
      <c r="O400" t="s">
        <v>57</v>
      </c>
      <c r="P400" t="s">
        <v>273</v>
      </c>
      <c r="Q400" t="s">
        <v>358</v>
      </c>
    </row>
    <row r="401">
      <c r="D401" t="s">
        <v>43</v>
      </c>
      <c r="E401" t="s">
        <v>113</v>
      </c>
      <c r="F401" t="str">
        <f>VLOOKUP(D401&amp;E401,J:M,4,0)</f>
        <v>2024-03-05</v>
      </c>
      <c r="G401" t="str">
        <f>VLOOKUP(D401&amp;E401,N:Q,4,0)</f>
        <v>2024-03-05</v>
      </c>
      <c r="H401">
        <f>G401-F401</f>
        <v>0</v>
      </c>
      <c r="J401" t="str">
        <f>K401&amp;L401</f>
        <v>Петров Владимир КирилловичСеменов Константин Артемович</v>
      </c>
      <c r="K401" t="s">
        <v>28</v>
      </c>
      <c r="L401" t="s">
        <v>102</v>
      </c>
      <c r="M401" t="s">
        <v>290</v>
      </c>
      <c r="N401" t="str">
        <f>O401&amp;P401</f>
        <v>Семенова Ирина ВалерьевнаКузнецова Екатерина Александровна</v>
      </c>
      <c r="O401" t="s">
        <v>57</v>
      </c>
      <c r="P401" t="s">
        <v>92</v>
      </c>
      <c r="Q401" t="s">
        <v>358</v>
      </c>
    </row>
    <row r="402">
      <c r="D402" t="s">
        <v>43</v>
      </c>
      <c r="E402" t="s">
        <v>206</v>
      </c>
      <c r="F402" t="str">
        <f>VLOOKUP(D402&amp;E402,J:M,4,0)</f>
        <v>2024-08-06</v>
      </c>
      <c r="G402" t="str">
        <f>VLOOKUP(D402&amp;E402,N:Q,4,0)</f>
        <v>2024-08-06</v>
      </c>
      <c r="H402">
        <f>G402-F402</f>
        <v>0</v>
      </c>
      <c r="J402" t="str">
        <f>K402&amp;L402</f>
        <v>Петров Владимир КирилловичВасильев Александр Павлович</v>
      </c>
      <c r="K402" t="s">
        <v>28</v>
      </c>
      <c r="L402" t="s">
        <v>291</v>
      </c>
      <c r="M402" t="s">
        <v>290</v>
      </c>
      <c r="N402" t="str">
        <f>O402&amp;P402</f>
        <v>Фролов Сергей ВикторовичАлексеева Ирина Андреевна</v>
      </c>
      <c r="O402" t="s">
        <v>5</v>
      </c>
      <c r="P402" t="s">
        <v>189</v>
      </c>
      <c r="Q402" t="s">
        <v>357</v>
      </c>
    </row>
    <row r="403">
      <c r="D403" t="s">
        <v>43</v>
      </c>
      <c r="E403" t="s">
        <v>20</v>
      </c>
      <c r="F403" t="str">
        <f>VLOOKUP(D403&amp;E403,J:M,4,0)</f>
        <v>2023-12-18</v>
      </c>
      <c r="G403" t="str">
        <f>VLOOKUP(D403&amp;E403,N:Q,4,0)</f>
        <v>2023-12-18</v>
      </c>
      <c r="H403">
        <f>G403-F403</f>
        <v>0</v>
      </c>
      <c r="J403" t="str">
        <f>K403&amp;L403</f>
        <v>Белов Алексей КонстантиновичПавлов Дмитрий Ильич</v>
      </c>
      <c r="K403" t="s">
        <v>47</v>
      </c>
      <c r="L403" t="s">
        <v>292</v>
      </c>
      <c r="M403" t="s">
        <v>290</v>
      </c>
      <c r="N403" t="str">
        <f>O403&amp;P403</f>
        <v>Сидорова Елена ВасильевнаПавлов Кирилл Иванович</v>
      </c>
      <c r="O403" t="s">
        <v>15</v>
      </c>
      <c r="P403" t="s">
        <v>25</v>
      </c>
      <c r="Q403" t="s">
        <v>356</v>
      </c>
    </row>
    <row r="404">
      <c r="D404" t="s">
        <v>43</v>
      </c>
      <c r="E404" t="s">
        <v>192</v>
      </c>
      <c r="F404" t="str">
        <f>VLOOKUP(D404&amp;E404,J:M,4,0)</f>
        <v>2024-02-05</v>
      </c>
      <c r="G404" t="str">
        <f>VLOOKUP(D404&amp;E404,N:Q,4,0)</f>
        <v>2024-02-05</v>
      </c>
      <c r="H404">
        <f>G404-F404</f>
        <v>0</v>
      </c>
      <c r="J404" t="str">
        <f>K404&amp;L404</f>
        <v>Фролов Сергей ВикторовичВолкова Дарья Юрьевна</v>
      </c>
      <c r="K404" t="s">
        <v>5</v>
      </c>
      <c r="L404" t="s">
        <v>82</v>
      </c>
      <c r="M404" t="s">
        <v>290</v>
      </c>
      <c r="N404" t="str">
        <f>O404&amp;P404</f>
        <v>Ткаченко Андрей ОлеговичИванова Ксения Александровна</v>
      </c>
      <c r="O404" t="s">
        <v>24</v>
      </c>
      <c r="P404" t="s">
        <v>265</v>
      </c>
      <c r="Q404" t="s">
        <v>356</v>
      </c>
    </row>
    <row r="405">
      <c r="D405" t="s">
        <v>43</v>
      </c>
      <c r="E405" t="s">
        <v>258</v>
      </c>
      <c r="F405" t="str">
        <f>VLOOKUP(D405&amp;E405,J:M,4,0)</f>
        <v>2023-12-28</v>
      </c>
      <c r="G405" t="str">
        <f>VLOOKUP(D405&amp;E405,N:Q,4,0)</f>
        <v>2023-12-28</v>
      </c>
      <c r="H405">
        <f>G405-F405</f>
        <v>0</v>
      </c>
      <c r="J405" t="str">
        <f>K405&amp;L405</f>
        <v>Громова Мария ИльиничнаОрлова Дарья Владимировна</v>
      </c>
      <c r="K405" t="s">
        <v>13</v>
      </c>
      <c r="L405" t="s">
        <v>87</v>
      </c>
      <c r="M405" t="s">
        <v>293</v>
      </c>
      <c r="N405" t="str">
        <f>O405&amp;P405</f>
        <v>Петров Владимир КирилловичКозлов Дмитрий Сергеевич</v>
      </c>
      <c r="O405" t="s">
        <v>28</v>
      </c>
      <c r="P405" t="s">
        <v>222</v>
      </c>
      <c r="Q405" t="s">
        <v>356</v>
      </c>
    </row>
    <row r="406">
      <c r="D406" t="s">
        <v>43</v>
      </c>
      <c r="E406" t="s">
        <v>128</v>
      </c>
      <c r="F406" t="str">
        <f>VLOOKUP(D406&amp;E406,J:M,4,0)</f>
        <v>2024-08-26</v>
      </c>
      <c r="G406" t="str">
        <f>VLOOKUP(D406&amp;E406,N:Q,4,0)</f>
        <v>2024-08-26</v>
      </c>
      <c r="H406">
        <f>G406-F406</f>
        <v>0</v>
      </c>
      <c r="J406" t="str">
        <f>K406&amp;L406</f>
        <v>Петров Владимир КирилловичЕгоров Андрей Дмитриевич</v>
      </c>
      <c r="K406" t="s">
        <v>28</v>
      </c>
      <c r="L406" t="s">
        <v>272</v>
      </c>
      <c r="M406" t="s">
        <v>293</v>
      </c>
      <c r="N406" t="str">
        <f>O406&amp;P406</f>
        <v>Ткаченко Андрей ОлеговичИванов Кирилл Кириллович</v>
      </c>
      <c r="O406" t="s">
        <v>24</v>
      </c>
      <c r="P406" t="s">
        <v>250</v>
      </c>
      <c r="Q406" t="s">
        <v>356</v>
      </c>
    </row>
    <row r="407">
      <c r="D407" t="s">
        <v>43</v>
      </c>
      <c r="E407" t="s">
        <v>257</v>
      </c>
      <c r="F407" t="str">
        <f>VLOOKUP(D407&amp;E407,J:M,4,0)</f>
        <v>2024-05-20</v>
      </c>
      <c r="G407" t="str">
        <f>VLOOKUP(D407&amp;E407,N:Q,4,0)</f>
        <v>2024-05-20</v>
      </c>
      <c r="H407">
        <f>G407-F407</f>
        <v>0</v>
      </c>
      <c r="J407" t="str">
        <f>K407&amp;L407</f>
        <v>Петров Владимир КирилловичКузнецова Людмила Сергеевна</v>
      </c>
      <c r="K407" t="s">
        <v>28</v>
      </c>
      <c r="L407" t="s">
        <v>55</v>
      </c>
      <c r="M407" t="s">
        <v>293</v>
      </c>
      <c r="N407" t="str">
        <f>O407&amp;P407</f>
        <v>Кузнецов Дмитрий ЛьвовичФедорова Людмила Дмитриевна</v>
      </c>
      <c r="O407" t="s">
        <v>8</v>
      </c>
      <c r="P407" t="s">
        <v>215</v>
      </c>
      <c r="Q407" t="s">
        <v>356</v>
      </c>
    </row>
    <row r="408">
      <c r="D408" t="s">
        <v>43</v>
      </c>
      <c r="E408" t="s">
        <v>327</v>
      </c>
      <c r="F408" t="str">
        <f>VLOOKUP(D408&amp;E408,J:M,4,0)</f>
        <v>2024-03-04</v>
      </c>
      <c r="G408" t="str">
        <f>VLOOKUP(D408&amp;E408,N:Q,4,0)</f>
        <v>2024-03-04</v>
      </c>
      <c r="H408">
        <f>G408-F408</f>
        <v>0</v>
      </c>
      <c r="J408" t="str">
        <f>K408&amp;L408</f>
        <v>Новикова Ольга ПетровнаСидорова София Дмитриевна</v>
      </c>
      <c r="K408" t="s">
        <v>17</v>
      </c>
      <c r="L408" t="s">
        <v>254</v>
      </c>
      <c r="M408" t="s">
        <v>293</v>
      </c>
      <c r="N408" t="str">
        <f>O408&amp;P408</f>
        <v>Иванова Анна СергеевнаПавлова Виктория Викторовна</v>
      </c>
      <c r="O408" t="s">
        <v>11</v>
      </c>
      <c r="P408" t="s">
        <v>77</v>
      </c>
      <c r="Q408" t="s">
        <v>355</v>
      </c>
    </row>
    <row r="409">
      <c r="D409" t="s">
        <v>43</v>
      </c>
      <c r="E409" t="s">
        <v>63</v>
      </c>
      <c r="F409" t="str">
        <f>VLOOKUP(D409&amp;E409,J:M,4,0)</f>
        <v>2023-09-19</v>
      </c>
      <c r="G409" t="str">
        <f>VLOOKUP(D409&amp;E409,N:Q,4,0)</f>
        <v>2023-09-19</v>
      </c>
      <c r="H409">
        <f>G409-F409</f>
        <v>0</v>
      </c>
      <c r="J409" t="str">
        <f>K409&amp;L409</f>
        <v>Иванова Анна СергеевнаКозлова София Олеговна</v>
      </c>
      <c r="K409" t="s">
        <v>11</v>
      </c>
      <c r="L409" t="s">
        <v>185</v>
      </c>
      <c r="M409" t="s">
        <v>294</v>
      </c>
      <c r="N409" t="str">
        <f>O409&amp;P409</f>
        <v>Фролов Сергей ВикторовичКузнецова Екатерина Александровна</v>
      </c>
      <c r="O409" t="s">
        <v>5</v>
      </c>
      <c r="P409" t="s">
        <v>92</v>
      </c>
      <c r="Q409" t="s">
        <v>355</v>
      </c>
    </row>
    <row r="410">
      <c r="D410" t="s">
        <v>43</v>
      </c>
      <c r="E410" t="s">
        <v>44</v>
      </c>
      <c r="F410" t="str">
        <f>VLOOKUP(D410&amp;E410,J:M,4,0)</f>
        <v>2023-09-11</v>
      </c>
      <c r="G410" t="str">
        <f>VLOOKUP(D410&amp;E410,N:Q,4,0)</f>
        <v>2023-11-30</v>
      </c>
      <c r="H410">
        <f>G410-F410</f>
        <v>80</v>
      </c>
      <c r="J410" t="str">
        <f>K410&amp;L410</f>
        <v>Громова Мария ИльиничнаКузнецов Егор Геннадьевич</v>
      </c>
      <c r="K410" t="s">
        <v>13</v>
      </c>
      <c r="L410" t="s">
        <v>162</v>
      </c>
      <c r="M410" t="s">
        <v>294</v>
      </c>
      <c r="N410" t="str">
        <f>O410&amp;P410</f>
        <v>Белов Алексей КонстантиновичАлексеева Наталья Андреевна</v>
      </c>
      <c r="O410" t="s">
        <v>47</v>
      </c>
      <c r="P410" t="s">
        <v>42</v>
      </c>
      <c r="Q410" t="s">
        <v>354</v>
      </c>
    </row>
    <row r="411">
      <c r="D411" t="s">
        <v>43</v>
      </c>
      <c r="E411" t="s">
        <v>302</v>
      </c>
      <c r="F411" t="str">
        <f>VLOOKUP(D411&amp;E411,J:M,4,0)</f>
        <v>2024-02-21</v>
      </c>
      <c r="G411" t="str">
        <f>VLOOKUP(D411&amp;E411,N:Q,4,0)</f>
        <v>2024-02-21</v>
      </c>
      <c r="H411">
        <f>G411-F411</f>
        <v>0</v>
      </c>
      <c r="J411" t="str">
        <f>K411&amp;L411</f>
        <v>Кузнецов Дмитрий ЛьвовичВасильева Анна Ильинична</v>
      </c>
      <c r="K411" t="s">
        <v>8</v>
      </c>
      <c r="L411" t="s">
        <v>142</v>
      </c>
      <c r="M411" t="s">
        <v>295</v>
      </c>
      <c r="N411" t="str">
        <f>O411&amp;P411</f>
        <v>Яковлев Артем ИгоревичКозлов Артур Андреевич</v>
      </c>
      <c r="O411" t="s">
        <v>21</v>
      </c>
      <c r="P411" t="s">
        <v>98</v>
      </c>
      <c r="Q411" t="s">
        <v>353</v>
      </c>
    </row>
    <row r="412">
      <c r="D412" t="s">
        <v>43</v>
      </c>
      <c r="E412" t="s">
        <v>67</v>
      </c>
      <c r="F412" t="str">
        <f>VLOOKUP(D412&amp;E412,J:M,4,0)</f>
        <v>2024-07-05</v>
      </c>
      <c r="G412" t="str">
        <f>VLOOKUP(D412&amp;E412,N:Q,4,0)</f>
        <v>2024-07-05</v>
      </c>
      <c r="H412">
        <f>G412-F412</f>
        <v>0</v>
      </c>
      <c r="J412" t="str">
        <f>K412&amp;L412</f>
        <v>Белов Алексей КонстантиновичИванов Матвей Юрьевич</v>
      </c>
      <c r="K412" t="s">
        <v>47</v>
      </c>
      <c r="L412" t="s">
        <v>16</v>
      </c>
      <c r="M412" t="s">
        <v>295</v>
      </c>
      <c r="N412" t="str">
        <f>O412&amp;P412</f>
        <v>Орлов Павел ДенисовичНиколаева Александра Кирилловна</v>
      </c>
      <c r="O412" t="s">
        <v>43</v>
      </c>
      <c r="P412" t="s">
        <v>186</v>
      </c>
      <c r="Q412" t="s">
        <v>353</v>
      </c>
    </row>
    <row r="413">
      <c r="D413" t="s">
        <v>43</v>
      </c>
      <c r="E413" t="s">
        <v>174</v>
      </c>
      <c r="F413" t="str">
        <f>VLOOKUP(D413&amp;E413,J:M,4,0)</f>
        <v>2023-11-06</v>
      </c>
      <c r="G413" t="str">
        <f>VLOOKUP(D413&amp;E413,N:Q,4,0)</f>
        <v>2024-01-08</v>
      </c>
      <c r="H413">
        <f>G413-F413</f>
        <v>63</v>
      </c>
      <c r="J413" t="str">
        <f>K413&amp;L413</f>
        <v>Ткаченко Андрей ОлеговичСидоров Артур Алексеевич</v>
      </c>
      <c r="K413" t="s">
        <v>24</v>
      </c>
      <c r="L413" t="s">
        <v>50</v>
      </c>
      <c r="M413" t="s">
        <v>295</v>
      </c>
      <c r="N413" t="str">
        <f>O413&amp;P413</f>
        <v>Яковлев Артем ИгоревичНиколаев Артур Артемович</v>
      </c>
      <c r="O413" t="s">
        <v>21</v>
      </c>
      <c r="P413" t="s">
        <v>151</v>
      </c>
      <c r="Q413" t="s">
        <v>353</v>
      </c>
    </row>
    <row r="414">
      <c r="D414" t="s">
        <v>43</v>
      </c>
      <c r="E414" t="s">
        <v>56</v>
      </c>
      <c r="F414" t="str">
        <f>VLOOKUP(D414&amp;E414,J:M,4,0)</f>
        <v>2024-04-01</v>
      </c>
      <c r="G414" t="str">
        <f>VLOOKUP(D414&amp;E414,N:Q,4,0)</f>
        <v>2024-07-24</v>
      </c>
      <c r="H414">
        <f>G414-F414</f>
        <v>114</v>
      </c>
      <c r="J414" t="str">
        <f>K414&amp;L414</f>
        <v>Орлов Павел ДенисовичНиколаев Владимир Геннадьевич</v>
      </c>
      <c r="K414" t="s">
        <v>43</v>
      </c>
      <c r="L414" t="s">
        <v>267</v>
      </c>
      <c r="M414" t="s">
        <v>295</v>
      </c>
      <c r="N414" t="str">
        <f>O414&amp;P414</f>
        <v>Сидорова Елена ВасильевнаНиколаева Александра Кирилловна</v>
      </c>
      <c r="O414" t="s">
        <v>15</v>
      </c>
      <c r="P414" t="s">
        <v>186</v>
      </c>
      <c r="Q414" t="s">
        <v>353</v>
      </c>
    </row>
    <row r="415">
      <c r="D415" t="s">
        <v>43</v>
      </c>
      <c r="E415" t="s">
        <v>105</v>
      </c>
      <c r="F415" t="str">
        <f>VLOOKUP(D415&amp;E415,J:M,4,0)</f>
        <v>2023-10-31</v>
      </c>
      <c r="G415" t="str">
        <f>VLOOKUP(D415&amp;E415,N:Q,4,0)</f>
        <v>2023-10-31</v>
      </c>
      <c r="H415">
        <f>G415-F415</f>
        <v>0</v>
      </c>
      <c r="J415" t="str">
        <f>K415&amp;L415</f>
        <v>Петров Владимир КирилловичПавлов Кирилл Иванович</v>
      </c>
      <c r="K415" t="s">
        <v>28</v>
      </c>
      <c r="L415" t="s">
        <v>25</v>
      </c>
      <c r="M415" t="s">
        <v>295</v>
      </c>
      <c r="N415" t="str">
        <f>O415&amp;P415</f>
        <v>Яковлев Артем ИгоревичСеменов Сергей Викторович</v>
      </c>
      <c r="O415" t="s">
        <v>21</v>
      </c>
      <c r="P415" t="s">
        <v>30</v>
      </c>
      <c r="Q415" t="s">
        <v>353</v>
      </c>
    </row>
    <row r="416">
      <c r="D416" t="s">
        <v>43</v>
      </c>
      <c r="E416" t="s">
        <v>204</v>
      </c>
      <c r="F416" t="str">
        <f>VLOOKUP(D416&amp;E416,J:M,4,0)</f>
        <v>2023-11-24</v>
      </c>
      <c r="G416" t="str">
        <f>VLOOKUP(D416&amp;E416,N:Q,4,0)</f>
        <v>2023-11-24</v>
      </c>
      <c r="H416">
        <f>G416-F416</f>
        <v>0</v>
      </c>
      <c r="J416" t="str">
        <f>K416&amp;L416</f>
        <v>Иванова Анна СергеевнаНиколаева Екатерина Никитична</v>
      </c>
      <c r="K416" t="s">
        <v>11</v>
      </c>
      <c r="L416" t="s">
        <v>270</v>
      </c>
      <c r="M416" t="s">
        <v>295</v>
      </c>
      <c r="N416" t="str">
        <f>O416&amp;P416</f>
        <v>Яковлев Артем ИгоревичВолков Матвей Кириллович</v>
      </c>
      <c r="O416" t="s">
        <v>21</v>
      </c>
      <c r="P416" t="s">
        <v>321</v>
      </c>
      <c r="Q416" t="s">
        <v>352</v>
      </c>
    </row>
    <row r="417">
      <c r="D417" t="s">
        <v>43</v>
      </c>
      <c r="E417" t="s">
        <v>215</v>
      </c>
      <c r="F417" t="str">
        <f>VLOOKUP(D417&amp;E417,J:M,4,0)</f>
        <v>2024-06-20</v>
      </c>
      <c r="G417" t="str">
        <f>VLOOKUP(D417&amp;E417,N:Q,4,0)</f>
        <v>2024-06-20</v>
      </c>
      <c r="H417">
        <f>G417-F417</f>
        <v>0</v>
      </c>
      <c r="J417" t="str">
        <f>K417&amp;L417</f>
        <v>Кузнецов Дмитрий ЛьвовичПавлова Дарья Андреевна</v>
      </c>
      <c r="K417" t="s">
        <v>8</v>
      </c>
      <c r="L417" t="s">
        <v>78</v>
      </c>
      <c r="M417" t="s">
        <v>296</v>
      </c>
      <c r="N417" t="str">
        <f>O417&amp;P417</f>
        <v>Орлов Павел ДенисовичФедоров Дмитрий Сергеевич</v>
      </c>
      <c r="O417" t="s">
        <v>43</v>
      </c>
      <c r="P417" t="s">
        <v>56</v>
      </c>
      <c r="Q417" t="s">
        <v>351</v>
      </c>
    </row>
    <row r="418">
      <c r="D418" t="s">
        <v>28</v>
      </c>
      <c r="E418" t="s">
        <v>291</v>
      </c>
      <c r="F418" t="str">
        <f>VLOOKUP(D418&amp;E418,J:M,4,0)</f>
        <v>2024-01-24</v>
      </c>
      <c r="G418" t="str">
        <f>VLOOKUP(D418&amp;E418,N:Q,4,0)</f>
        <v>2024-01-24</v>
      </c>
      <c r="H418">
        <f>G418-F418</f>
        <v>0</v>
      </c>
      <c r="J418" t="str">
        <f>K418&amp;L418</f>
        <v>Громова Мария ИльиничнаПавлов Андрей Викторович</v>
      </c>
      <c r="K418" t="s">
        <v>13</v>
      </c>
      <c r="L418" t="s">
        <v>131</v>
      </c>
      <c r="M418" t="s">
        <v>296</v>
      </c>
      <c r="N418" t="str">
        <f>O418&amp;P418</f>
        <v>Петров Владимир КирилловичПавлов Дмитрий Ильич</v>
      </c>
      <c r="O418" t="s">
        <v>28</v>
      </c>
      <c r="P418" t="s">
        <v>292</v>
      </c>
      <c r="Q418" t="s">
        <v>351</v>
      </c>
    </row>
    <row r="419">
      <c r="D419" t="s">
        <v>28</v>
      </c>
      <c r="E419" t="s">
        <v>284</v>
      </c>
      <c r="F419" t="str">
        <f>VLOOKUP(D419&amp;E419,J:M,4,0)</f>
        <v>2024-02-12</v>
      </c>
      <c r="G419" t="str">
        <f>VLOOKUP(D419&amp;E419,N:Q,4,0)</f>
        <v>2024-02-12</v>
      </c>
      <c r="H419">
        <f>G419-F419</f>
        <v>0</v>
      </c>
      <c r="J419" t="str">
        <f>K419&amp;L419</f>
        <v>Сидорова Елена ВасильевнаВолкова Дарья Юрьевна</v>
      </c>
      <c r="K419" t="s">
        <v>15</v>
      </c>
      <c r="L419" t="s">
        <v>82</v>
      </c>
      <c r="M419" t="s">
        <v>296</v>
      </c>
      <c r="N419" t="str">
        <f>O419&amp;P419</f>
        <v>Новикова Ольга ПетровнаНиколаев Артур Артемович</v>
      </c>
      <c r="O419" t="s">
        <v>17</v>
      </c>
      <c r="P419" t="s">
        <v>151</v>
      </c>
      <c r="Q419" t="s">
        <v>351</v>
      </c>
    </row>
    <row r="420">
      <c r="D420" t="s">
        <v>28</v>
      </c>
      <c r="E420" t="s">
        <v>142</v>
      </c>
      <c r="F420" t="str">
        <f>VLOOKUP(D420&amp;E420,J:M,4,0)</f>
        <v>2023-10-20</v>
      </c>
      <c r="G420" t="str">
        <f>VLOOKUP(D420&amp;E420,N:Q,4,0)</f>
        <v>2023-10-20</v>
      </c>
      <c r="H420">
        <f>G420-F420</f>
        <v>0</v>
      </c>
      <c r="J420" t="str">
        <f>K420&amp;L420</f>
        <v>Фролов Сергей ВикторовичНиколаева Екатерина Никитична</v>
      </c>
      <c r="K420" t="s">
        <v>5</v>
      </c>
      <c r="L420" t="s">
        <v>270</v>
      </c>
      <c r="M420" t="s">
        <v>296</v>
      </c>
      <c r="N420" t="str">
        <f>O420&amp;P420</f>
        <v>Семенова Ирина ВалерьевнаМорозова Екатерина Олеговна</v>
      </c>
      <c r="O420" t="s">
        <v>57</v>
      </c>
      <c r="P420" t="s">
        <v>65</v>
      </c>
      <c r="Q420" t="s">
        <v>351</v>
      </c>
    </row>
    <row r="421">
      <c r="D421" t="s">
        <v>28</v>
      </c>
      <c r="E421" t="s">
        <v>135</v>
      </c>
      <c r="F421" t="str">
        <f>VLOOKUP(D421&amp;E421,J:M,4,0)</f>
        <v>2024-04-15</v>
      </c>
      <c r="G421" t="str">
        <f>VLOOKUP(D421&amp;E421,N:Q,4,0)</f>
        <v>2024-04-15</v>
      </c>
      <c r="H421">
        <f>G421-F421</f>
        <v>0</v>
      </c>
      <c r="J421" t="str">
        <f>K421&amp;L421</f>
        <v>Громова Мария ИльиничнаНовиков Дмитрий Иванович</v>
      </c>
      <c r="K421" t="s">
        <v>13</v>
      </c>
      <c r="L421" t="s">
        <v>184</v>
      </c>
      <c r="M421" t="s">
        <v>297</v>
      </c>
      <c r="N421" t="str">
        <f>O421&amp;P421</f>
        <v>Сидорова Елена ВасильевнаКозлова София Олеговна</v>
      </c>
      <c r="O421" t="s">
        <v>15</v>
      </c>
      <c r="P421" t="s">
        <v>185</v>
      </c>
      <c r="Q421" t="s">
        <v>351</v>
      </c>
    </row>
    <row r="422">
      <c r="D422" t="s">
        <v>28</v>
      </c>
      <c r="E422" t="s">
        <v>161</v>
      </c>
      <c r="F422" t="str">
        <f>VLOOKUP(D422&amp;E422,J:M,4,0)</f>
        <v>2023-11-20</v>
      </c>
      <c r="G422" t="str">
        <f>VLOOKUP(D422&amp;E422,N:Q,4,0)</f>
        <v>2023-11-20</v>
      </c>
      <c r="H422">
        <f>G422-F422</f>
        <v>0</v>
      </c>
      <c r="J422" t="str">
        <f>K422&amp;L422</f>
        <v>Фролов Сергей ВикторовичНиколаев Владимир Егорович</v>
      </c>
      <c r="K422" t="s">
        <v>5</v>
      </c>
      <c r="L422" t="s">
        <v>190</v>
      </c>
      <c r="M422" t="s">
        <v>297</v>
      </c>
      <c r="N422" t="str">
        <f>O422&amp;P422</f>
        <v>Фролов Сергей ВикторовичНовикова Анна Ильинична</v>
      </c>
      <c r="O422" t="s">
        <v>5</v>
      </c>
      <c r="P422" t="s">
        <v>35</v>
      </c>
      <c r="Q422" t="s">
        <v>351</v>
      </c>
    </row>
    <row r="423">
      <c r="D423" t="s">
        <v>28</v>
      </c>
      <c r="E423" t="s">
        <v>272</v>
      </c>
      <c r="F423" t="str">
        <f>VLOOKUP(D423&amp;E423,J:M,4,0)</f>
        <v>2024-01-09</v>
      </c>
      <c r="G423" t="str">
        <f>VLOOKUP(D423&amp;E423,N:Q,4,0)</f>
        <v>2024-01-25</v>
      </c>
      <c r="H423">
        <f>G423-F423</f>
        <v>16</v>
      </c>
      <c r="J423" t="str">
        <f>K423&amp;L423</f>
        <v>Громова Мария ИльиничнаВасильев Кирилл Иванович</v>
      </c>
      <c r="K423" t="s">
        <v>13</v>
      </c>
      <c r="L423" t="s">
        <v>284</v>
      </c>
      <c r="M423" t="s">
        <v>298</v>
      </c>
      <c r="N423" t="str">
        <f>O423&amp;P423</f>
        <v>Ткаченко Андрей ОлеговичИванова Ксения Александровна</v>
      </c>
      <c r="O423" t="s">
        <v>24</v>
      </c>
      <c r="P423" t="s">
        <v>265</v>
      </c>
      <c r="Q423" t="s">
        <v>351</v>
      </c>
    </row>
    <row r="424">
      <c r="D424" t="s">
        <v>28</v>
      </c>
      <c r="E424" t="s">
        <v>365</v>
      </c>
      <c r="F424" t="str">
        <f>VLOOKUP(D424&amp;E424,J:M,4,0)</f>
        <v>2024-08-15</v>
      </c>
      <c r="G424" t="str">
        <f>VLOOKUP(D424&amp;E424,N:Q,4,0)</f>
        <v>2024-08-15</v>
      </c>
      <c r="H424">
        <f>G424-F424</f>
        <v>0</v>
      </c>
      <c r="J424" t="str">
        <f>K424&amp;L424</f>
        <v>Громова Мария ИльиничнаСеменов Алексей Михайлович</v>
      </c>
      <c r="K424" t="s">
        <v>13</v>
      </c>
      <c r="L424" t="s">
        <v>299</v>
      </c>
      <c r="M424" t="s">
        <v>300</v>
      </c>
      <c r="N424" t="str">
        <f>O424&amp;P424</f>
        <v>Кузнецов Дмитрий ЛьвовичИванова Людмила Алексеевна</v>
      </c>
      <c r="O424" t="s">
        <v>8</v>
      </c>
      <c r="P424" t="s">
        <v>59</v>
      </c>
      <c r="Q424" t="s">
        <v>351</v>
      </c>
    </row>
    <row r="425">
      <c r="D425" t="s">
        <v>28</v>
      </c>
      <c r="E425" t="s">
        <v>49</v>
      </c>
      <c r="F425" t="str">
        <f>VLOOKUP(D425&amp;E425,J:M,4,0)</f>
        <v>2023-11-15</v>
      </c>
      <c r="G425" t="str">
        <f>VLOOKUP(D425&amp;E425,N:Q,4,0)</f>
        <v>2023-12-18</v>
      </c>
      <c r="H425">
        <f>G425-F425</f>
        <v>33</v>
      </c>
      <c r="J425" t="str">
        <f>K425&amp;L425</f>
        <v>Новикова Ольга ПетровнаНиколаев Артем Александрович</v>
      </c>
      <c r="K425" t="s">
        <v>17</v>
      </c>
      <c r="L425" t="s">
        <v>248</v>
      </c>
      <c r="M425" t="s">
        <v>300</v>
      </c>
      <c r="N425" t="str">
        <f>O425&amp;P425</f>
        <v>Яковлев Артем ИгоревичМорозова Татьяна Кирилловна</v>
      </c>
      <c r="O425" t="s">
        <v>21</v>
      </c>
      <c r="P425" t="s">
        <v>218</v>
      </c>
      <c r="Q425" t="s">
        <v>351</v>
      </c>
    </row>
    <row r="426">
      <c r="D426" t="s">
        <v>28</v>
      </c>
      <c r="E426" t="s">
        <v>240</v>
      </c>
      <c r="F426" t="str">
        <f>VLOOKUP(D426&amp;E426,J:M,4,0)</f>
        <v>2023-12-18</v>
      </c>
      <c r="G426" t="str">
        <f>VLOOKUP(D426&amp;E426,N:Q,4,0)</f>
        <v>2023-12-18</v>
      </c>
      <c r="H426">
        <f>G426-F426</f>
        <v>0</v>
      </c>
      <c r="J426" t="str">
        <f>K426&amp;L426</f>
        <v>Громова Мария ИльиничнаЛебедев Кирилл Сергеевич</v>
      </c>
      <c r="K426" t="s">
        <v>13</v>
      </c>
      <c r="L426" t="s">
        <v>133</v>
      </c>
      <c r="M426" t="s">
        <v>300</v>
      </c>
      <c r="N426" t="str">
        <f>O426&amp;P426</f>
        <v>Фролов Сергей ВикторовичСтепанова Валерия Романовна</v>
      </c>
      <c r="O426" t="s">
        <v>5</v>
      </c>
      <c r="P426" t="s">
        <v>99</v>
      </c>
      <c r="Q426" t="s">
        <v>351</v>
      </c>
    </row>
    <row r="427">
      <c r="D427" t="s">
        <v>28</v>
      </c>
      <c r="E427" t="s">
        <v>16</v>
      </c>
      <c r="F427" t="str">
        <f>VLOOKUP(D427&amp;E427,J:M,4,0)</f>
        <v>2023-12-05</v>
      </c>
      <c r="G427" t="str">
        <f>VLOOKUP(D427&amp;E427,N:Q,4,0)</f>
        <v>2023-12-05</v>
      </c>
      <c r="H427">
        <f>G427-F427</f>
        <v>0</v>
      </c>
      <c r="J427" t="str">
        <f>K427&amp;L427</f>
        <v>Ткаченко Андрей ОлеговичЕгоров Никита Станиславович</v>
      </c>
      <c r="K427" t="s">
        <v>24</v>
      </c>
      <c r="L427" t="s">
        <v>49</v>
      </c>
      <c r="M427" t="s">
        <v>301</v>
      </c>
      <c r="N427" t="str">
        <f>O427&amp;P427</f>
        <v>Белов Алексей КонстантиновичСтепанова Ирина Артемовна</v>
      </c>
      <c r="O427" t="s">
        <v>47</v>
      </c>
      <c r="P427" t="s">
        <v>45</v>
      </c>
      <c r="Q427" t="s">
        <v>350</v>
      </c>
    </row>
    <row r="428">
      <c r="D428" t="s">
        <v>28</v>
      </c>
      <c r="E428" t="s">
        <v>71</v>
      </c>
      <c r="F428" t="str">
        <f>VLOOKUP(D428&amp;E428,J:M,4,0)</f>
        <v>2024-06-05</v>
      </c>
      <c r="G428" t="str">
        <f>VLOOKUP(D428&amp;E428,N:Q,4,0)</f>
        <v>2024-06-05</v>
      </c>
      <c r="H428">
        <f>G428-F428</f>
        <v>0</v>
      </c>
      <c r="J428" t="str">
        <f>K428&amp;L428</f>
        <v>Белов Алексей КонстантиновичАлексеева Наталья Андреевна</v>
      </c>
      <c r="K428" t="s">
        <v>47</v>
      </c>
      <c r="L428" t="s">
        <v>42</v>
      </c>
      <c r="M428" t="s">
        <v>301</v>
      </c>
      <c r="N428" t="str">
        <f>O428&amp;P428</f>
        <v>Яковлев Артем ИгоревичСтепанов Георгий Иванович</v>
      </c>
      <c r="O428" t="s">
        <v>21</v>
      </c>
      <c r="P428" t="s">
        <v>44</v>
      </c>
      <c r="Q428" t="s">
        <v>350</v>
      </c>
    </row>
    <row r="429">
      <c r="D429" t="s">
        <v>28</v>
      </c>
      <c r="E429" t="s">
        <v>80</v>
      </c>
      <c r="F429" t="str">
        <f>VLOOKUP(D429&amp;E429,J:M,4,0)</f>
        <v>2023-10-16</v>
      </c>
      <c r="G429" t="str">
        <f>VLOOKUP(D429&amp;E429,N:Q,4,0)</f>
        <v>2023-10-16</v>
      </c>
      <c r="H429">
        <f>G429-F429</f>
        <v>0</v>
      </c>
      <c r="J429" t="str">
        <f>K429&amp;L429</f>
        <v>Сидорова Елена ВасильевнаПетрова Татьяна Дмитриевна</v>
      </c>
      <c r="K429" t="s">
        <v>15</v>
      </c>
      <c r="L429" t="s">
        <v>234</v>
      </c>
      <c r="M429" t="s">
        <v>301</v>
      </c>
      <c r="N429" t="str">
        <f>O429&amp;P429</f>
        <v>Орлов Павел ДенисовичИванов Никита Павлович</v>
      </c>
      <c r="O429" t="s">
        <v>43</v>
      </c>
      <c r="P429" t="s">
        <v>71</v>
      </c>
      <c r="Q429" t="s">
        <v>350</v>
      </c>
    </row>
    <row r="430">
      <c r="D430" t="s">
        <v>28</v>
      </c>
      <c r="E430" t="s">
        <v>103</v>
      </c>
      <c r="F430" t="str">
        <f>VLOOKUP(D430&amp;E430,J:M,4,0)</f>
        <v>2024-07-15</v>
      </c>
      <c r="G430" t="str">
        <f>VLOOKUP(D430&amp;E430,N:Q,4,0)</f>
        <v>2024-08-06</v>
      </c>
      <c r="H430">
        <f>G430-F430</f>
        <v>22</v>
      </c>
      <c r="J430" t="str">
        <f>K430&amp;L430</f>
        <v>Громова Мария ИльиничнаПетров Сергей Александрович</v>
      </c>
      <c r="K430" t="s">
        <v>13</v>
      </c>
      <c r="L430" t="s">
        <v>89</v>
      </c>
      <c r="M430" t="s">
        <v>301</v>
      </c>
      <c r="N430" t="str">
        <f>O430&amp;P430</f>
        <v>Орлов Павел ДенисовичИванов Павел Сергеевич</v>
      </c>
      <c r="O430" t="s">
        <v>43</v>
      </c>
      <c r="P430" t="s">
        <v>103</v>
      </c>
      <c r="Q430" t="s">
        <v>350</v>
      </c>
    </row>
    <row r="431">
      <c r="D431" t="s">
        <v>28</v>
      </c>
      <c r="E431" t="s">
        <v>118</v>
      </c>
      <c r="F431" t="str">
        <f>VLOOKUP(D431&amp;E431,J:M,4,0)</f>
        <v>2023-11-13</v>
      </c>
      <c r="G431" t="str">
        <f>VLOOKUP(D431&amp;E431,N:Q,4,0)</f>
        <v>2023-11-13</v>
      </c>
      <c r="H431">
        <f>G431-F431</f>
        <v>0</v>
      </c>
      <c r="J431" t="str">
        <f>K431&amp;L431</f>
        <v>Орлов Павел ДенисовичПопова Полина Романовна</v>
      </c>
      <c r="K431" t="s">
        <v>43</v>
      </c>
      <c r="L431" t="s">
        <v>192</v>
      </c>
      <c r="M431" t="s">
        <v>301</v>
      </c>
      <c r="N431" t="str">
        <f>O431&amp;P431</f>
        <v>Кузнецов Дмитрий ЛьвовичПопова Светлана Дмитриевна</v>
      </c>
      <c r="O431" t="s">
        <v>8</v>
      </c>
      <c r="P431" t="s">
        <v>69</v>
      </c>
      <c r="Q431" t="s">
        <v>350</v>
      </c>
    </row>
    <row r="432">
      <c r="D432" t="s">
        <v>28</v>
      </c>
      <c r="E432" t="s">
        <v>59</v>
      </c>
      <c r="F432" t="str">
        <f>VLOOKUP(D432&amp;E432,J:M,4,0)</f>
        <v>2023-09-18</v>
      </c>
      <c r="G432" t="str">
        <f>VLOOKUP(D432&amp;E432,N:Q,4,0)</f>
        <v>2023-10-31</v>
      </c>
      <c r="H432">
        <f>G432-F432</f>
        <v>43</v>
      </c>
      <c r="J432" t="str">
        <f>K432&amp;L432</f>
        <v>Фролов Сергей ВикторовичСтепанов Егор Геннадьевич</v>
      </c>
      <c r="K432" t="s">
        <v>5</v>
      </c>
      <c r="L432" t="s">
        <v>302</v>
      </c>
      <c r="M432" t="s">
        <v>303</v>
      </c>
      <c r="N432" t="str">
        <f>O432&amp;P432</f>
        <v>Белов Алексей КонстантиновичЕгорова Ирина Кирилловна</v>
      </c>
      <c r="O432" t="s">
        <v>47</v>
      </c>
      <c r="P432" t="s">
        <v>140</v>
      </c>
      <c r="Q432" t="s">
        <v>349</v>
      </c>
    </row>
    <row r="433">
      <c r="D433" t="s">
        <v>28</v>
      </c>
      <c r="E433" t="s">
        <v>115</v>
      </c>
      <c r="F433" t="str">
        <f>VLOOKUP(D433&amp;E433,J:M,4,0)</f>
        <v>2024-06-27</v>
      </c>
      <c r="G433" t="str">
        <f>VLOOKUP(D433&amp;E433,N:Q,4,0)</f>
        <v>2024-06-27</v>
      </c>
      <c r="H433">
        <f>G433-F433</f>
        <v>0</v>
      </c>
      <c r="J433" t="str">
        <f>K433&amp;L433</f>
        <v>Семенова Ирина ВалерьевнаСидорова Ольга Олеговна</v>
      </c>
      <c r="K433" t="s">
        <v>57</v>
      </c>
      <c r="L433" t="s">
        <v>177</v>
      </c>
      <c r="M433" t="s">
        <v>303</v>
      </c>
      <c r="N433" t="str">
        <f>O433&amp;P433</f>
        <v>Фролов Сергей ВикторовичКозлов Артур Андреевич</v>
      </c>
      <c r="O433" t="s">
        <v>5</v>
      </c>
      <c r="P433" t="s">
        <v>98</v>
      </c>
      <c r="Q433" t="s">
        <v>349</v>
      </c>
    </row>
    <row r="434">
      <c r="D434" t="s">
        <v>28</v>
      </c>
      <c r="E434" t="s">
        <v>222</v>
      </c>
      <c r="F434" t="str">
        <f>VLOOKUP(D434&amp;E434,J:M,4,0)</f>
        <v>2024-04-08</v>
      </c>
      <c r="G434" t="str">
        <f>VLOOKUP(D434&amp;E434,N:Q,4,0)</f>
        <v>2024-06-06</v>
      </c>
      <c r="H434">
        <f>G434-F434</f>
        <v>59</v>
      </c>
      <c r="J434" t="str">
        <f>K434&amp;L434</f>
        <v>Петров Владимир КирилловичМорозова Юлия Геннадьевна</v>
      </c>
      <c r="K434" t="s">
        <v>28</v>
      </c>
      <c r="L434" t="s">
        <v>163</v>
      </c>
      <c r="M434" t="s">
        <v>303</v>
      </c>
      <c r="N434" t="str">
        <f>O434&amp;P434</f>
        <v>Фролов Сергей ВикторовичАлексеева Ирина Андреевна</v>
      </c>
      <c r="O434" t="s">
        <v>5</v>
      </c>
      <c r="P434" t="s">
        <v>189</v>
      </c>
      <c r="Q434" t="s">
        <v>348</v>
      </c>
    </row>
    <row r="435">
      <c r="D435" t="s">
        <v>28</v>
      </c>
      <c r="E435" t="s">
        <v>165</v>
      </c>
      <c r="F435" t="str">
        <f>VLOOKUP(D435&amp;E435,J:M,4,0)</f>
        <v>2023-10-31</v>
      </c>
      <c r="G435" t="str">
        <f>VLOOKUP(D435&amp;E435,N:Q,4,0)</f>
        <v>2023-10-31</v>
      </c>
      <c r="H435">
        <f>G435-F435</f>
        <v>0</v>
      </c>
      <c r="J435" t="str">
        <f>K435&amp;L435</f>
        <v>Ткаченко Андрей ОлеговичФедоров Алексей Павлович</v>
      </c>
      <c r="K435" t="s">
        <v>24</v>
      </c>
      <c r="L435" t="s">
        <v>174</v>
      </c>
      <c r="M435" t="s">
        <v>303</v>
      </c>
      <c r="N435" t="str">
        <f>O435&amp;P435</f>
        <v>Сидорова Елена ВасильевнаСмирнова Мария Владимировна</v>
      </c>
      <c r="O435" t="s">
        <v>15</v>
      </c>
      <c r="P435" t="s">
        <v>255</v>
      </c>
      <c r="Q435" t="s">
        <v>348</v>
      </c>
    </row>
    <row r="436">
      <c r="D436" t="s">
        <v>28</v>
      </c>
      <c r="E436" t="s">
        <v>217</v>
      </c>
      <c r="F436" t="str">
        <f>VLOOKUP(D436&amp;E436,J:M,4,0)</f>
        <v>2024-07-29</v>
      </c>
      <c r="G436" t="str">
        <f>VLOOKUP(D436&amp;E436,N:Q,4,0)</f>
        <v>2024-07-29</v>
      </c>
      <c r="H436">
        <f>G436-F436</f>
        <v>0</v>
      </c>
      <c r="J436" t="str">
        <f>K436&amp;L436</f>
        <v>Сидорова Елена ВасильевнаНиколаев Артем Александрович</v>
      </c>
      <c r="K436" t="s">
        <v>15</v>
      </c>
      <c r="L436" t="s">
        <v>248</v>
      </c>
      <c r="M436" t="s">
        <v>304</v>
      </c>
      <c r="N436" t="str">
        <f>O436&amp;P436</f>
        <v>Кузнецов Дмитрий ЛьвовичНиколаева Наталья Сергеевна</v>
      </c>
      <c r="O436" t="s">
        <v>8</v>
      </c>
      <c r="P436" t="s">
        <v>225</v>
      </c>
      <c r="Q436" t="s">
        <v>348</v>
      </c>
    </row>
    <row r="437">
      <c r="D437" t="s">
        <v>28</v>
      </c>
      <c r="E437" t="s">
        <v>110</v>
      </c>
      <c r="F437" t="str">
        <f>VLOOKUP(D437&amp;E437,J:M,4,0)</f>
        <v>2023-10-05</v>
      </c>
      <c r="G437" t="str">
        <f>VLOOKUP(D437&amp;E437,N:Q,4,0)</f>
        <v>2023-10-05</v>
      </c>
      <c r="H437">
        <f>G437-F437</f>
        <v>0</v>
      </c>
      <c r="J437" t="str">
        <f>K437&amp;L437</f>
        <v>Ткаченко Андрей ОлеговичСтепанова Юлия Владимировна</v>
      </c>
      <c r="K437" t="s">
        <v>24</v>
      </c>
      <c r="L437" t="s">
        <v>93</v>
      </c>
      <c r="M437" t="s">
        <v>304</v>
      </c>
      <c r="N437" t="str">
        <f>O437&amp;P437</f>
        <v>Семенова Ирина ВалерьевнаКузнецова Юлия Павловна</v>
      </c>
      <c r="O437" t="s">
        <v>57</v>
      </c>
      <c r="P437" t="s">
        <v>29</v>
      </c>
      <c r="Q437" t="s">
        <v>347</v>
      </c>
    </row>
    <row r="438">
      <c r="D438" t="s">
        <v>28</v>
      </c>
      <c r="E438" t="s">
        <v>22</v>
      </c>
      <c r="F438" t="str">
        <f>VLOOKUP(D438&amp;E438,J:M,4,0)</f>
        <v>2023-09-11</v>
      </c>
      <c r="G438" t="str">
        <f>VLOOKUP(D438&amp;E438,N:Q,4,0)</f>
        <v>2023-09-11</v>
      </c>
      <c r="H438">
        <f>G438-F438</f>
        <v>0</v>
      </c>
      <c r="J438" t="str">
        <f>K438&amp;L438</f>
        <v>Громова Мария ИльиничнаПавлова Елена Викторовна</v>
      </c>
      <c r="K438" t="s">
        <v>13</v>
      </c>
      <c r="L438" t="s">
        <v>305</v>
      </c>
      <c r="M438" t="s">
        <v>304</v>
      </c>
      <c r="N438" t="str">
        <f>O438&amp;P438</f>
        <v>Новикова Ольга ПетровнаСеменов Алексей Михайлович</v>
      </c>
      <c r="O438" t="s">
        <v>17</v>
      </c>
      <c r="P438" t="s">
        <v>299</v>
      </c>
      <c r="Q438" t="s">
        <v>346</v>
      </c>
    </row>
    <row r="439">
      <c r="D439" t="s">
        <v>28</v>
      </c>
      <c r="E439" t="s">
        <v>287</v>
      </c>
      <c r="F439" t="str">
        <f>VLOOKUP(D439&amp;E439,J:M,4,0)</f>
        <v>2024-01-22</v>
      </c>
      <c r="G439" t="str">
        <f>VLOOKUP(D439&amp;E439,N:Q,4,0)</f>
        <v>2024-01-22</v>
      </c>
      <c r="H439">
        <f>G439-F439</f>
        <v>0</v>
      </c>
      <c r="J439" t="str">
        <f>K439&amp;L439</f>
        <v>Фролов Сергей ВикторовичСидоров Сергей Егорович</v>
      </c>
      <c r="K439" t="s">
        <v>5</v>
      </c>
      <c r="L439" t="s">
        <v>128</v>
      </c>
      <c r="M439" t="s">
        <v>306</v>
      </c>
      <c r="N439" t="str">
        <f>O439&amp;P439</f>
        <v>Ткаченко Андрей ОлеговичМорозова Светлана Сергеевна</v>
      </c>
      <c r="O439" t="s">
        <v>24</v>
      </c>
      <c r="P439" t="s">
        <v>108</v>
      </c>
      <c r="Q439" t="s">
        <v>346</v>
      </c>
    </row>
    <row r="440">
      <c r="D440" t="s">
        <v>28</v>
      </c>
      <c r="E440" t="s">
        <v>214</v>
      </c>
      <c r="F440" t="str">
        <f>VLOOKUP(D440&amp;E440,J:M,4,0)</f>
        <v>2024-06-11</v>
      </c>
      <c r="G440" t="str">
        <f>VLOOKUP(D440&amp;E440,N:Q,4,0)</f>
        <v>2024-06-11</v>
      </c>
      <c r="H440">
        <f>G440-F440</f>
        <v>0</v>
      </c>
      <c r="J440" t="str">
        <f>K440&amp;L440</f>
        <v>Сидорова Елена ВасильевнаЕгорова Ольга Юрьевна</v>
      </c>
      <c r="K440" t="s">
        <v>15</v>
      </c>
      <c r="L440" t="s">
        <v>83</v>
      </c>
      <c r="M440" t="s">
        <v>307</v>
      </c>
      <c r="N440" t="str">
        <f>O440&amp;P440</f>
        <v>Сидорова Елена ВасильевнаЛебедева Александра Станиславовна</v>
      </c>
      <c r="O440" t="s">
        <v>15</v>
      </c>
      <c r="P440" t="s">
        <v>132</v>
      </c>
      <c r="Q440" t="s">
        <v>346</v>
      </c>
    </row>
    <row r="441">
      <c r="D441" t="s">
        <v>28</v>
      </c>
      <c r="E441" t="s">
        <v>55</v>
      </c>
      <c r="F441" t="str">
        <f>VLOOKUP(D441&amp;E441,J:M,4,0)</f>
        <v>2024-01-25</v>
      </c>
      <c r="G441" t="str">
        <f>VLOOKUP(D441&amp;E441,N:Q,4,0)</f>
        <v>2024-01-25</v>
      </c>
      <c r="H441">
        <f>G441-F441</f>
        <v>0</v>
      </c>
      <c r="J441" t="str">
        <f>K441&amp;L441</f>
        <v>Ткаченко Андрей ОлеговичКозлов Павел Романович</v>
      </c>
      <c r="K441" t="s">
        <v>24</v>
      </c>
      <c r="L441" t="s">
        <v>165</v>
      </c>
      <c r="M441" t="s">
        <v>307</v>
      </c>
      <c r="N441" t="str">
        <f>O441&amp;P441</f>
        <v>Петров Владимир КирилловичПавлов Илья Артемович</v>
      </c>
      <c r="O441" t="s">
        <v>28</v>
      </c>
      <c r="P441" t="s">
        <v>158</v>
      </c>
      <c r="Q441" t="s">
        <v>346</v>
      </c>
    </row>
    <row r="442">
      <c r="D442" t="s">
        <v>28</v>
      </c>
      <c r="E442" t="s">
        <v>61</v>
      </c>
      <c r="F442" t="str">
        <f>VLOOKUP(D442&amp;E442,J:M,4,0)</f>
        <v>2024-07-15</v>
      </c>
      <c r="G442" t="str">
        <f>VLOOKUP(D442&amp;E442,N:Q,4,0)</f>
        <v>2024-07-15</v>
      </c>
      <c r="H442">
        <f>G442-F442</f>
        <v>0</v>
      </c>
      <c r="J442" t="str">
        <f>K442&amp;L442</f>
        <v>Фролов Сергей ВикторовичНиколаева Александра Кирилловна</v>
      </c>
      <c r="K442" t="s">
        <v>5</v>
      </c>
      <c r="L442" t="s">
        <v>186</v>
      </c>
      <c r="M442" t="s">
        <v>307</v>
      </c>
      <c r="N442" t="str">
        <f>O442&amp;P442</f>
        <v>Иванова Анна СергеевнаОрлова Анна Владимировна</v>
      </c>
      <c r="O442" t="s">
        <v>11</v>
      </c>
      <c r="P442" t="s">
        <v>6</v>
      </c>
      <c r="Q442" t="s">
        <v>346</v>
      </c>
    </row>
    <row r="443">
      <c r="D443" t="s">
        <v>28</v>
      </c>
      <c r="E443" t="s">
        <v>29</v>
      </c>
      <c r="F443" t="str">
        <f>VLOOKUP(D443&amp;E443,J:M,4,0)</f>
        <v>2023-09-06</v>
      </c>
      <c r="G443" t="str">
        <f>VLOOKUP(D443&amp;E443,N:Q,4,0)</f>
        <v>2023-09-06</v>
      </c>
      <c r="H443">
        <f>G443-F443</f>
        <v>0</v>
      </c>
      <c r="J443" t="str">
        <f>K443&amp;L443</f>
        <v>Фролов Сергей ВикторовичСеменова Ольга Олеговна</v>
      </c>
      <c r="K443" t="s">
        <v>5</v>
      </c>
      <c r="L443" t="s">
        <v>308</v>
      </c>
      <c r="M443" t="s">
        <v>307</v>
      </c>
      <c r="N443" t="str">
        <f>O443&amp;P443</f>
        <v>Орлов Павел ДенисовичЕгоров Никита Станиславович</v>
      </c>
      <c r="O443" t="s">
        <v>43</v>
      </c>
      <c r="P443" t="s">
        <v>49</v>
      </c>
      <c r="Q443" t="s">
        <v>346</v>
      </c>
    </row>
    <row r="444">
      <c r="D444" t="s">
        <v>28</v>
      </c>
      <c r="E444" t="s">
        <v>237</v>
      </c>
      <c r="F444" t="str">
        <f>VLOOKUP(D444&amp;E444,J:M,4,0)</f>
        <v>2024-08-22</v>
      </c>
      <c r="G444" t="str">
        <f>VLOOKUP(D444&amp;E444,N:Q,4,0)</f>
        <v>2024-08-22</v>
      </c>
      <c r="H444">
        <f>G444-F444</f>
        <v>0</v>
      </c>
      <c r="J444" t="str">
        <f>K444&amp;L444</f>
        <v>Новикова Ольга ПетровнаМорозов Матвей Романович</v>
      </c>
      <c r="K444" t="s">
        <v>17</v>
      </c>
      <c r="L444" t="s">
        <v>39</v>
      </c>
      <c r="M444" t="s">
        <v>309</v>
      </c>
      <c r="N444" t="str">
        <f>O444&amp;P444</f>
        <v>Петров Владимир КирилловичСмирнов Артем Егорович</v>
      </c>
      <c r="O444" t="s">
        <v>28</v>
      </c>
      <c r="P444" t="s">
        <v>316</v>
      </c>
      <c r="Q444" t="s">
        <v>346</v>
      </c>
    </row>
    <row r="445">
      <c r="D445" t="s">
        <v>28</v>
      </c>
      <c r="E445" t="s">
        <v>39</v>
      </c>
      <c r="F445" t="str">
        <f>VLOOKUP(D445&amp;E445,J:M,4,0)</f>
        <v>2024-05-27</v>
      </c>
      <c r="G445" t="str">
        <f>VLOOKUP(D445&amp;E445,N:Q,4,0)</f>
        <v>2024-05-27</v>
      </c>
      <c r="H445">
        <f>G445-F445</f>
        <v>0</v>
      </c>
      <c r="J445" t="str">
        <f>K445&amp;L445</f>
        <v>Семенова Ирина ВалерьевнаМорозова Светлана Сергеевна</v>
      </c>
      <c r="K445" t="s">
        <v>57</v>
      </c>
      <c r="L445" t="s">
        <v>108</v>
      </c>
      <c r="M445" t="s">
        <v>309</v>
      </c>
      <c r="N445" t="str">
        <f>O445&amp;P445</f>
        <v>Иванова Анна СергеевнаАлексеева Екатерина Павловна</v>
      </c>
      <c r="O445" t="s">
        <v>11</v>
      </c>
      <c r="P445" t="s">
        <v>96</v>
      </c>
      <c r="Q445" t="s">
        <v>346</v>
      </c>
    </row>
    <row r="446">
      <c r="D446" t="s">
        <v>28</v>
      </c>
      <c r="E446" t="s">
        <v>68</v>
      </c>
      <c r="F446" t="str">
        <f>VLOOKUP(D446&amp;E446,J:M,4,0)</f>
        <v>2023-09-20</v>
      </c>
      <c r="G446" t="str">
        <f>VLOOKUP(D446&amp;E446,N:Q,4,0)</f>
        <v>2023-09-20</v>
      </c>
      <c r="H446">
        <f>G446-F446</f>
        <v>0</v>
      </c>
      <c r="J446" t="str">
        <f>K446&amp;L446</f>
        <v>Ткаченко Андрей ОлеговичМорозова Наталья Алексеевна</v>
      </c>
      <c r="K446" t="s">
        <v>24</v>
      </c>
      <c r="L446" t="s">
        <v>209</v>
      </c>
      <c r="M446" t="s">
        <v>309</v>
      </c>
      <c r="N446" t="str">
        <f>O446&amp;P446</f>
        <v>Фролов Сергей ВикторовичФедорова Мария Ивановна</v>
      </c>
      <c r="O446" t="s">
        <v>5</v>
      </c>
      <c r="P446" t="s">
        <v>344</v>
      </c>
      <c r="Q446" t="s">
        <v>345</v>
      </c>
    </row>
    <row r="447">
      <c r="D447" t="s">
        <v>28</v>
      </c>
      <c r="E447" t="s">
        <v>207</v>
      </c>
      <c r="F447" t="str">
        <f>VLOOKUP(D447&amp;E447,J:M,4,0)</f>
        <v>2023-11-27</v>
      </c>
      <c r="G447" t="str">
        <f>VLOOKUP(D447&amp;E447,N:Q,4,0)</f>
        <v>2024-02-19</v>
      </c>
      <c r="H447">
        <f>G447-F447</f>
        <v>84</v>
      </c>
      <c r="J447" t="str">
        <f>K447&amp;L447</f>
        <v>Ткаченко Андрей ОлеговичСтепанов Андрей Алексеевич</v>
      </c>
      <c r="K447" t="s">
        <v>24</v>
      </c>
      <c r="L447" t="s">
        <v>310</v>
      </c>
      <c r="M447" t="s">
        <v>309</v>
      </c>
      <c r="N447" t="str">
        <f>O447&amp;P447</f>
        <v>Фролов Сергей ВикторовичНовикова Людмила Павловна</v>
      </c>
      <c r="O447" t="s">
        <v>5</v>
      </c>
      <c r="P447" t="s">
        <v>116</v>
      </c>
      <c r="Q447" t="s">
        <v>345</v>
      </c>
    </row>
    <row r="448">
      <c r="D448" t="s">
        <v>28</v>
      </c>
      <c r="E448" t="s">
        <v>209</v>
      </c>
      <c r="F448" t="str">
        <f>VLOOKUP(D448&amp;E448,J:M,4,0)</f>
        <v>2024-06-12</v>
      </c>
      <c r="G448" t="str">
        <f>VLOOKUP(D448&amp;E448,N:Q,4,0)</f>
        <v>2024-06-12</v>
      </c>
      <c r="H448">
        <f>G448-F448</f>
        <v>0</v>
      </c>
      <c r="J448" t="str">
        <f>K448&amp;L448</f>
        <v>Петров Владимир КирилловичНиколаев Артур Артемович</v>
      </c>
      <c r="K448" t="s">
        <v>28</v>
      </c>
      <c r="L448" t="s">
        <v>151</v>
      </c>
      <c r="M448" t="s">
        <v>309</v>
      </c>
      <c r="N448" t="str">
        <f>O448&amp;P448</f>
        <v>Фролов Сергей ВикторовичЛебедева Светлана Никитична</v>
      </c>
      <c r="O448" t="s">
        <v>5</v>
      </c>
      <c r="P448" t="s">
        <v>342</v>
      </c>
      <c r="Q448" t="s">
        <v>343</v>
      </c>
    </row>
    <row r="449">
      <c r="D449" t="s">
        <v>28</v>
      </c>
      <c r="E449" t="s">
        <v>163</v>
      </c>
      <c r="F449" t="str">
        <f>VLOOKUP(D449&amp;E449,J:M,4,0)</f>
        <v>2024-02-06</v>
      </c>
      <c r="G449" t="str">
        <f>VLOOKUP(D449&amp;E449,N:Q,4,0)</f>
        <v>2024-02-06</v>
      </c>
      <c r="H449">
        <f>G449-F449</f>
        <v>0</v>
      </c>
      <c r="J449" t="str">
        <f>K449&amp;L449</f>
        <v>Петров Владимир КирилловичВасильев Кирилл Иванович</v>
      </c>
      <c r="K449" t="s">
        <v>28</v>
      </c>
      <c r="L449" t="s">
        <v>284</v>
      </c>
      <c r="M449" t="s">
        <v>309</v>
      </c>
      <c r="N449" t="str">
        <f>O449&amp;P449</f>
        <v>Белов Алексей КонстантиновичНиколаева Алиса Ивановна</v>
      </c>
      <c r="O449" t="s">
        <v>47</v>
      </c>
      <c r="P449" t="s">
        <v>119</v>
      </c>
      <c r="Q449" t="s">
        <v>343</v>
      </c>
    </row>
    <row r="450">
      <c r="D450" t="s">
        <v>28</v>
      </c>
      <c r="E450" t="s">
        <v>248</v>
      </c>
      <c r="F450" t="str">
        <f>VLOOKUP(D450&amp;E450,J:M,4,0)</f>
        <v>2023-12-22</v>
      </c>
      <c r="G450" t="str">
        <f>VLOOKUP(D450&amp;E450,N:Q,4,0)</f>
        <v>2023-12-22</v>
      </c>
      <c r="H450">
        <f>G450-F450</f>
        <v>0</v>
      </c>
      <c r="J450" t="str">
        <f>K450&amp;L450</f>
        <v>Белов Алексей КонстантиновичНиколаева Александра Александровна</v>
      </c>
      <c r="K450" t="s">
        <v>47</v>
      </c>
      <c r="L450" t="s">
        <v>280</v>
      </c>
      <c r="M450" t="s">
        <v>309</v>
      </c>
      <c r="N450" t="str">
        <f>O450&amp;P450</f>
        <v>Сидорова Елена ВасильевнаПопов Александр Владимирович</v>
      </c>
      <c r="O450" t="s">
        <v>15</v>
      </c>
      <c r="P450" t="s">
        <v>160</v>
      </c>
      <c r="Q450" t="s">
        <v>341</v>
      </c>
    </row>
    <row r="451">
      <c r="D451" t="s">
        <v>28</v>
      </c>
      <c r="E451" t="s">
        <v>151</v>
      </c>
      <c r="F451" t="str">
        <f>VLOOKUP(D451&amp;E451,J:M,4,0)</f>
        <v>2024-02-12</v>
      </c>
      <c r="G451" t="str">
        <f>VLOOKUP(D451&amp;E451,N:Q,4,0)</f>
        <v>2024-02-12</v>
      </c>
      <c r="H451">
        <f>G451-F451</f>
        <v>0</v>
      </c>
      <c r="J451" t="str">
        <f>K451&amp;L451</f>
        <v>Яковлев Артем ИгоревичИванова Елена Алексеевна</v>
      </c>
      <c r="K451" t="s">
        <v>21</v>
      </c>
      <c r="L451" t="s">
        <v>118</v>
      </c>
      <c r="M451" t="s">
        <v>309</v>
      </c>
      <c r="N451" t="str">
        <f>O451&amp;P451</f>
        <v>Громова Мария ИльиничнаВолков Матвей Кириллович</v>
      </c>
      <c r="O451" t="s">
        <v>13</v>
      </c>
      <c r="P451" t="s">
        <v>321</v>
      </c>
      <c r="Q451" t="s">
        <v>341</v>
      </c>
    </row>
    <row r="452">
      <c r="D452" t="s">
        <v>28</v>
      </c>
      <c r="E452" t="s">
        <v>267</v>
      </c>
      <c r="F452" t="str">
        <f>VLOOKUP(D452&amp;E452,J:M,4,0)</f>
        <v>2024-08-16</v>
      </c>
      <c r="G452" t="str">
        <f>VLOOKUP(D452&amp;E452,N:Q,4,0)</f>
        <v>2024-08-16</v>
      </c>
      <c r="H452">
        <f>G452-F452</f>
        <v>0</v>
      </c>
      <c r="J452" t="str">
        <f>K452&amp;L452</f>
        <v>Белов Алексей КонстантиновичПавлова Елена Викторовна</v>
      </c>
      <c r="K452" t="s">
        <v>47</v>
      </c>
      <c r="L452" t="s">
        <v>305</v>
      </c>
      <c r="M452" t="s">
        <v>309</v>
      </c>
      <c r="N452" t="str">
        <f>O452&amp;P452</f>
        <v>Иванова Анна СергеевнаМорозова Екатерина Олеговна</v>
      </c>
      <c r="O452" t="s">
        <v>11</v>
      </c>
      <c r="P452" t="s">
        <v>65</v>
      </c>
      <c r="Q452" t="s">
        <v>341</v>
      </c>
    </row>
    <row r="453">
      <c r="D453" t="s">
        <v>28</v>
      </c>
      <c r="E453" t="s">
        <v>190</v>
      </c>
      <c r="F453" t="str">
        <f>VLOOKUP(D453&amp;E453,J:M,4,0)</f>
        <v>2024-02-19</v>
      </c>
      <c r="G453" t="str">
        <f>VLOOKUP(D453&amp;E453,N:Q,4,0)</f>
        <v>2024-02-19</v>
      </c>
      <c r="H453">
        <f>G453-F453</f>
        <v>0</v>
      </c>
      <c r="J453" t="str">
        <f>K453&amp;L453</f>
        <v>Орлов Павел ДенисовичПетров Андрей Алексеевич</v>
      </c>
      <c r="K453" t="s">
        <v>43</v>
      </c>
      <c r="L453" t="s">
        <v>58</v>
      </c>
      <c r="M453" t="s">
        <v>311</v>
      </c>
      <c r="N453" t="str">
        <f>O453&amp;P453</f>
        <v>Белов Алексей КонстантиновичАлексеева Анна Олеговна</v>
      </c>
      <c r="O453" t="s">
        <v>47</v>
      </c>
      <c r="P453" t="s">
        <v>339</v>
      </c>
      <c r="Q453" t="s">
        <v>340</v>
      </c>
    </row>
    <row r="454">
      <c r="D454" t="s">
        <v>28</v>
      </c>
      <c r="E454" t="s">
        <v>37</v>
      </c>
      <c r="F454" t="str">
        <f>VLOOKUP(D454&amp;E454,J:M,4,0)</f>
        <v>2023-09-11</v>
      </c>
      <c r="G454" t="str">
        <f>VLOOKUP(D454&amp;E454,N:Q,4,0)</f>
        <v>2023-11-22</v>
      </c>
      <c r="H454">
        <f>G454-F454</f>
        <v>72</v>
      </c>
      <c r="J454" t="str">
        <f>K454&amp;L454</f>
        <v>Орлов Павел ДенисовичНиколаева Дарья Юрьевна</v>
      </c>
      <c r="K454" t="s">
        <v>43</v>
      </c>
      <c r="L454" t="s">
        <v>227</v>
      </c>
      <c r="M454" t="s">
        <v>311</v>
      </c>
      <c r="N454" t="str">
        <f>O454&amp;P454</f>
        <v>Громова Мария ИльиничнаКозлов Дмитрий Сергеевич</v>
      </c>
      <c r="O454" t="s">
        <v>13</v>
      </c>
      <c r="P454" t="s">
        <v>222</v>
      </c>
      <c r="Q454" t="s">
        <v>338</v>
      </c>
    </row>
    <row r="455">
      <c r="D455" t="s">
        <v>28</v>
      </c>
      <c r="E455" t="s">
        <v>119</v>
      </c>
      <c r="F455" t="str">
        <f>VLOOKUP(D455&amp;E455,J:M,4,0)</f>
        <v>2024-07-03</v>
      </c>
      <c r="G455" t="str">
        <f>VLOOKUP(D455&amp;E455,N:Q,4,0)</f>
        <v>2024-07-03</v>
      </c>
      <c r="H455">
        <f>G455-F455</f>
        <v>0</v>
      </c>
      <c r="J455" t="str">
        <f>K455&amp;L455</f>
        <v>Иванова Анна СергеевнаАлексеева Ирина Андреевна</v>
      </c>
      <c r="K455" t="s">
        <v>11</v>
      </c>
      <c r="L455" t="s">
        <v>189</v>
      </c>
      <c r="M455" t="s">
        <v>312</v>
      </c>
      <c r="N455" t="str">
        <f>O455&amp;P455</f>
        <v>Ткаченко Андрей ОлеговичНовикова Анна Ильинична</v>
      </c>
      <c r="O455" t="s">
        <v>24</v>
      </c>
      <c r="P455" t="s">
        <v>35</v>
      </c>
      <c r="Q455" t="s">
        <v>338</v>
      </c>
    </row>
    <row r="456">
      <c r="D456" t="s">
        <v>28</v>
      </c>
      <c r="E456" t="s">
        <v>227</v>
      </c>
      <c r="F456" t="str">
        <f>VLOOKUP(D456&amp;E456,J:M,4,0)</f>
        <v>2023-12-07</v>
      </c>
      <c r="G456" t="str">
        <f>VLOOKUP(D456&amp;E456,N:Q,4,0)</f>
        <v>2023-12-07</v>
      </c>
      <c r="H456">
        <f>G456-F456</f>
        <v>0</v>
      </c>
      <c r="J456" t="str">
        <f>K456&amp;L456</f>
        <v>Иванова Анна СергеевнаИванова Валерия Алексеевна</v>
      </c>
      <c r="K456" t="s">
        <v>11</v>
      </c>
      <c r="L456" t="s">
        <v>38</v>
      </c>
      <c r="M456" t="s">
        <v>312</v>
      </c>
      <c r="N456" t="str">
        <f>O456&amp;P456</f>
        <v>Сидорова Елена ВасильевнаВолков Константин Дмитриевич</v>
      </c>
      <c r="O456" t="s">
        <v>15</v>
      </c>
      <c r="P456" t="s">
        <v>79</v>
      </c>
      <c r="Q456" t="s">
        <v>338</v>
      </c>
    </row>
    <row r="457">
      <c r="D457" t="s">
        <v>28</v>
      </c>
      <c r="E457" t="s">
        <v>241</v>
      </c>
      <c r="F457" t="str">
        <f>VLOOKUP(D457&amp;E457,J:M,4,0)</f>
        <v>2024-05-08</v>
      </c>
      <c r="G457" t="str">
        <f>VLOOKUP(D457&amp;E457,N:Q,4,0)</f>
        <v>2024-05-08</v>
      </c>
      <c r="H457">
        <f>G457-F457</f>
        <v>0</v>
      </c>
      <c r="J457" t="str">
        <f>K457&amp;L457</f>
        <v>Иванова Анна СергеевнаСидорова Ольга Олеговна</v>
      </c>
      <c r="K457" t="s">
        <v>11</v>
      </c>
      <c r="L457" t="s">
        <v>177</v>
      </c>
      <c r="M457" t="s">
        <v>312</v>
      </c>
      <c r="N457" t="str">
        <f>O457&amp;P457</f>
        <v>Яковлев Артем ИгоревичФедоров Алексей Павлович</v>
      </c>
      <c r="O457" t="s">
        <v>21</v>
      </c>
      <c r="P457" t="s">
        <v>174</v>
      </c>
      <c r="Q457" t="s">
        <v>338</v>
      </c>
    </row>
    <row r="458">
      <c r="D458" t="s">
        <v>28</v>
      </c>
      <c r="E458" t="s">
        <v>147</v>
      </c>
      <c r="F458" t="str">
        <f>VLOOKUP(D458&amp;E458,J:M,4,0)</f>
        <v>2023-10-31</v>
      </c>
      <c r="G458" t="str">
        <f>VLOOKUP(D458&amp;E458,N:Q,4,0)</f>
        <v>2023-10-31</v>
      </c>
      <c r="H458">
        <f>G458-F458</f>
        <v>0</v>
      </c>
      <c r="J458" t="str">
        <f>K458&amp;L458</f>
        <v>Новикова Ольга ПетровнаНиколаева Екатерина Никитична</v>
      </c>
      <c r="K458" t="s">
        <v>17</v>
      </c>
      <c r="L458" t="s">
        <v>270</v>
      </c>
      <c r="M458" t="s">
        <v>312</v>
      </c>
      <c r="N458" t="str">
        <f>O458&amp;P458</f>
        <v>Семенова Ирина ВалерьевнаСеменов Алексей Михайлович</v>
      </c>
      <c r="O458" t="s">
        <v>57</v>
      </c>
      <c r="P458" t="s">
        <v>299</v>
      </c>
      <c r="Q458" t="s">
        <v>338</v>
      </c>
    </row>
    <row r="459">
      <c r="D459" t="s">
        <v>28</v>
      </c>
      <c r="E459" t="s">
        <v>87</v>
      </c>
      <c r="F459" t="str">
        <f>VLOOKUP(D459&amp;E459,J:M,4,0)</f>
        <v>2024-01-17</v>
      </c>
      <c r="G459" t="str">
        <f>VLOOKUP(D459&amp;E459,N:Q,4,0)</f>
        <v>2024-01-17</v>
      </c>
      <c r="H459">
        <f>G459-F459</f>
        <v>0</v>
      </c>
      <c r="J459" t="str">
        <f>K459&amp;L459</f>
        <v>Орлов Павел ДенисовичЕгоров Никита Станиславович</v>
      </c>
      <c r="K459" t="s">
        <v>43</v>
      </c>
      <c r="L459" t="s">
        <v>49</v>
      </c>
      <c r="M459" t="s">
        <v>312</v>
      </c>
      <c r="N459" t="str">
        <f>O459&amp;P459</f>
        <v>Кузнецов Дмитрий ЛьвовичФедорова Екатерина Сергеевна</v>
      </c>
      <c r="O459" t="s">
        <v>8</v>
      </c>
      <c r="P459" t="s">
        <v>143</v>
      </c>
      <c r="Q459" t="s">
        <v>338</v>
      </c>
    </row>
    <row r="460">
      <c r="D460" t="s">
        <v>28</v>
      </c>
      <c r="E460" t="s">
        <v>97</v>
      </c>
      <c r="F460" t="str">
        <f>VLOOKUP(D460&amp;E460,J:M,4,0)</f>
        <v>2024-05-27</v>
      </c>
      <c r="G460" t="str">
        <f>VLOOKUP(D460&amp;E460,N:Q,4,0)</f>
        <v>2024-05-27</v>
      </c>
      <c r="H460">
        <f>G460-F460</f>
        <v>0</v>
      </c>
      <c r="J460" t="str">
        <f>K460&amp;L460</f>
        <v>Громова Мария ИльиничнаВолков Константин Александрович</v>
      </c>
      <c r="K460" t="s">
        <v>13</v>
      </c>
      <c r="L460" t="s">
        <v>256</v>
      </c>
      <c r="M460" t="s">
        <v>312</v>
      </c>
      <c r="N460" t="str">
        <f>O460&amp;P460</f>
        <v>Яковлев Артем ИгоревичСидорова Екатерина Романовна</v>
      </c>
      <c r="O460" t="s">
        <v>21</v>
      </c>
      <c r="P460" t="s">
        <v>257</v>
      </c>
      <c r="Q460" t="s">
        <v>338</v>
      </c>
    </row>
    <row r="461">
      <c r="D461" t="s">
        <v>28</v>
      </c>
      <c r="E461" t="s">
        <v>19</v>
      </c>
      <c r="F461" t="str">
        <f>VLOOKUP(D461&amp;E461,J:M,4,0)</f>
        <v>2023-11-03</v>
      </c>
      <c r="G461" t="str">
        <f>VLOOKUP(D461&amp;E461,N:Q,4,0)</f>
        <v>2024-04-16</v>
      </c>
      <c r="H461">
        <f>G461-F461</f>
        <v>165</v>
      </c>
      <c r="J461" t="str">
        <f>K461&amp;L461</f>
        <v>Яковлев Артем ИгоревичСеменов Иван Александрович</v>
      </c>
      <c r="K461" t="s">
        <v>21</v>
      </c>
      <c r="L461" t="s">
        <v>258</v>
      </c>
      <c r="M461" t="s">
        <v>313</v>
      </c>
      <c r="N461" t="str">
        <f>O461&amp;P461</f>
        <v>Иванова Анна СергеевнаНиколаева Дарья Алексеевна</v>
      </c>
      <c r="O461" t="s">
        <v>11</v>
      </c>
      <c r="P461" t="s">
        <v>252</v>
      </c>
      <c r="Q461" t="s">
        <v>337</v>
      </c>
    </row>
    <row r="462">
      <c r="D462" t="s">
        <v>28</v>
      </c>
      <c r="E462" t="s">
        <v>292</v>
      </c>
      <c r="F462" t="str">
        <f>VLOOKUP(D462&amp;E462,J:M,4,0)</f>
        <v>2024-04-01</v>
      </c>
      <c r="G462" t="str">
        <f>VLOOKUP(D462&amp;E462,N:Q,4,0)</f>
        <v>2024-04-01</v>
      </c>
      <c r="H462">
        <f>G462-F462</f>
        <v>0</v>
      </c>
      <c r="J462" t="str">
        <f>K462&amp;L462</f>
        <v>Новикова Ольга ПетровнаВасильева Анна Ильинична</v>
      </c>
      <c r="K462" t="s">
        <v>17</v>
      </c>
      <c r="L462" t="s">
        <v>142</v>
      </c>
      <c r="M462" t="s">
        <v>313</v>
      </c>
      <c r="N462" t="str">
        <f>O462&amp;P462</f>
        <v>Семенова Ирина ВалерьевнаПопов Матвей Александрович</v>
      </c>
      <c r="O462" t="s">
        <v>57</v>
      </c>
      <c r="P462" t="s">
        <v>181</v>
      </c>
      <c r="Q462" t="s">
        <v>337</v>
      </c>
    </row>
    <row r="463">
      <c r="D463" t="s">
        <v>28</v>
      </c>
      <c r="E463" t="s">
        <v>158</v>
      </c>
      <c r="F463" t="str">
        <f>VLOOKUP(D463&amp;E463,J:M,4,0)</f>
        <v>2024-03-25</v>
      </c>
      <c r="G463" t="str">
        <f>VLOOKUP(D463&amp;E463,N:Q,4,0)</f>
        <v>2024-03-25</v>
      </c>
      <c r="H463">
        <f>G463-F463</f>
        <v>0</v>
      </c>
      <c r="J463" t="str">
        <f>K463&amp;L463</f>
        <v>Ткаченко Андрей ОлеговичКузнецов Сергей Артемович</v>
      </c>
      <c r="K463" t="s">
        <v>24</v>
      </c>
      <c r="L463" t="s">
        <v>129</v>
      </c>
      <c r="M463" t="s">
        <v>313</v>
      </c>
      <c r="N463" t="str">
        <f>O463&amp;P463</f>
        <v>Фролов Сергей ВикторовичОрлов Дмитрий Иванович</v>
      </c>
      <c r="O463" t="s">
        <v>5</v>
      </c>
      <c r="P463" t="s">
        <v>170</v>
      </c>
      <c r="Q463" t="s">
        <v>337</v>
      </c>
    </row>
    <row r="464">
      <c r="D464" t="s">
        <v>28</v>
      </c>
      <c r="E464" t="s">
        <v>25</v>
      </c>
      <c r="F464" t="str">
        <f>VLOOKUP(D464&amp;E464,J:M,4,0)</f>
        <v>2024-01-29</v>
      </c>
      <c r="G464" t="str">
        <f>VLOOKUP(D464&amp;E464,N:Q,4,0)</f>
        <v>2024-01-29</v>
      </c>
      <c r="H464">
        <f>G464-F464</f>
        <v>0</v>
      </c>
      <c r="J464" t="str">
        <f>K464&amp;L464</f>
        <v>Белов Алексей КонстантиновичПопов Роман Сергеевич</v>
      </c>
      <c r="K464" t="s">
        <v>47</v>
      </c>
      <c r="L464" t="s">
        <v>106</v>
      </c>
      <c r="M464" t="s">
        <v>313</v>
      </c>
      <c r="N464" t="str">
        <f>O464&amp;P464</f>
        <v>Громова Мария ИльиничнаСеменов Сергей Викторович</v>
      </c>
      <c r="O464" t="s">
        <v>13</v>
      </c>
      <c r="P464" t="s">
        <v>30</v>
      </c>
      <c r="Q464" t="s">
        <v>337</v>
      </c>
    </row>
    <row r="465">
      <c r="D465" t="s">
        <v>28</v>
      </c>
      <c r="E465" t="s">
        <v>89</v>
      </c>
      <c r="F465" t="str">
        <f>VLOOKUP(D465&amp;E465,J:M,4,0)</f>
        <v>2024-08-19</v>
      </c>
      <c r="G465" t="str">
        <f>VLOOKUP(D465&amp;E465,N:Q,4,0)</f>
        <v>2024-08-19</v>
      </c>
      <c r="H465">
        <f>G465-F465</f>
        <v>0</v>
      </c>
      <c r="J465" t="str">
        <f>K465&amp;L465</f>
        <v>Новикова Ольга ПетровнаСмирнова Ксения Андреевна</v>
      </c>
      <c r="K465" t="s">
        <v>17</v>
      </c>
      <c r="L465" t="s">
        <v>197</v>
      </c>
      <c r="M465" t="s">
        <v>314</v>
      </c>
      <c r="N465" t="str">
        <f>O465&amp;P465</f>
        <v>Белов Алексей КонстантиновичПопова Ксения Никитична</v>
      </c>
      <c r="O465" t="s">
        <v>47</v>
      </c>
      <c r="P465" t="s">
        <v>20</v>
      </c>
      <c r="Q465" t="s">
        <v>337</v>
      </c>
    </row>
    <row r="466">
      <c r="D466" t="s">
        <v>28</v>
      </c>
      <c r="E466" t="s">
        <v>106</v>
      </c>
      <c r="F466" t="str">
        <f>VLOOKUP(D466&amp;E466,J:M,4,0)</f>
        <v>2023-10-04</v>
      </c>
      <c r="G466" t="str">
        <f>VLOOKUP(D466&amp;E466,N:Q,4,0)</f>
        <v>2023-10-04</v>
      </c>
      <c r="H466">
        <f>G466-F466</f>
        <v>0</v>
      </c>
      <c r="J466" t="str">
        <f>K466&amp;L466</f>
        <v>Кузнецов Дмитрий ЛьвовичМорозова Юлия Геннадьевна</v>
      </c>
      <c r="K466" t="s">
        <v>8</v>
      </c>
      <c r="L466" t="s">
        <v>163</v>
      </c>
      <c r="M466" t="s">
        <v>314</v>
      </c>
      <c r="N466" t="str">
        <f>O466&amp;P466</f>
        <v>Яковлев Артем ИгоревичПопов Матвей Александрович</v>
      </c>
      <c r="O466" t="s">
        <v>21</v>
      </c>
      <c r="P466" t="s">
        <v>181</v>
      </c>
      <c r="Q466" t="s">
        <v>337</v>
      </c>
    </row>
    <row r="467">
      <c r="D467" t="s">
        <v>28</v>
      </c>
      <c r="E467" t="s">
        <v>20</v>
      </c>
      <c r="F467" t="str">
        <f>VLOOKUP(D467&amp;E467,J:M,4,0)</f>
        <v>2024-07-11</v>
      </c>
      <c r="G467" t="str">
        <f>VLOOKUP(D467&amp;E467,N:Q,4,0)</f>
        <v>2024-07-11</v>
      </c>
      <c r="H467">
        <f>G467-F467</f>
        <v>0</v>
      </c>
      <c r="J467" t="str">
        <f>K467&amp;L467</f>
        <v>Фролов Сергей ВикторовичНиколаев Артур Артемович</v>
      </c>
      <c r="K467" t="s">
        <v>5</v>
      </c>
      <c r="L467" t="s">
        <v>151</v>
      </c>
      <c r="M467" t="s">
        <v>314</v>
      </c>
      <c r="N467" t="str">
        <f>O467&amp;P467</f>
        <v>Иванова Анна СергеевнаВолкова Ирина Никитична</v>
      </c>
      <c r="O467" t="s">
        <v>11</v>
      </c>
      <c r="P467" t="s">
        <v>161</v>
      </c>
      <c r="Q467" t="s">
        <v>337</v>
      </c>
    </row>
    <row r="468">
      <c r="D468" t="s">
        <v>28</v>
      </c>
      <c r="E468" t="s">
        <v>192</v>
      </c>
      <c r="F468" t="str">
        <f>VLOOKUP(D468&amp;E468,J:M,4,0)</f>
        <v>2024-06-19</v>
      </c>
      <c r="G468" t="str">
        <f>VLOOKUP(D468&amp;E468,N:Q,4,0)</f>
        <v>2024-06-19</v>
      </c>
      <c r="H468">
        <f>G468-F468</f>
        <v>0</v>
      </c>
      <c r="J468" t="str">
        <f>K468&amp;L468</f>
        <v>Яковлев Артем ИгоревичНовикова Ксения Алексеевна</v>
      </c>
      <c r="K468" t="s">
        <v>21</v>
      </c>
      <c r="L468" t="s">
        <v>147</v>
      </c>
      <c r="M468" t="s">
        <v>314</v>
      </c>
      <c r="N468" t="str">
        <f>O468&amp;P468</f>
        <v>Орлов Павел ДенисовичНиколаева Алиса Ивановна</v>
      </c>
      <c r="O468" t="s">
        <v>43</v>
      </c>
      <c r="P468" t="s">
        <v>119</v>
      </c>
      <c r="Q468" t="s">
        <v>336</v>
      </c>
    </row>
    <row r="469">
      <c r="D469" t="s">
        <v>28</v>
      </c>
      <c r="E469" t="s">
        <v>69</v>
      </c>
      <c r="F469" t="str">
        <f>VLOOKUP(D469&amp;E469,J:M,4,0)</f>
        <v>2024-02-27</v>
      </c>
      <c r="G469" t="str">
        <f>VLOOKUP(D469&amp;E469,N:Q,4,0)</f>
        <v>2024-02-27</v>
      </c>
      <c r="H469">
        <f>G469-F469</f>
        <v>0</v>
      </c>
      <c r="J469" t="str">
        <f>K469&amp;L469</f>
        <v>Орлов Павел ДенисовичИванова София Ильинична</v>
      </c>
      <c r="K469" t="s">
        <v>43</v>
      </c>
      <c r="L469" t="s">
        <v>315</v>
      </c>
      <c r="M469" t="s">
        <v>314</v>
      </c>
      <c r="N469" t="str">
        <f>O469&amp;P469</f>
        <v>Орлов Павел ДенисовичКозлова София Олеговна</v>
      </c>
      <c r="O469" t="s">
        <v>43</v>
      </c>
      <c r="P469" t="s">
        <v>185</v>
      </c>
      <c r="Q469" t="s">
        <v>336</v>
      </c>
    </row>
    <row r="470">
      <c r="D470" t="s">
        <v>28</v>
      </c>
      <c r="E470" t="s">
        <v>299</v>
      </c>
      <c r="F470" t="str">
        <f>VLOOKUP(D470&amp;E470,J:M,4,0)</f>
        <v>2024-06-14</v>
      </c>
      <c r="G470" t="str">
        <f>VLOOKUP(D470&amp;E470,N:Q,4,0)</f>
        <v>2024-07-08</v>
      </c>
      <c r="H470">
        <f>G470-F470</f>
        <v>24</v>
      </c>
      <c r="J470" t="str">
        <f>K470&amp;L470</f>
        <v>Сидорова Елена ВасильевнаНиколаев Владимир Егорович</v>
      </c>
      <c r="K470" t="s">
        <v>15</v>
      </c>
      <c r="L470" t="s">
        <v>190</v>
      </c>
      <c r="M470" t="s">
        <v>314</v>
      </c>
      <c r="N470" t="str">
        <f>O470&amp;P470</f>
        <v>Ткаченко Андрей ОлеговичФедорова Екатерина Михайловна</v>
      </c>
      <c r="O470" t="s">
        <v>24</v>
      </c>
      <c r="P470" t="s">
        <v>204</v>
      </c>
      <c r="Q470" t="s">
        <v>336</v>
      </c>
    </row>
    <row r="471">
      <c r="D471" t="s">
        <v>28</v>
      </c>
      <c r="E471" t="s">
        <v>102</v>
      </c>
      <c r="F471" t="str">
        <f>VLOOKUP(D471&amp;E471,J:M,4,0)</f>
        <v>2023-10-02</v>
      </c>
      <c r="G471" t="str">
        <f>VLOOKUP(D471&amp;E471,N:Q,4,0)</f>
        <v>2024-08-22</v>
      </c>
      <c r="H471">
        <f>G471-F471</f>
        <v>325</v>
      </c>
      <c r="J471" t="str">
        <f>K471&amp;L471</f>
        <v>Ткаченко Андрей ОлеговичСмирнов Артем Егорович</v>
      </c>
      <c r="K471" t="s">
        <v>24</v>
      </c>
      <c r="L471" t="s">
        <v>316</v>
      </c>
      <c r="M471" t="s">
        <v>317</v>
      </c>
      <c r="N471" t="str">
        <f>O471&amp;P471</f>
        <v>Семенова Ирина ВалерьевнаПопова Вероника Ивановна</v>
      </c>
      <c r="O471" t="s">
        <v>57</v>
      </c>
      <c r="P471" t="s">
        <v>243</v>
      </c>
      <c r="Q471" t="s">
        <v>336</v>
      </c>
    </row>
    <row r="472">
      <c r="D472" t="s">
        <v>28</v>
      </c>
      <c r="E472" t="s">
        <v>50</v>
      </c>
      <c r="F472" t="str">
        <f>VLOOKUP(D472&amp;E472,J:M,4,0)</f>
        <v>2023-10-20</v>
      </c>
      <c r="G472" t="str">
        <f>VLOOKUP(D472&amp;E472,N:Q,4,0)</f>
        <v>2023-10-20</v>
      </c>
      <c r="H472">
        <f>G472-F472</f>
        <v>0</v>
      </c>
      <c r="J472" t="str">
        <f>K472&amp;L472</f>
        <v>Петров Владимир КирилловичМорозова Екатерина Ивановна</v>
      </c>
      <c r="K472" t="s">
        <v>28</v>
      </c>
      <c r="L472" t="s">
        <v>207</v>
      </c>
      <c r="M472" t="s">
        <v>317</v>
      </c>
      <c r="N472" t="str">
        <f>O472&amp;P472</f>
        <v>Ткаченко Андрей ОлеговичАлексеев Иван Иванович</v>
      </c>
      <c r="O472" t="s">
        <v>24</v>
      </c>
      <c r="P472" t="s">
        <v>70</v>
      </c>
      <c r="Q472" t="s">
        <v>336</v>
      </c>
    </row>
    <row r="473">
      <c r="D473" t="s">
        <v>28</v>
      </c>
      <c r="E473" t="s">
        <v>257</v>
      </c>
      <c r="F473" t="str">
        <f>VLOOKUP(D473&amp;E473,J:M,4,0)</f>
        <v>2024-05-13</v>
      </c>
      <c r="G473" t="str">
        <f>VLOOKUP(D473&amp;E473,N:Q,4,0)</f>
        <v>2024-05-13</v>
      </c>
      <c r="H473">
        <f>G473-F473</f>
        <v>0</v>
      </c>
      <c r="J473" t="str">
        <f>K473&amp;L473</f>
        <v>Петров Владимир КирилловичНиколаев Владимир Егорович</v>
      </c>
      <c r="K473" t="s">
        <v>28</v>
      </c>
      <c r="L473" t="s">
        <v>190</v>
      </c>
      <c r="M473" t="s">
        <v>317</v>
      </c>
      <c r="N473" t="str">
        <f>O473&amp;P473</f>
        <v>Кузнецов Дмитрий ЛьвовичСмирнова Мария Владимировна</v>
      </c>
      <c r="O473" t="s">
        <v>8</v>
      </c>
      <c r="P473" t="s">
        <v>255</v>
      </c>
      <c r="Q473" t="s">
        <v>336</v>
      </c>
    </row>
    <row r="474">
      <c r="D474" t="s">
        <v>28</v>
      </c>
      <c r="E474" t="s">
        <v>177</v>
      </c>
      <c r="F474" t="str">
        <f>VLOOKUP(D474&amp;E474,J:M,4,0)</f>
        <v>2023-11-28</v>
      </c>
      <c r="G474" t="str">
        <f>VLOOKUP(D474&amp;E474,N:Q,4,0)</f>
        <v>2023-11-28</v>
      </c>
      <c r="H474">
        <f>G474-F474</f>
        <v>0</v>
      </c>
      <c r="J474" t="str">
        <f>K474&amp;L474</f>
        <v>Громова Мария ИльиничнаПопов Матвей Александрович</v>
      </c>
      <c r="K474" t="s">
        <v>13</v>
      </c>
      <c r="L474" t="s">
        <v>181</v>
      </c>
      <c r="M474" t="s">
        <v>317</v>
      </c>
      <c r="N474" t="str">
        <f>O474&amp;P474</f>
        <v>Фролов Сергей ВикторовичЛебедева Полина Никитична</v>
      </c>
      <c r="O474" t="s">
        <v>5</v>
      </c>
      <c r="P474" t="s">
        <v>273</v>
      </c>
      <c r="Q474" t="s">
        <v>335</v>
      </c>
    </row>
    <row r="475">
      <c r="D475" t="s">
        <v>28</v>
      </c>
      <c r="E475" t="s">
        <v>316</v>
      </c>
      <c r="F475" t="str">
        <f>VLOOKUP(D475&amp;E475,J:M,4,0)</f>
        <v>2024-03-25</v>
      </c>
      <c r="G475" t="str">
        <f>VLOOKUP(D475&amp;E475,N:Q,4,0)</f>
        <v>2024-06-13</v>
      </c>
      <c r="H475">
        <f>G475-F475</f>
        <v>80</v>
      </c>
      <c r="J475" t="str">
        <f>K475&amp;L475</f>
        <v>Кузнецов Дмитрий ЛьвовичМорозов Никита Ильич</v>
      </c>
      <c r="K475" t="s">
        <v>8</v>
      </c>
      <c r="L475" t="s">
        <v>138</v>
      </c>
      <c r="M475" t="s">
        <v>317</v>
      </c>
      <c r="N475" t="str">
        <f>O475&amp;P475</f>
        <v>Семенова Ирина ВалерьевнаВасильев Кирилл Иванович</v>
      </c>
      <c r="O475" t="s">
        <v>57</v>
      </c>
      <c r="P475" t="s">
        <v>284</v>
      </c>
      <c r="Q475" t="s">
        <v>335</v>
      </c>
    </row>
    <row r="476">
      <c r="D476" t="s">
        <v>28</v>
      </c>
      <c r="E476" t="s">
        <v>63</v>
      </c>
      <c r="F476" t="str">
        <f>VLOOKUP(D476&amp;E476,J:M,4,0)</f>
        <v>2024-04-30</v>
      </c>
      <c r="G476" t="str">
        <f>VLOOKUP(D476&amp;E476,N:Q,4,0)</f>
        <v>2024-04-30</v>
      </c>
      <c r="H476">
        <f>G476-F476</f>
        <v>0</v>
      </c>
      <c r="J476" t="str">
        <f>K476&amp;L476</f>
        <v>Фролов Сергей ВикторовичКузнецова Людмила Сергеевна</v>
      </c>
      <c r="K476" t="s">
        <v>5</v>
      </c>
      <c r="L476" t="s">
        <v>55</v>
      </c>
      <c r="M476" t="s">
        <v>317</v>
      </c>
      <c r="N476" t="str">
        <f>O476&amp;P476</f>
        <v>Громова Мария ИльиничнаПавлова Дарья Андреевна</v>
      </c>
      <c r="O476" t="s">
        <v>13</v>
      </c>
      <c r="P476" t="s">
        <v>78</v>
      </c>
      <c r="Q476" t="s">
        <v>334</v>
      </c>
    </row>
    <row r="477">
      <c r="D477" t="s">
        <v>28</v>
      </c>
      <c r="E477" t="s">
        <v>331</v>
      </c>
      <c r="F477" t="str">
        <f>VLOOKUP(D477&amp;E477,J:M,4,0)</f>
        <v>2024-07-30</v>
      </c>
      <c r="G477" t="str">
        <f>VLOOKUP(D477&amp;E477,N:Q,4,0)</f>
        <v>2024-07-30</v>
      </c>
      <c r="H477">
        <f>G477-F477</f>
        <v>0</v>
      </c>
      <c r="J477" t="str">
        <f>K477&amp;L477</f>
        <v>Яковлев Артем ИгоревичНиколаева Дарья Алексеевна</v>
      </c>
      <c r="K477" t="s">
        <v>21</v>
      </c>
      <c r="L477" t="s">
        <v>252</v>
      </c>
      <c r="M477" t="s">
        <v>317</v>
      </c>
      <c r="N477" t="str">
        <f>O477&amp;P477</f>
        <v>Сидорова Елена ВасильевнаПопов Матвей Викторович</v>
      </c>
      <c r="O477" t="s">
        <v>15</v>
      </c>
      <c r="P477" t="s">
        <v>113</v>
      </c>
      <c r="Q477" t="s">
        <v>334</v>
      </c>
    </row>
    <row r="478">
      <c r="D478" t="s">
        <v>28</v>
      </c>
      <c r="E478" t="s">
        <v>44</v>
      </c>
      <c r="F478" t="str">
        <f>VLOOKUP(D478&amp;E478,J:M,4,0)</f>
        <v>2024-04-22</v>
      </c>
      <c r="G478" t="str">
        <f>VLOOKUP(D478&amp;E478,N:Q,4,0)</f>
        <v>2024-04-22</v>
      </c>
      <c r="H478">
        <f>G478-F478</f>
        <v>0</v>
      </c>
      <c r="J478" t="str">
        <f>K478&amp;L478</f>
        <v>Орлов Павел ДенисовичНиколаев Владимир Геннадьевич</v>
      </c>
      <c r="K478" t="s">
        <v>43</v>
      </c>
      <c r="L478" t="s">
        <v>267</v>
      </c>
      <c r="M478" t="s">
        <v>317</v>
      </c>
      <c r="N478" t="str">
        <f>O478&amp;P478</f>
        <v>Кузнецов Дмитрий ЛьвовичИванов Никита Павлович</v>
      </c>
      <c r="O478" t="s">
        <v>8</v>
      </c>
      <c r="P478" t="s">
        <v>71</v>
      </c>
      <c r="Q478" t="s">
        <v>334</v>
      </c>
    </row>
    <row r="479">
      <c r="D479" t="s">
        <v>28</v>
      </c>
      <c r="E479" t="s">
        <v>123</v>
      </c>
      <c r="F479" t="str">
        <f>VLOOKUP(D479&amp;E479,J:M,4,0)</f>
        <v>2024-04-18</v>
      </c>
      <c r="G479" t="str">
        <f>VLOOKUP(D479&amp;E479,N:Q,4,0)</f>
        <v>2024-04-18</v>
      </c>
      <c r="H479">
        <f>G479-F479</f>
        <v>0</v>
      </c>
      <c r="J479" t="str">
        <f>K479&amp;L479</f>
        <v>Кузнецов Дмитрий ЛьвовичСмирнова Алиса Артемовна</v>
      </c>
      <c r="K479" t="s">
        <v>8</v>
      </c>
      <c r="L479" t="s">
        <v>31</v>
      </c>
      <c r="M479" t="s">
        <v>317</v>
      </c>
      <c r="N479" t="str">
        <f>O479&amp;P479</f>
        <v>Иванова Анна СергеевнаКузнецова София Александровна</v>
      </c>
      <c r="O479" t="s">
        <v>11</v>
      </c>
      <c r="P479" t="s">
        <v>40</v>
      </c>
      <c r="Q479" t="s">
        <v>333</v>
      </c>
    </row>
    <row r="480">
      <c r="D480" t="s">
        <v>28</v>
      </c>
      <c r="E480" t="s">
        <v>99</v>
      </c>
      <c r="F480" t="str">
        <f>VLOOKUP(D480&amp;E480,J:M,4,0)</f>
        <v>2023-10-23</v>
      </c>
      <c r="G480" t="str">
        <f>VLOOKUP(D480&amp;E480,N:Q,4,0)</f>
        <v>2023-10-23</v>
      </c>
      <c r="H480">
        <f>G480-F480</f>
        <v>0</v>
      </c>
      <c r="J480" t="str">
        <f>K480&amp;L480</f>
        <v>Орлов Павел ДенисовичСтепанов Егор Геннадьевич</v>
      </c>
      <c r="K480" t="s">
        <v>43</v>
      </c>
      <c r="L480" t="s">
        <v>302</v>
      </c>
      <c r="M480" t="s">
        <v>318</v>
      </c>
      <c r="N480" t="str">
        <f>O480&amp;P480</f>
        <v>Семенова Ирина ВалерьевнаНиколаев Артем Александрович</v>
      </c>
      <c r="O480" t="s">
        <v>57</v>
      </c>
      <c r="P480" t="s">
        <v>248</v>
      </c>
      <c r="Q480" t="s">
        <v>333</v>
      </c>
    </row>
    <row r="481">
      <c r="D481" t="s">
        <v>28</v>
      </c>
      <c r="E481" t="s">
        <v>45</v>
      </c>
      <c r="F481" t="str">
        <f>VLOOKUP(D481&amp;E481,J:M,4,0)</f>
        <v>2024-06-10</v>
      </c>
      <c r="G481" t="str">
        <f>VLOOKUP(D481&amp;E481,N:Q,4,0)</f>
        <v>2024-06-10</v>
      </c>
      <c r="H481">
        <f>G481-F481</f>
        <v>0</v>
      </c>
      <c r="J481" t="str">
        <f>K481&amp;L481</f>
        <v>Семенова Ирина ВалерьевнаОрлова Анна Владимировна</v>
      </c>
      <c r="K481" t="s">
        <v>57</v>
      </c>
      <c r="L481" t="s">
        <v>6</v>
      </c>
      <c r="M481" t="s">
        <v>318</v>
      </c>
      <c r="N481" t="str">
        <f>O481&amp;P481</f>
        <v>Сидорова Елена ВасильевнаСидоров Матвей Владимирович</v>
      </c>
      <c r="O481" t="s">
        <v>15</v>
      </c>
      <c r="P481" t="s">
        <v>64</v>
      </c>
      <c r="Q481" t="s">
        <v>333</v>
      </c>
    </row>
    <row r="482">
      <c r="D482" t="s">
        <v>28</v>
      </c>
      <c r="E482" t="s">
        <v>93</v>
      </c>
      <c r="F482" t="str">
        <f>VLOOKUP(D482&amp;E482,J:M,4,0)</f>
        <v>2023-10-02</v>
      </c>
      <c r="G482" t="str">
        <f>VLOOKUP(D482&amp;E482,N:Q,4,0)</f>
        <v>2023-10-25</v>
      </c>
      <c r="H482">
        <f>G482-F482</f>
        <v>23</v>
      </c>
      <c r="J482" t="str">
        <f>K482&amp;L482</f>
        <v>Новикова Ольга ПетровнаСтепанов Егор Геннадьевич</v>
      </c>
      <c r="K482" t="s">
        <v>17</v>
      </c>
      <c r="L482" t="s">
        <v>302</v>
      </c>
      <c r="M482" t="s">
        <v>319</v>
      </c>
      <c r="N482" t="str">
        <f>O482&amp;P482</f>
        <v>Яковлев Артем ИгоревичИванова Виктория Михайловна</v>
      </c>
      <c r="O482" t="s">
        <v>21</v>
      </c>
      <c r="P482" t="s">
        <v>33</v>
      </c>
      <c r="Q482" t="s">
        <v>332</v>
      </c>
    </row>
    <row r="483">
      <c r="D483" t="s">
        <v>28</v>
      </c>
      <c r="E483" t="s">
        <v>174</v>
      </c>
      <c r="F483" t="str">
        <f>VLOOKUP(D483&amp;E483,J:M,4,0)</f>
        <v>2024-04-29</v>
      </c>
      <c r="G483" t="str">
        <f>VLOOKUP(D483&amp;E483,N:Q,4,0)</f>
        <v>2024-04-29</v>
      </c>
      <c r="H483">
        <f>G483-F483</f>
        <v>0</v>
      </c>
      <c r="J483" t="str">
        <f>K483&amp;L483</f>
        <v>Иванова Анна СергеевнаЕгорова Валерия Сергеевна</v>
      </c>
      <c r="K483" t="s">
        <v>11</v>
      </c>
      <c r="L483" t="s">
        <v>85</v>
      </c>
      <c r="M483" t="s">
        <v>319</v>
      </c>
      <c r="N483" t="str">
        <f>O483&amp;P483</f>
        <v>Фролов Сергей ВикторовичСидоров Артур Алексеевич</v>
      </c>
      <c r="O483" t="s">
        <v>5</v>
      </c>
      <c r="P483" t="s">
        <v>50</v>
      </c>
      <c r="Q483" t="s">
        <v>332</v>
      </c>
    </row>
    <row r="484">
      <c r="D484" t="s">
        <v>28</v>
      </c>
      <c r="E484" t="s">
        <v>56</v>
      </c>
      <c r="F484" t="str">
        <f>VLOOKUP(D484&amp;E484,J:M,4,0)</f>
        <v>2024-05-13</v>
      </c>
      <c r="G484" t="str">
        <f>VLOOKUP(D484&amp;E484,N:Q,4,0)</f>
        <v>2024-05-13</v>
      </c>
      <c r="H484">
        <f>G484-F484</f>
        <v>0</v>
      </c>
      <c r="J484" t="str">
        <f>K484&amp;L484</f>
        <v>Иванова Анна СергеевнаНиколаев Георгий Ильич</v>
      </c>
      <c r="K484" t="s">
        <v>11</v>
      </c>
      <c r="L484" t="s">
        <v>91</v>
      </c>
      <c r="M484" t="s">
        <v>320</v>
      </c>
      <c r="N484" t="str">
        <f>O484&amp;P484</f>
        <v>Кузнецов Дмитрий ЛьвовичПетров Сергей Александрович</v>
      </c>
      <c r="O484" t="s">
        <v>8</v>
      </c>
      <c r="P484" t="s">
        <v>89</v>
      </c>
      <c r="Q484" t="s">
        <v>330</v>
      </c>
    </row>
    <row r="485">
      <c r="D485" t="s">
        <v>28</v>
      </c>
      <c r="E485" t="s">
        <v>204</v>
      </c>
      <c r="F485" t="str">
        <f>VLOOKUP(D485&amp;E485,J:M,4,0)</f>
        <v>2024-08-08</v>
      </c>
      <c r="G485" t="str">
        <f>VLOOKUP(D485&amp;E485,N:Q,4,0)</f>
        <v>2024-08-08</v>
      </c>
      <c r="H485">
        <f>G485-F485</f>
        <v>0</v>
      </c>
      <c r="J485" t="str">
        <f>K485&amp;L485</f>
        <v>Семенова Ирина ВалерьевнаКузнецов Сергей Артемович</v>
      </c>
      <c r="K485" t="s">
        <v>57</v>
      </c>
      <c r="L485" t="s">
        <v>129</v>
      </c>
      <c r="M485" t="s">
        <v>320</v>
      </c>
      <c r="N485" t="str">
        <f>O485&amp;P485</f>
        <v>Новикова Ольга ПетровнаВасильев Дмитрий Алексеевич</v>
      </c>
      <c r="O485" t="s">
        <v>17</v>
      </c>
      <c r="P485" t="s">
        <v>18</v>
      </c>
      <c r="Q485" t="s">
        <v>330</v>
      </c>
    </row>
    <row r="486">
      <c r="D486" t="s">
        <v>57</v>
      </c>
      <c r="E486" t="s">
        <v>189</v>
      </c>
      <c r="F486" t="str">
        <f>VLOOKUP(D486&amp;E486,J:M,4,0)</f>
        <v>2023-11-14</v>
      </c>
      <c r="G486" t="str">
        <f>VLOOKUP(D486&amp;E486,N:Q,4,0)</f>
        <v>2023-11-14</v>
      </c>
      <c r="H486">
        <f>G486-F486</f>
        <v>0</v>
      </c>
      <c r="J486" t="str">
        <f>K486&amp;L486</f>
        <v>Ткаченко Андрей ОлеговичНовикова Анна Ильинична</v>
      </c>
      <c r="K486" t="s">
        <v>24</v>
      </c>
      <c r="L486" t="s">
        <v>35</v>
      </c>
      <c r="M486" t="s">
        <v>320</v>
      </c>
      <c r="N486" t="str">
        <f>O486&amp;P486</f>
        <v>Фролов Сергей ВикторовичСмирнова Наталья Артемовна</v>
      </c>
      <c r="O486" t="s">
        <v>5</v>
      </c>
      <c r="P486" t="s">
        <v>331</v>
      </c>
      <c r="Q486" t="s">
        <v>330</v>
      </c>
    </row>
    <row r="487">
      <c r="D487" t="s">
        <v>57</v>
      </c>
      <c r="E487" t="s">
        <v>42</v>
      </c>
      <c r="F487" t="str">
        <f>VLOOKUP(D487&amp;E487,J:M,4,0)</f>
        <v>2023-10-17</v>
      </c>
      <c r="G487" t="str">
        <f>VLOOKUP(D487&amp;E487,N:Q,4,0)</f>
        <v>2024-08-27</v>
      </c>
      <c r="H487">
        <f>G487-F487</f>
        <v>315</v>
      </c>
      <c r="J487" t="str">
        <f>K487&amp;L487</f>
        <v>Белов Алексей КонстантиновичВолков Матвей Кириллович</v>
      </c>
      <c r="K487" t="s">
        <v>47</v>
      </c>
      <c r="L487" t="s">
        <v>321</v>
      </c>
      <c r="M487" t="s">
        <v>320</v>
      </c>
      <c r="N487" t="str">
        <f>O487&amp;P487</f>
        <v>Семенова Ирина ВалерьевнаФедоров Алексей Павлович</v>
      </c>
      <c r="O487" t="s">
        <v>57</v>
      </c>
      <c r="P487" t="s">
        <v>174</v>
      </c>
      <c r="Q487" t="s">
        <v>329</v>
      </c>
    </row>
    <row r="488">
      <c r="D488" t="s">
        <v>57</v>
      </c>
      <c r="E488" t="s">
        <v>18</v>
      </c>
      <c r="F488" t="str">
        <f>VLOOKUP(D488&amp;E488,J:M,4,0)</f>
        <v>2024-03-04</v>
      </c>
      <c r="G488" t="str">
        <f>VLOOKUP(D488&amp;E488,N:Q,4,0)</f>
        <v>2024-03-04</v>
      </c>
      <c r="H488">
        <f>G488-F488</f>
        <v>0</v>
      </c>
      <c r="J488" t="str">
        <f>K488&amp;L488</f>
        <v>Громова Мария ИльиничнаАлексеева Ирина Андреевна</v>
      </c>
      <c r="K488" t="s">
        <v>13</v>
      </c>
      <c r="L488" t="s">
        <v>189</v>
      </c>
      <c r="M488" t="s">
        <v>320</v>
      </c>
      <c r="N488" t="str">
        <f>O488&amp;P488</f>
        <v>Орлов Павел ДенисовичПопов Матвей Викторович</v>
      </c>
      <c r="O488" t="s">
        <v>43</v>
      </c>
      <c r="P488" t="s">
        <v>113</v>
      </c>
      <c r="Q488" t="s">
        <v>329</v>
      </c>
    </row>
    <row r="489">
      <c r="D489" t="s">
        <v>57</v>
      </c>
      <c r="E489" t="s">
        <v>284</v>
      </c>
      <c r="F489" t="str">
        <f>VLOOKUP(D489&amp;E489,J:M,4,0)</f>
        <v>2024-03-13</v>
      </c>
      <c r="G489" t="str">
        <f>VLOOKUP(D489&amp;E489,N:Q,4,0)</f>
        <v>2024-03-13</v>
      </c>
      <c r="H489">
        <f>G489-F489</f>
        <v>0</v>
      </c>
      <c r="J489" t="str">
        <f>K489&amp;L489</f>
        <v>Кузнецов Дмитрий ЛьвовичСмирнов Артем Егорович</v>
      </c>
      <c r="K489" t="s">
        <v>8</v>
      </c>
      <c r="L489" t="s">
        <v>316</v>
      </c>
      <c r="M489" t="s">
        <v>322</v>
      </c>
      <c r="N489" t="str">
        <f>O489&amp;P489</f>
        <v>Белов Алексей КонстантиновичСтепанов Матвей Михайлович</v>
      </c>
      <c r="O489" t="s">
        <v>47</v>
      </c>
      <c r="P489" t="s">
        <v>144</v>
      </c>
      <c r="Q489" t="s">
        <v>328</v>
      </c>
    </row>
    <row r="490">
      <c r="D490" t="s">
        <v>57</v>
      </c>
      <c r="E490" t="s">
        <v>142</v>
      </c>
      <c r="F490" t="str">
        <f>VLOOKUP(D490&amp;E490,J:M,4,0)</f>
        <v>2024-01-15</v>
      </c>
      <c r="G490" t="str">
        <f>VLOOKUP(D490&amp;E490,N:Q,4,0)</f>
        <v>2024-01-15</v>
      </c>
      <c r="H490">
        <f>G490-F490</f>
        <v>0</v>
      </c>
      <c r="J490" t="str">
        <f>K490&amp;L490</f>
        <v>Сидорова Елена ВасильевнаНиколаев Владимир Геннадьевич</v>
      </c>
      <c r="K490" t="s">
        <v>15</v>
      </c>
      <c r="L490" t="s">
        <v>267</v>
      </c>
      <c r="M490" t="s">
        <v>322</v>
      </c>
      <c r="N490" t="str">
        <f>O490&amp;P490</f>
        <v>Сидорова Елена ВасильевнаНиколаев Дмитрий Павлович</v>
      </c>
      <c r="O490" t="s">
        <v>15</v>
      </c>
      <c r="P490" t="s">
        <v>37</v>
      </c>
      <c r="Q490" t="s">
        <v>328</v>
      </c>
    </row>
    <row r="491">
      <c r="D491" t="s">
        <v>57</v>
      </c>
      <c r="E491" t="s">
        <v>231</v>
      </c>
      <c r="F491" t="str">
        <f>VLOOKUP(D491&amp;E491,J:M,4,0)</f>
        <v>2024-08-29</v>
      </c>
      <c r="G491" t="str">
        <f>VLOOKUP(D491&amp;E491,N:Q,4,0)</f>
        <v>2024-08-29</v>
      </c>
      <c r="H491">
        <f>G491-F491</f>
        <v>0</v>
      </c>
      <c r="J491" t="str">
        <f>K491&amp;L491</f>
        <v>Яковлев Артем ИгоревичВасильев Кирилл Иванович</v>
      </c>
      <c r="K491" t="s">
        <v>21</v>
      </c>
      <c r="L491" t="s">
        <v>284</v>
      </c>
      <c r="M491" t="s">
        <v>322</v>
      </c>
      <c r="N491" t="str">
        <f>O491&amp;P491</f>
        <v>Семенова Ирина ВалерьевнаВолков Константин Александрович</v>
      </c>
      <c r="O491" t="s">
        <v>57</v>
      </c>
      <c r="P491" t="s">
        <v>256</v>
      </c>
      <c r="Q491" t="s">
        <v>328</v>
      </c>
    </row>
    <row r="492">
      <c r="D492" t="s">
        <v>57</v>
      </c>
      <c r="E492" t="s">
        <v>256</v>
      </c>
      <c r="F492" t="str">
        <f>VLOOKUP(D492&amp;E492,J:M,4,0)</f>
        <v>2024-03-04</v>
      </c>
      <c r="G492" t="str">
        <f>VLOOKUP(D492&amp;E492,N:Q,4,0)</f>
        <v>2024-03-04</v>
      </c>
      <c r="H492">
        <f>G492-F492</f>
        <v>0</v>
      </c>
      <c r="J492" t="str">
        <f>K492&amp;L492</f>
        <v>Сидорова Елена ВасильевнаСтепанов Кирилл Павлович</v>
      </c>
      <c r="K492" t="s">
        <v>15</v>
      </c>
      <c r="L492" t="s">
        <v>123</v>
      </c>
      <c r="M492" t="s">
        <v>322</v>
      </c>
      <c r="N492" t="str">
        <f>O492&amp;P492</f>
        <v>Семенова Ирина ВалерьевнаВасильев Дмитрий Алексеевич</v>
      </c>
      <c r="O492" t="s">
        <v>57</v>
      </c>
      <c r="P492" t="s">
        <v>18</v>
      </c>
      <c r="Q492" t="s">
        <v>328</v>
      </c>
    </row>
    <row r="493">
      <c r="D493" t="s">
        <v>57</v>
      </c>
      <c r="E493" t="s">
        <v>161</v>
      </c>
      <c r="F493" t="str">
        <f>VLOOKUP(D493&amp;E493,J:M,4,0)</f>
        <v>2024-05-13</v>
      </c>
      <c r="G493" t="str">
        <f>VLOOKUP(D493&amp;E493,N:Q,4,0)</f>
        <v>2024-05-13</v>
      </c>
      <c r="H493">
        <f>G493-F493</f>
        <v>0</v>
      </c>
      <c r="J493" t="str">
        <f>K493&amp;L493</f>
        <v>Фролов Сергей ВикторовичФедорова Екатерина Сергеевна</v>
      </c>
      <c r="K493" t="s">
        <v>5</v>
      </c>
      <c r="L493" t="s">
        <v>143</v>
      </c>
      <c r="M493" t="s">
        <v>322</v>
      </c>
      <c r="N493" t="str">
        <f>O493&amp;P493</f>
        <v>Орлов Павел ДенисовичВасильев Александр Павлович</v>
      </c>
      <c r="O493" t="s">
        <v>43</v>
      </c>
      <c r="P493" t="s">
        <v>291</v>
      </c>
      <c r="Q493" t="s">
        <v>328</v>
      </c>
    </row>
    <row r="494">
      <c r="D494" t="s">
        <v>57</v>
      </c>
      <c r="E494" t="s">
        <v>196</v>
      </c>
      <c r="F494" t="str">
        <f>VLOOKUP(D494&amp;E494,J:M,4,0)</f>
        <v>2023-11-27</v>
      </c>
      <c r="G494" t="str">
        <f>VLOOKUP(D494&amp;E494,N:Q,4,0)</f>
        <v>2024-05-15</v>
      </c>
      <c r="H494">
        <f>G494-F494</f>
        <v>170</v>
      </c>
      <c r="J494" t="str">
        <f>K494&amp;L494</f>
        <v>Петров Владимир КирилловичПопова Светлана Дмитриевна</v>
      </c>
      <c r="K494" t="s">
        <v>28</v>
      </c>
      <c r="L494" t="s">
        <v>69</v>
      </c>
      <c r="M494" t="s">
        <v>323</v>
      </c>
      <c r="N494" t="str">
        <f>O494&amp;P494</f>
        <v>Громова Мария ИльиничнаИванов Никита Павлович</v>
      </c>
      <c r="O494" t="s">
        <v>13</v>
      </c>
      <c r="P494" t="s">
        <v>71</v>
      </c>
      <c r="Q494" t="s">
        <v>328</v>
      </c>
    </row>
    <row r="495">
      <c r="D495" t="s">
        <v>57</v>
      </c>
      <c r="E495" t="s">
        <v>272</v>
      </c>
      <c r="F495" t="str">
        <f>VLOOKUP(D495&amp;E495,J:M,4,0)</f>
        <v>2024-08-08</v>
      </c>
      <c r="G495" t="str">
        <f>VLOOKUP(D495&amp;E495,N:Q,4,0)</f>
        <v>2024-08-08</v>
      </c>
      <c r="H495">
        <f>G495-F495</f>
        <v>0</v>
      </c>
      <c r="J495" t="str">
        <f>K495&amp;L495</f>
        <v>Сидорова Елена ВасильевнаКузнецова Екатерина Александровна</v>
      </c>
      <c r="K495" t="s">
        <v>15</v>
      </c>
      <c r="L495" t="s">
        <v>92</v>
      </c>
      <c r="M495" t="s">
        <v>323</v>
      </c>
      <c r="N495" t="str">
        <f>O495&amp;P495</f>
        <v>Новикова Ольга ПетровнаСидоров Алексей Кириллович</v>
      </c>
      <c r="O495" t="s">
        <v>17</v>
      </c>
      <c r="P495" t="s">
        <v>14</v>
      </c>
      <c r="Q495" t="s">
        <v>328</v>
      </c>
    </row>
    <row r="496">
      <c r="D496" t="s">
        <v>57</v>
      </c>
      <c r="E496" t="s">
        <v>140</v>
      </c>
      <c r="F496" t="str">
        <f>VLOOKUP(D496&amp;E496,J:M,4,0)</f>
        <v>2023-10-19</v>
      </c>
      <c r="G496" t="str">
        <f>VLOOKUP(D496&amp;E496,N:Q,4,0)</f>
        <v>2023-10-19</v>
      </c>
      <c r="H496">
        <f>G496-F496</f>
        <v>0</v>
      </c>
      <c r="J496" t="str">
        <f>K496&amp;L496</f>
        <v>Сидорова Елена ВасильевнаСеменова Ольга Олеговна</v>
      </c>
      <c r="K496" t="s">
        <v>15</v>
      </c>
      <c r="L496" t="s">
        <v>308</v>
      </c>
      <c r="M496" t="s">
        <v>324</v>
      </c>
      <c r="N496" t="str">
        <f>O496&amp;P496</f>
        <v>Орлов Павел ДенисовичСмирнов Максим Олегович</v>
      </c>
      <c r="O496" t="s">
        <v>43</v>
      </c>
      <c r="P496" t="s">
        <v>327</v>
      </c>
      <c r="Q496" t="s">
        <v>328</v>
      </c>
    </row>
    <row r="497">
      <c r="D497" t="s">
        <v>57</v>
      </c>
      <c r="E497" t="s">
        <v>71</v>
      </c>
      <c r="F497" t="str">
        <f>VLOOKUP(D497&amp;E497,J:M,4,0)</f>
        <v>2023-12-12</v>
      </c>
      <c r="G497" t="str">
        <f>VLOOKUP(D497&amp;E497,N:Q,4,0)</f>
        <v>2023-12-12</v>
      </c>
      <c r="H497">
        <f>G497-F497</f>
        <v>0</v>
      </c>
      <c r="J497" t="str">
        <f>K497&amp;L497</f>
        <v>Иванова Анна СергеевнаСидорова Екатерина Романовна</v>
      </c>
      <c r="K497" t="s">
        <v>11</v>
      </c>
      <c r="L497" t="s">
        <v>257</v>
      </c>
      <c r="M497" t="s">
        <v>324</v>
      </c>
      <c r="N497" t="str">
        <f>O497&amp;P497</f>
        <v>Ткаченко Андрей ОлеговичПопов Александр Владимирович</v>
      </c>
      <c r="O497" t="s">
        <v>24</v>
      </c>
      <c r="P497" t="s">
        <v>160</v>
      </c>
      <c r="Q497" t="s">
        <v>328</v>
      </c>
    </row>
    <row r="498">
      <c r="D498" t="s">
        <v>57</v>
      </c>
      <c r="E498" t="s">
        <v>103</v>
      </c>
      <c r="F498" t="str">
        <f>VLOOKUP(D498&amp;E498,J:M,4,0)</f>
        <v>2023-11-06</v>
      </c>
      <c r="G498" t="str">
        <f>VLOOKUP(D498&amp;E498,N:Q,4,0)</f>
        <v>2023-11-06</v>
      </c>
      <c r="H498">
        <f>G498-F498</f>
        <v>0</v>
      </c>
      <c r="J498" t="str">
        <f>K498&amp;L498</f>
        <v>Сидорова Елена ВасильевнаВолкова Анна Кирилловна</v>
      </c>
      <c r="K498" t="s">
        <v>15</v>
      </c>
      <c r="L498" t="s">
        <v>223</v>
      </c>
      <c r="M498" t="s">
        <v>325</v>
      </c>
      <c r="N498" t="str">
        <f>O498&amp;P498</f>
        <v>Ткаченко Андрей ОлеговичМорозова Юлия Геннадьевна</v>
      </c>
      <c r="O498" t="s">
        <v>24</v>
      </c>
      <c r="P498" t="s">
        <v>163</v>
      </c>
      <c r="Q498" t="s">
        <v>328</v>
      </c>
    </row>
    <row r="499">
      <c r="D499" t="s">
        <v>57</v>
      </c>
      <c r="E499" t="s">
        <v>118</v>
      </c>
      <c r="F499" t="str">
        <f>VLOOKUP(D499&amp;E499,J:M,4,0)</f>
        <v>2023-10-09</v>
      </c>
      <c r="G499" t="str">
        <f>VLOOKUP(D499&amp;E499,N:Q,4,0)</f>
        <v>2024-05-01</v>
      </c>
      <c r="H499">
        <f>G499-F499</f>
        <v>205</v>
      </c>
      <c r="J499" t="str">
        <f>K499&amp;L499</f>
        <v>Орлов Павел ДенисовичПавлов Илья Артемович</v>
      </c>
      <c r="K499" t="s">
        <v>43</v>
      </c>
      <c r="L499" t="s">
        <v>158</v>
      </c>
      <c r="M499" t="s">
        <v>325</v>
      </c>
      <c r="N499" t="str">
        <f>O499&amp;P499</f>
        <v>Сидорова Елена ВасильевнаМорозов Матвей Романович</v>
      </c>
      <c r="O499" t="s">
        <v>15</v>
      </c>
      <c r="P499" t="s">
        <v>39</v>
      </c>
      <c r="Q499" t="s">
        <v>328</v>
      </c>
    </row>
    <row r="500">
      <c r="D500" t="s">
        <v>57</v>
      </c>
      <c r="E500" t="s">
        <v>59</v>
      </c>
      <c r="F500" t="str">
        <f>VLOOKUP(D500&amp;E500,J:M,4,0)</f>
        <v>2024-01-22</v>
      </c>
      <c r="G500" t="str">
        <f>VLOOKUP(D500&amp;E500,N:Q,4,0)</f>
        <v>2024-01-22</v>
      </c>
      <c r="H500">
        <f>G500-F500</f>
        <v>0</v>
      </c>
      <c r="J500" t="str">
        <f>K500&amp;L500</f>
        <v>Иванова Анна СергеевнаПопова Полина Романовна</v>
      </c>
      <c r="K500" t="s">
        <v>11</v>
      </c>
      <c r="L500" t="s">
        <v>192</v>
      </c>
      <c r="M500" t="s">
        <v>325</v>
      </c>
      <c r="N500" t="str">
        <f>O500&amp;P500</f>
        <v>Белов Алексей КонстантиновичПопова София Никитична</v>
      </c>
      <c r="O500" t="s">
        <v>47</v>
      </c>
      <c r="P500" t="s">
        <v>288</v>
      </c>
      <c r="Q500" t="s">
        <v>328</v>
      </c>
    </row>
    <row r="501">
      <c r="D501" t="s">
        <v>57</v>
      </c>
      <c r="E501" t="s">
        <v>98</v>
      </c>
      <c r="F501" t="str">
        <f>VLOOKUP(D501&amp;E501,J:M,4,0)</f>
        <v>2023-10-02</v>
      </c>
      <c r="G501" t="str">
        <f>VLOOKUP(D501&amp;E501,N:Q,4,0)</f>
        <v>2023-10-02</v>
      </c>
      <c r="H501">
        <f>G501-F501</f>
        <v>0</v>
      </c>
      <c r="J501" t="str">
        <f>K501&amp;L501</f>
        <v>Белов Алексей КонстантиновичПетров Сергей Андреевич</v>
      </c>
      <c r="K501" t="s">
        <v>47</v>
      </c>
      <c r="L501" t="s">
        <v>52</v>
      </c>
      <c r="M501" t="s">
        <v>326</v>
      </c>
      <c r="N501" t="str">
        <f>O501&amp;P501</f>
        <v>Белов Алексей КонстантиновичПетров Сергей Андреевич</v>
      </c>
      <c r="O501" t="s">
        <v>47</v>
      </c>
      <c r="P501" t="s">
        <v>52</v>
      </c>
      <c r="Q501" t="s">
        <v>326</v>
      </c>
    </row>
    <row r="502">
      <c r="D502" t="s">
        <v>57</v>
      </c>
      <c r="E502" t="s">
        <v>222</v>
      </c>
      <c r="F502" t="str">
        <f>VLOOKUP(D502&amp;E502,J:M,4,0)</f>
        <v>2024-08-05</v>
      </c>
      <c r="G502" t="str">
        <f>VLOOKUP(D502&amp;E502,N:Q,4,0)</f>
        <v>2024-08-05</v>
      </c>
      <c r="H502">
        <f>G502-F502</f>
        <v>0</v>
      </c>
      <c r="J502" t="str">
        <f>K502&amp;L502</f>
        <v>Ткаченко Андрей ОлеговичСмирнов Максим Олегович</v>
      </c>
      <c r="K502" t="s">
        <v>24</v>
      </c>
      <c r="L502" t="s">
        <v>327</v>
      </c>
      <c r="M502" t="s">
        <v>326</v>
      </c>
      <c r="N502" t="str">
        <f>O502&amp;P502</f>
        <v>Ткаченко Андрей ОлеговичСмирнов Максим Олегович</v>
      </c>
      <c r="O502" t="s">
        <v>24</v>
      </c>
      <c r="P502" t="s">
        <v>327</v>
      </c>
      <c r="Q502" t="s">
        <v>326</v>
      </c>
    </row>
    <row r="503">
      <c r="D503" t="s">
        <v>57</v>
      </c>
      <c r="E503" t="s">
        <v>217</v>
      </c>
      <c r="F503" t="str">
        <f>VLOOKUP(D503&amp;E503,J:M,4,0)</f>
        <v>2023-11-30</v>
      </c>
      <c r="G503" t="str">
        <f>VLOOKUP(D503&amp;E503,N:Q,4,0)</f>
        <v>2023-11-30</v>
      </c>
      <c r="H503">
        <f>G503-F503</f>
        <v>0</v>
      </c>
      <c r="J503" t="str">
        <f>K503&amp;L503</f>
        <v>Белов Алексей КонстантиновичСтепанов Матвей Михайлович</v>
      </c>
      <c r="K503" t="s">
        <v>47</v>
      </c>
      <c r="L503" t="s">
        <v>144</v>
      </c>
      <c r="M503" t="s">
        <v>328</v>
      </c>
      <c r="N503" t="str">
        <f>O503&amp;P503</f>
        <v>Сидорова Елена ВасильевнаВолкова Анна Кирилловна</v>
      </c>
      <c r="O503" t="s">
        <v>15</v>
      </c>
      <c r="P503" t="s">
        <v>223</v>
      </c>
      <c r="Q503" t="s">
        <v>325</v>
      </c>
    </row>
    <row r="504">
      <c r="D504" t="s">
        <v>57</v>
      </c>
      <c r="E504" t="s">
        <v>185</v>
      </c>
      <c r="F504" t="str">
        <f>VLOOKUP(D504&amp;E504,J:M,4,0)</f>
        <v>2024-05-06</v>
      </c>
      <c r="G504" t="str">
        <f>VLOOKUP(D504&amp;E504,N:Q,4,0)</f>
        <v>2024-08-06</v>
      </c>
      <c r="H504">
        <f>G504-F504</f>
        <v>92</v>
      </c>
      <c r="J504" t="str">
        <f>K504&amp;L504</f>
        <v>Сидорова Елена ВасильевнаНиколаев Дмитрий Павлович</v>
      </c>
      <c r="K504" t="s">
        <v>15</v>
      </c>
      <c r="L504" t="s">
        <v>37</v>
      </c>
      <c r="M504" t="s">
        <v>328</v>
      </c>
      <c r="N504" t="str">
        <f>O504&amp;P504</f>
        <v>Орлов Павел ДенисовичПавлов Илья Артемович</v>
      </c>
      <c r="O504" t="s">
        <v>43</v>
      </c>
      <c r="P504" t="s">
        <v>158</v>
      </c>
      <c r="Q504" t="s">
        <v>325</v>
      </c>
    </row>
    <row r="505">
      <c r="D505" t="s">
        <v>57</v>
      </c>
      <c r="E505" t="s">
        <v>110</v>
      </c>
      <c r="F505" t="str">
        <f>VLOOKUP(D505&amp;E505,J:M,4,0)</f>
        <v>2023-12-04</v>
      </c>
      <c r="G505" t="str">
        <f>VLOOKUP(D505&amp;E505,N:Q,4,0)</f>
        <v>2023-12-04</v>
      </c>
      <c r="H505">
        <f>G505-F505</f>
        <v>0</v>
      </c>
      <c r="J505" t="str">
        <f>K505&amp;L505</f>
        <v>Семенова Ирина ВалерьевнаВолков Константин Александрович</v>
      </c>
      <c r="K505" t="s">
        <v>57</v>
      </c>
      <c r="L505" t="s">
        <v>256</v>
      </c>
      <c r="M505" t="s">
        <v>328</v>
      </c>
      <c r="N505" t="str">
        <f>O505&amp;P505</f>
        <v>Иванова Анна СергеевнаПопова Полина Романовна</v>
      </c>
      <c r="O505" t="s">
        <v>11</v>
      </c>
      <c r="P505" t="s">
        <v>192</v>
      </c>
      <c r="Q505" t="s">
        <v>325</v>
      </c>
    </row>
    <row r="506">
      <c r="D506" t="s">
        <v>57</v>
      </c>
      <c r="E506" t="s">
        <v>130</v>
      </c>
      <c r="F506" t="str">
        <f>VLOOKUP(D506&amp;E506,J:M,4,0)</f>
        <v>2024-06-05</v>
      </c>
      <c r="G506" t="str">
        <f>VLOOKUP(D506&amp;E506,N:Q,4,0)</f>
        <v>2024-06-05</v>
      </c>
      <c r="H506">
        <f>G506-F506</f>
        <v>0</v>
      </c>
      <c r="J506" t="str">
        <f>K506&amp;L506</f>
        <v>Семенова Ирина ВалерьевнаВасильев Дмитрий Алексеевич</v>
      </c>
      <c r="K506" t="s">
        <v>57</v>
      </c>
      <c r="L506" t="s">
        <v>18</v>
      </c>
      <c r="M506" t="s">
        <v>328</v>
      </c>
      <c r="N506" t="str">
        <f>O506&amp;P506</f>
        <v>Сидорова Елена ВасильевнаСеменова Ольга Олеговна</v>
      </c>
      <c r="O506" t="s">
        <v>15</v>
      </c>
      <c r="P506" t="s">
        <v>308</v>
      </c>
      <c r="Q506" t="s">
        <v>324</v>
      </c>
    </row>
    <row r="507">
      <c r="D507" t="s">
        <v>57</v>
      </c>
      <c r="E507" t="s">
        <v>162</v>
      </c>
      <c r="F507" t="str">
        <f>VLOOKUP(D507&amp;E507,J:M,4,0)</f>
        <v>2023-11-02</v>
      </c>
      <c r="G507" t="str">
        <f>VLOOKUP(D507&amp;E507,N:Q,4,0)</f>
        <v>2023-11-02</v>
      </c>
      <c r="H507">
        <f>G507-F507</f>
        <v>0</v>
      </c>
      <c r="J507" t="str">
        <f>K507&amp;L507</f>
        <v>Орлов Павел ДенисовичВасильев Александр Павлович</v>
      </c>
      <c r="K507" t="s">
        <v>43</v>
      </c>
      <c r="L507" t="s">
        <v>291</v>
      </c>
      <c r="M507" t="s">
        <v>328</v>
      </c>
      <c r="N507" t="str">
        <f>O507&amp;P507</f>
        <v>Иванова Анна СергеевнаСидорова Екатерина Романовна</v>
      </c>
      <c r="O507" t="s">
        <v>11</v>
      </c>
      <c r="P507" t="s">
        <v>257</v>
      </c>
      <c r="Q507" t="s">
        <v>324</v>
      </c>
    </row>
    <row r="508">
      <c r="D508" t="s">
        <v>57</v>
      </c>
      <c r="E508" t="s">
        <v>129</v>
      </c>
      <c r="F508" t="str">
        <f>VLOOKUP(D508&amp;E508,J:M,4,0)</f>
        <v>2024-02-23</v>
      </c>
      <c r="G508" t="str">
        <f>VLOOKUP(D508&amp;E508,N:Q,4,0)</f>
        <v>2024-02-23</v>
      </c>
      <c r="H508">
        <f>G508-F508</f>
        <v>0</v>
      </c>
      <c r="J508" t="str">
        <f>K508&amp;L508</f>
        <v>Громова Мария ИльиничнаИванов Никита Павлович</v>
      </c>
      <c r="K508" t="s">
        <v>13</v>
      </c>
      <c r="L508" t="s">
        <v>71</v>
      </c>
      <c r="M508" t="s">
        <v>328</v>
      </c>
      <c r="N508" t="str">
        <f>O508&amp;P508</f>
        <v>Петров Владимир КирилловичПопова Светлана Дмитриевна</v>
      </c>
      <c r="O508" t="s">
        <v>28</v>
      </c>
      <c r="P508" t="s">
        <v>69</v>
      </c>
      <c r="Q508" t="s">
        <v>323</v>
      </c>
    </row>
    <row r="509">
      <c r="D509" t="s">
        <v>57</v>
      </c>
      <c r="E509" t="s">
        <v>92</v>
      </c>
      <c r="F509" t="str">
        <f>VLOOKUP(D509&amp;E509,J:M,4,0)</f>
        <v>2024-04-10</v>
      </c>
      <c r="G509" t="str">
        <f>VLOOKUP(D509&amp;E509,N:Q,4,0)</f>
        <v>2024-04-10</v>
      </c>
      <c r="H509">
        <f>G509-F509</f>
        <v>0</v>
      </c>
      <c r="J509" t="str">
        <f>K509&amp;L509</f>
        <v>Новикова Ольга ПетровнаСидоров Алексей Кириллович</v>
      </c>
      <c r="K509" t="s">
        <v>17</v>
      </c>
      <c r="L509" t="s">
        <v>14</v>
      </c>
      <c r="M509" t="s">
        <v>328</v>
      </c>
      <c r="N509" t="str">
        <f>O509&amp;P509</f>
        <v>Сидорова Елена ВасильевнаКузнецова Екатерина Александровна</v>
      </c>
      <c r="O509" t="s">
        <v>15</v>
      </c>
      <c r="P509" t="s">
        <v>92</v>
      </c>
      <c r="Q509" t="s">
        <v>323</v>
      </c>
    </row>
    <row r="510">
      <c r="D510" t="s">
        <v>57</v>
      </c>
      <c r="E510" t="s">
        <v>29</v>
      </c>
      <c r="F510" t="str">
        <f>VLOOKUP(D510&amp;E510,J:M,4,0)</f>
        <v>2024-03-26</v>
      </c>
      <c r="G510" t="str">
        <f>VLOOKUP(D510&amp;E510,N:Q,4,0)</f>
        <v>2024-03-26</v>
      </c>
      <c r="H510">
        <f>G510-F510</f>
        <v>0</v>
      </c>
      <c r="J510" t="str">
        <f>K510&amp;L510</f>
        <v>Орлов Павел ДенисовичСмирнов Максим Олегович</v>
      </c>
      <c r="K510" t="s">
        <v>43</v>
      </c>
      <c r="L510" t="s">
        <v>327</v>
      </c>
      <c r="M510" t="s">
        <v>328</v>
      </c>
      <c r="N510" t="str">
        <f>O510&amp;P510</f>
        <v>Кузнецов Дмитрий ЛьвовичСмирнов Артем Егорович</v>
      </c>
      <c r="O510" t="s">
        <v>8</v>
      </c>
      <c r="P510" t="s">
        <v>316</v>
      </c>
      <c r="Q510" t="s">
        <v>322</v>
      </c>
    </row>
    <row r="511">
      <c r="D511" t="s">
        <v>57</v>
      </c>
      <c r="E511" t="s">
        <v>237</v>
      </c>
      <c r="F511" t="str">
        <f>VLOOKUP(D511&amp;E511,J:M,4,0)</f>
        <v>2023-12-18</v>
      </c>
      <c r="G511" t="str">
        <f>VLOOKUP(D511&amp;E511,N:Q,4,0)</f>
        <v>2023-12-18</v>
      </c>
      <c r="H511">
        <f>G511-F511</f>
        <v>0</v>
      </c>
      <c r="J511" t="str">
        <f>K511&amp;L511</f>
        <v>Ткаченко Андрей ОлеговичПопов Александр Владимирович</v>
      </c>
      <c r="K511" t="s">
        <v>24</v>
      </c>
      <c r="L511" t="s">
        <v>160</v>
      </c>
      <c r="M511" t="s">
        <v>328</v>
      </c>
      <c r="N511" t="str">
        <f>O511&amp;P511</f>
        <v>Сидорова Елена ВасильевнаНиколаев Владимир Геннадьевич</v>
      </c>
      <c r="O511" t="s">
        <v>15</v>
      </c>
      <c r="P511" t="s">
        <v>267</v>
      </c>
      <c r="Q511" t="s">
        <v>322</v>
      </c>
    </row>
    <row r="512">
      <c r="D512" t="s">
        <v>57</v>
      </c>
      <c r="E512" t="s">
        <v>273</v>
      </c>
      <c r="F512" t="str">
        <f>VLOOKUP(D512&amp;E512,J:M,4,0)</f>
        <v>2024-01-10</v>
      </c>
      <c r="G512" t="str">
        <f>VLOOKUP(D512&amp;E512,N:Q,4,0)</f>
        <v>2024-04-10</v>
      </c>
      <c r="H512">
        <f>G512-F512</f>
        <v>91</v>
      </c>
      <c r="J512" t="str">
        <f>K512&amp;L512</f>
        <v>Ткаченко Андрей ОлеговичМорозова Юлия Геннадьевна</v>
      </c>
      <c r="K512" t="s">
        <v>24</v>
      </c>
      <c r="L512" t="s">
        <v>163</v>
      </c>
      <c r="M512" t="s">
        <v>328</v>
      </c>
      <c r="N512" t="str">
        <f>O512&amp;P512</f>
        <v>Яковлев Артем ИгоревичВасильев Кирилл Иванович</v>
      </c>
      <c r="O512" t="s">
        <v>21</v>
      </c>
      <c r="P512" t="s">
        <v>284</v>
      </c>
      <c r="Q512" t="s">
        <v>322</v>
      </c>
    </row>
    <row r="513">
      <c r="D513" t="s">
        <v>57</v>
      </c>
      <c r="E513" t="s">
        <v>138</v>
      </c>
      <c r="F513" t="str">
        <f>VLOOKUP(D513&amp;E513,J:M,4,0)</f>
        <v>2024-01-01</v>
      </c>
      <c r="G513" t="str">
        <f>VLOOKUP(D513&amp;E513,N:Q,4,0)</f>
        <v>2024-01-01</v>
      </c>
      <c r="H513">
        <f>G513-F513</f>
        <v>0</v>
      </c>
      <c r="J513" t="str">
        <f>K513&amp;L513</f>
        <v>Сидорова Елена ВасильевнаМорозов Матвей Романович</v>
      </c>
      <c r="K513" t="s">
        <v>15</v>
      </c>
      <c r="L513" t="s">
        <v>39</v>
      </c>
      <c r="M513" t="s">
        <v>328</v>
      </c>
      <c r="N513" t="str">
        <f>O513&amp;P513</f>
        <v>Сидорова Елена ВасильевнаСтепанов Кирилл Павлович</v>
      </c>
      <c r="O513" t="s">
        <v>15</v>
      </c>
      <c r="P513" t="s">
        <v>123</v>
      </c>
      <c r="Q513" t="s">
        <v>322</v>
      </c>
    </row>
    <row r="514">
      <c r="D514" t="s">
        <v>57</v>
      </c>
      <c r="E514" t="s">
        <v>65</v>
      </c>
      <c r="F514" t="str">
        <f>VLOOKUP(D514&amp;E514,J:M,4,0)</f>
        <v>2024-04-01</v>
      </c>
      <c r="G514" t="str">
        <f>VLOOKUP(D514&amp;E514,N:Q,4,0)</f>
        <v>2024-04-01</v>
      </c>
      <c r="H514">
        <f>G514-F514</f>
        <v>0</v>
      </c>
      <c r="J514" t="str">
        <f>K514&amp;L514</f>
        <v>Белов Алексей КонстантиновичПопова София Никитична</v>
      </c>
      <c r="K514" t="s">
        <v>47</v>
      </c>
      <c r="L514" t="s">
        <v>288</v>
      </c>
      <c r="M514" t="s">
        <v>328</v>
      </c>
      <c r="N514" t="str">
        <f>O514&amp;P514</f>
        <v>Фролов Сергей ВикторовичФедорова Екатерина Сергеевна</v>
      </c>
      <c r="O514" t="s">
        <v>5</v>
      </c>
      <c r="P514" t="s">
        <v>143</v>
      </c>
      <c r="Q514" t="s">
        <v>322</v>
      </c>
    </row>
    <row r="515">
      <c r="D515" t="s">
        <v>57</v>
      </c>
      <c r="E515" t="s">
        <v>108</v>
      </c>
      <c r="F515" t="str">
        <f>VLOOKUP(D515&amp;E515,J:M,4,0)</f>
        <v>2024-02-12</v>
      </c>
      <c r="G515" t="str">
        <f>VLOOKUP(D515&amp;E515,N:Q,4,0)</f>
        <v>2024-04-25</v>
      </c>
      <c r="H515">
        <f>G515-F515</f>
        <v>73</v>
      </c>
      <c r="J515" t="str">
        <f>K515&amp;L515</f>
        <v>Семенова Ирина ВалерьевнаФедоров Алексей Павлович</v>
      </c>
      <c r="K515" t="s">
        <v>57</v>
      </c>
      <c r="L515" t="s">
        <v>174</v>
      </c>
      <c r="M515" t="s">
        <v>329</v>
      </c>
      <c r="N515" t="str">
        <f>O515&amp;P515</f>
        <v>Иванова Анна СергеевнаНиколаев Георгий Ильич</v>
      </c>
      <c r="O515" t="s">
        <v>11</v>
      </c>
      <c r="P515" t="s">
        <v>91</v>
      </c>
      <c r="Q515" t="s">
        <v>320</v>
      </c>
    </row>
    <row r="516">
      <c r="D516" t="s">
        <v>57</v>
      </c>
      <c r="E516" t="s">
        <v>163</v>
      </c>
      <c r="F516" t="str">
        <f>VLOOKUP(D516&amp;E516,J:M,4,0)</f>
        <v>2023-10-30</v>
      </c>
      <c r="G516" t="str">
        <f>VLOOKUP(D516&amp;E516,N:Q,4,0)</f>
        <v>2023-10-30</v>
      </c>
      <c r="H516">
        <f>G516-F516</f>
        <v>0</v>
      </c>
      <c r="J516" t="str">
        <f>K516&amp;L516</f>
        <v>Орлов Павел ДенисовичПопов Матвей Викторович</v>
      </c>
      <c r="K516" t="s">
        <v>43</v>
      </c>
      <c r="L516" t="s">
        <v>113</v>
      </c>
      <c r="M516" t="s">
        <v>329</v>
      </c>
      <c r="N516" t="str">
        <f>O516&amp;P516</f>
        <v>Семенова Ирина ВалерьевнаКузнецов Сергей Артемович</v>
      </c>
      <c r="O516" t="s">
        <v>57</v>
      </c>
      <c r="P516" t="s">
        <v>129</v>
      </c>
      <c r="Q516" t="s">
        <v>320</v>
      </c>
    </row>
    <row r="517">
      <c r="D517" t="s">
        <v>57</v>
      </c>
      <c r="E517" t="s">
        <v>182</v>
      </c>
      <c r="F517" t="str">
        <f>VLOOKUP(D517&amp;E517,J:M,4,0)</f>
        <v>2023-11-10</v>
      </c>
      <c r="G517" t="str">
        <f>VLOOKUP(D517&amp;E517,N:Q,4,0)</f>
        <v>2023-11-10</v>
      </c>
      <c r="H517">
        <f>G517-F517</f>
        <v>0</v>
      </c>
      <c r="J517" t="str">
        <f>K517&amp;L517</f>
        <v>Кузнецов Дмитрий ЛьвовичПетров Сергей Александрович</v>
      </c>
      <c r="K517" t="s">
        <v>8</v>
      </c>
      <c r="L517" t="s">
        <v>89</v>
      </c>
      <c r="M517" t="s">
        <v>330</v>
      </c>
      <c r="N517" t="str">
        <f>O517&amp;P517</f>
        <v>Ткаченко Андрей ОлеговичНовикова Анна Ильинична</v>
      </c>
      <c r="O517" t="s">
        <v>24</v>
      </c>
      <c r="P517" t="s">
        <v>35</v>
      </c>
      <c r="Q517" t="s">
        <v>320</v>
      </c>
    </row>
    <row r="518">
      <c r="D518" t="s">
        <v>57</v>
      </c>
      <c r="E518" t="s">
        <v>248</v>
      </c>
      <c r="F518" t="str">
        <f>VLOOKUP(D518&amp;E518,J:M,4,0)</f>
        <v>2024-03-11</v>
      </c>
      <c r="G518" t="str">
        <f>VLOOKUP(D518&amp;E518,N:Q,4,0)</f>
        <v>2024-03-11</v>
      </c>
      <c r="H518">
        <f>G518-F518</f>
        <v>0</v>
      </c>
      <c r="J518" t="str">
        <f>K518&amp;L518</f>
        <v>Новикова Ольга ПетровнаВасильев Дмитрий Алексеевич</v>
      </c>
      <c r="K518" t="s">
        <v>17</v>
      </c>
      <c r="L518" t="s">
        <v>18</v>
      </c>
      <c r="M518" t="s">
        <v>330</v>
      </c>
      <c r="N518" t="str">
        <f>O518&amp;P518</f>
        <v>Белов Алексей КонстантиновичВолков Матвей Кириллович</v>
      </c>
      <c r="O518" t="s">
        <v>47</v>
      </c>
      <c r="P518" t="s">
        <v>321</v>
      </c>
      <c r="Q518" t="s">
        <v>320</v>
      </c>
    </row>
    <row r="519">
      <c r="D519" t="s">
        <v>57</v>
      </c>
      <c r="E519" t="s">
        <v>190</v>
      </c>
      <c r="F519" t="str">
        <f>VLOOKUP(D519&amp;E519,J:M,4,0)</f>
        <v>2024-07-25</v>
      </c>
      <c r="G519" t="str">
        <f>VLOOKUP(D519&amp;E519,N:Q,4,0)</f>
        <v>2024-07-25</v>
      </c>
      <c r="H519">
        <f>G519-F519</f>
        <v>0</v>
      </c>
      <c r="J519" t="str">
        <f>K519&amp;L519</f>
        <v>Фролов Сергей ВикторовичСмирнова Наталья Артемовна</v>
      </c>
      <c r="K519" t="s">
        <v>5</v>
      </c>
      <c r="L519" t="s">
        <v>331</v>
      </c>
      <c r="M519" t="s">
        <v>330</v>
      </c>
      <c r="N519" t="str">
        <f>O519&amp;P519</f>
        <v>Громова Мария ИльиничнаАлексеева Ирина Андреевна</v>
      </c>
      <c r="O519" t="s">
        <v>13</v>
      </c>
      <c r="P519" t="s">
        <v>189</v>
      </c>
      <c r="Q519" t="s">
        <v>320</v>
      </c>
    </row>
    <row r="520">
      <c r="D520" t="s">
        <v>57</v>
      </c>
      <c r="E520" t="s">
        <v>91</v>
      </c>
      <c r="F520" t="str">
        <f>VLOOKUP(D520&amp;E520,J:M,4,0)</f>
        <v>2024-07-25</v>
      </c>
      <c r="G520" t="str">
        <f>VLOOKUP(D520&amp;E520,N:Q,4,0)</f>
        <v>2024-07-25</v>
      </c>
      <c r="H520">
        <f>G520-F520</f>
        <v>0</v>
      </c>
      <c r="J520" t="str">
        <f>K520&amp;L520</f>
        <v>Яковлев Артем ИгоревичИванова Виктория Михайловна</v>
      </c>
      <c r="K520" t="s">
        <v>21</v>
      </c>
      <c r="L520" t="s">
        <v>33</v>
      </c>
      <c r="M520" t="s">
        <v>332</v>
      </c>
      <c r="N520" t="str">
        <f>O520&amp;P520</f>
        <v>Новикова Ольга ПетровнаСтепанов Егор Геннадьевич</v>
      </c>
      <c r="O520" t="s">
        <v>17</v>
      </c>
      <c r="P520" t="s">
        <v>302</v>
      </c>
      <c r="Q520" t="s">
        <v>319</v>
      </c>
    </row>
    <row r="521">
      <c r="D521" t="s">
        <v>57</v>
      </c>
      <c r="E521" t="s">
        <v>186</v>
      </c>
      <c r="F521" t="str">
        <f>VLOOKUP(D521&amp;E521,J:M,4,0)</f>
        <v>2024-01-22</v>
      </c>
      <c r="G521" t="str">
        <f>VLOOKUP(D521&amp;E521,N:Q,4,0)</f>
        <v>2024-01-22</v>
      </c>
      <c r="H521">
        <f>G521-F521</f>
        <v>0</v>
      </c>
      <c r="J521" t="str">
        <f>K521&amp;L521</f>
        <v>Фролов Сергей ВикторовичСидоров Артур Алексеевич</v>
      </c>
      <c r="K521" t="s">
        <v>5</v>
      </c>
      <c r="L521" t="s">
        <v>50</v>
      </c>
      <c r="M521" t="s">
        <v>332</v>
      </c>
      <c r="N521" t="str">
        <f>O521&amp;P521</f>
        <v>Иванова Анна СергеевнаЕгорова Валерия Сергеевна</v>
      </c>
      <c r="O521" t="s">
        <v>11</v>
      </c>
      <c r="P521" t="s">
        <v>85</v>
      </c>
      <c r="Q521" t="s">
        <v>319</v>
      </c>
    </row>
    <row r="522">
      <c r="D522" t="s">
        <v>57</v>
      </c>
      <c r="E522" t="s">
        <v>119</v>
      </c>
      <c r="F522" t="str">
        <f>VLOOKUP(D522&amp;E522,J:M,4,0)</f>
        <v>2024-06-17</v>
      </c>
      <c r="G522" t="str">
        <f>VLOOKUP(D522&amp;E522,N:Q,4,0)</f>
        <v>2024-08-19</v>
      </c>
      <c r="H522">
        <f>G522-F522</f>
        <v>63</v>
      </c>
      <c r="J522" t="str">
        <f>K522&amp;L522</f>
        <v>Иванова Анна СергеевнаКузнецова София Александровна</v>
      </c>
      <c r="K522" t="s">
        <v>11</v>
      </c>
      <c r="L522" t="s">
        <v>40</v>
      </c>
      <c r="M522" t="s">
        <v>333</v>
      </c>
      <c r="N522" t="str">
        <f>O522&amp;P522</f>
        <v>Орлов Павел ДенисовичСтепанов Егор Геннадьевич</v>
      </c>
      <c r="O522" t="s">
        <v>43</v>
      </c>
      <c r="P522" t="s">
        <v>302</v>
      </c>
      <c r="Q522" t="s">
        <v>318</v>
      </c>
    </row>
    <row r="523">
      <c r="D523" t="s">
        <v>57</v>
      </c>
      <c r="E523" t="s">
        <v>252</v>
      </c>
      <c r="F523" t="str">
        <f>VLOOKUP(D523&amp;E523,J:M,4,0)</f>
        <v>2024-04-26</v>
      </c>
      <c r="G523" t="str">
        <f>VLOOKUP(D523&amp;E523,N:Q,4,0)</f>
        <v>2024-04-26</v>
      </c>
      <c r="H523">
        <f>G523-F523</f>
        <v>0</v>
      </c>
      <c r="J523" t="str">
        <f>K523&amp;L523</f>
        <v>Семенова Ирина ВалерьевнаНиколаев Артем Александрович</v>
      </c>
      <c r="K523" t="s">
        <v>57</v>
      </c>
      <c r="L523" t="s">
        <v>248</v>
      </c>
      <c r="M523" t="s">
        <v>333</v>
      </c>
      <c r="N523" t="str">
        <f>O523&amp;P523</f>
        <v>Семенова Ирина ВалерьевнаОрлова Анна Владимировна</v>
      </c>
      <c r="O523" t="s">
        <v>57</v>
      </c>
      <c r="P523" t="s">
        <v>6</v>
      </c>
      <c r="Q523" t="s">
        <v>318</v>
      </c>
    </row>
    <row r="524">
      <c r="D524" t="s">
        <v>57</v>
      </c>
      <c r="E524" t="s">
        <v>147</v>
      </c>
      <c r="F524" t="str">
        <f>VLOOKUP(D524&amp;E524,J:M,4,0)</f>
        <v>2024-01-17</v>
      </c>
      <c r="G524" t="str">
        <f>VLOOKUP(D524&amp;E524,N:Q,4,0)</f>
        <v>2024-01-17</v>
      </c>
      <c r="H524">
        <f>G524-F524</f>
        <v>0</v>
      </c>
      <c r="J524" t="str">
        <f>K524&amp;L524</f>
        <v>Сидорова Елена ВасильевнаСидоров Матвей Владимирович</v>
      </c>
      <c r="K524" t="s">
        <v>15</v>
      </c>
      <c r="L524" t="s">
        <v>64</v>
      </c>
      <c r="M524" t="s">
        <v>333</v>
      </c>
      <c r="N524" t="str">
        <f>O524&amp;P524</f>
        <v>Ткаченко Андрей ОлеговичСмирнов Артем Егорович</v>
      </c>
      <c r="O524" t="s">
        <v>24</v>
      </c>
      <c r="P524" t="s">
        <v>316</v>
      </c>
      <c r="Q524" t="s">
        <v>317</v>
      </c>
    </row>
    <row r="525">
      <c r="D525" t="s">
        <v>57</v>
      </c>
      <c r="E525" t="s">
        <v>6</v>
      </c>
      <c r="F525" t="str">
        <f>VLOOKUP(D525&amp;E525,J:M,4,0)</f>
        <v>2024-02-21</v>
      </c>
      <c r="G525" t="str">
        <f>VLOOKUP(D525&amp;E525,N:Q,4,0)</f>
        <v>2024-02-21</v>
      </c>
      <c r="H525">
        <f>G525-F525</f>
        <v>0</v>
      </c>
      <c r="J525" t="str">
        <f>K525&amp;L525</f>
        <v>Громова Мария ИльиничнаПавлова Дарья Андреевна</v>
      </c>
      <c r="K525" t="s">
        <v>13</v>
      </c>
      <c r="L525" t="s">
        <v>78</v>
      </c>
      <c r="M525" t="s">
        <v>334</v>
      </c>
      <c r="N525" t="str">
        <f>O525&amp;P525</f>
        <v>Петров Владимир КирилловичМорозова Екатерина Ивановна</v>
      </c>
      <c r="O525" t="s">
        <v>28</v>
      </c>
      <c r="P525" t="s">
        <v>207</v>
      </c>
      <c r="Q525" t="s">
        <v>317</v>
      </c>
    </row>
    <row r="526">
      <c r="D526" t="s">
        <v>57</v>
      </c>
      <c r="E526" t="s">
        <v>246</v>
      </c>
      <c r="F526" t="str">
        <f>VLOOKUP(D526&amp;E526,J:M,4,0)</f>
        <v>2024-05-21</v>
      </c>
      <c r="G526" t="str">
        <f>VLOOKUP(D526&amp;E526,N:Q,4,0)</f>
        <v>2024-05-21</v>
      </c>
      <c r="H526">
        <f>G526-F526</f>
        <v>0</v>
      </c>
      <c r="J526" t="str">
        <f>K526&amp;L526</f>
        <v>Сидорова Елена ВасильевнаПопов Матвей Викторович</v>
      </c>
      <c r="K526" t="s">
        <v>15</v>
      </c>
      <c r="L526" t="s">
        <v>113</v>
      </c>
      <c r="M526" t="s">
        <v>334</v>
      </c>
      <c r="N526" t="str">
        <f>O526&amp;P526</f>
        <v>Петров Владимир КирилловичНиколаев Владимир Егорович</v>
      </c>
      <c r="O526" t="s">
        <v>28</v>
      </c>
      <c r="P526" t="s">
        <v>190</v>
      </c>
      <c r="Q526" t="s">
        <v>317</v>
      </c>
    </row>
    <row r="527">
      <c r="D527" t="s">
        <v>57</v>
      </c>
      <c r="E527" t="s">
        <v>97</v>
      </c>
      <c r="F527" t="str">
        <f>VLOOKUP(D527&amp;E527,J:M,4,0)</f>
        <v>2023-11-14</v>
      </c>
      <c r="G527" t="str">
        <f>VLOOKUP(D527&amp;E527,N:Q,4,0)</f>
        <v>2023-11-14</v>
      </c>
      <c r="H527">
        <f>G527-F527</f>
        <v>0</v>
      </c>
      <c r="J527" t="str">
        <f>K527&amp;L527</f>
        <v>Кузнецов Дмитрий ЛьвовичИванов Никита Павлович</v>
      </c>
      <c r="K527" t="s">
        <v>8</v>
      </c>
      <c r="L527" t="s">
        <v>71</v>
      </c>
      <c r="M527" t="s">
        <v>334</v>
      </c>
      <c r="N527" t="str">
        <f>O527&amp;P527</f>
        <v>Громова Мария ИльиничнаПопов Матвей Александрович</v>
      </c>
      <c r="O527" t="s">
        <v>13</v>
      </c>
      <c r="P527" t="s">
        <v>181</v>
      </c>
      <c r="Q527" t="s">
        <v>317</v>
      </c>
    </row>
    <row r="528">
      <c r="D528" t="s">
        <v>57</v>
      </c>
      <c r="E528" t="s">
        <v>200</v>
      </c>
      <c r="F528" t="str">
        <f>VLOOKUP(D528&amp;E528,J:M,4,0)</f>
        <v>2023-11-21</v>
      </c>
      <c r="G528" t="str">
        <f>VLOOKUP(D528&amp;E528,N:Q,4,0)</f>
        <v>2023-11-21</v>
      </c>
      <c r="H528">
        <f>G528-F528</f>
        <v>0</v>
      </c>
      <c r="J528" t="str">
        <f>K528&amp;L528</f>
        <v>Фролов Сергей ВикторовичЛебедева Полина Никитична</v>
      </c>
      <c r="K528" t="s">
        <v>5</v>
      </c>
      <c r="L528" t="s">
        <v>273</v>
      </c>
      <c r="M528" t="s">
        <v>335</v>
      </c>
      <c r="N528" t="str">
        <f>O528&amp;P528</f>
        <v>Кузнецов Дмитрий ЛьвовичМорозов Никита Ильич</v>
      </c>
      <c r="O528" t="s">
        <v>8</v>
      </c>
      <c r="P528" t="s">
        <v>138</v>
      </c>
      <c r="Q528" t="s">
        <v>317</v>
      </c>
    </row>
    <row r="529">
      <c r="D529" t="s">
        <v>57</v>
      </c>
      <c r="E529" t="s">
        <v>25</v>
      </c>
      <c r="F529" t="str">
        <f>VLOOKUP(D529&amp;E529,J:M,4,0)</f>
        <v>2023-09-27</v>
      </c>
      <c r="G529" t="str">
        <f>VLOOKUP(D529&amp;E529,N:Q,4,0)</f>
        <v>2023-09-27</v>
      </c>
      <c r="H529">
        <f>G529-F529</f>
        <v>0</v>
      </c>
      <c r="J529" t="str">
        <f>K529&amp;L529</f>
        <v>Семенова Ирина ВалерьевнаВасильев Кирилл Иванович</v>
      </c>
      <c r="K529" t="s">
        <v>57</v>
      </c>
      <c r="L529" t="s">
        <v>284</v>
      </c>
      <c r="M529" t="s">
        <v>335</v>
      </c>
      <c r="N529" t="str">
        <f>O529&amp;P529</f>
        <v>Фролов Сергей ВикторовичКузнецова Людмила Сергеевна</v>
      </c>
      <c r="O529" t="s">
        <v>5</v>
      </c>
      <c r="P529" t="s">
        <v>55</v>
      </c>
      <c r="Q529" t="s">
        <v>317</v>
      </c>
    </row>
    <row r="530">
      <c r="D530" t="s">
        <v>57</v>
      </c>
      <c r="E530" t="s">
        <v>239</v>
      </c>
      <c r="F530" t="str">
        <f>VLOOKUP(D530&amp;E530,J:M,4,0)</f>
        <v>2024-06-27</v>
      </c>
      <c r="G530" t="str">
        <f>VLOOKUP(D530&amp;E530,N:Q,4,0)</f>
        <v>2024-06-27</v>
      </c>
      <c r="H530">
        <f>G530-F530</f>
        <v>0</v>
      </c>
      <c r="J530" t="str">
        <f>K530&amp;L530</f>
        <v>Орлов Павел ДенисовичНиколаева Алиса Ивановна</v>
      </c>
      <c r="K530" t="s">
        <v>43</v>
      </c>
      <c r="L530" t="s">
        <v>119</v>
      </c>
      <c r="M530" t="s">
        <v>336</v>
      </c>
      <c r="N530" t="str">
        <f>O530&amp;P530</f>
        <v>Яковлев Артем ИгоревичНиколаева Дарья Алексеевна</v>
      </c>
      <c r="O530" t="s">
        <v>21</v>
      </c>
      <c r="P530" t="s">
        <v>252</v>
      </c>
      <c r="Q530" t="s">
        <v>317</v>
      </c>
    </row>
    <row r="531">
      <c r="D531" t="s">
        <v>57</v>
      </c>
      <c r="E531" t="s">
        <v>78</v>
      </c>
      <c r="F531" t="str">
        <f>VLOOKUP(D531&amp;E531,J:M,4,0)</f>
        <v>2023-09-25</v>
      </c>
      <c r="G531" t="str">
        <f>VLOOKUP(D531&amp;E531,N:Q,4,0)</f>
        <v>2024-04-18</v>
      </c>
      <c r="H531">
        <f>G531-F531</f>
        <v>206</v>
      </c>
      <c r="J531" t="str">
        <f>K531&amp;L531</f>
        <v>Орлов Павел ДенисовичКозлова София Олеговна</v>
      </c>
      <c r="K531" t="s">
        <v>43</v>
      </c>
      <c r="L531" t="s">
        <v>185</v>
      </c>
      <c r="M531" t="s">
        <v>336</v>
      </c>
      <c r="N531" t="str">
        <f>O531&amp;P531</f>
        <v>Орлов Павел ДенисовичНиколаев Владимир Геннадьевич</v>
      </c>
      <c r="O531" t="s">
        <v>43</v>
      </c>
      <c r="P531" t="s">
        <v>267</v>
      </c>
      <c r="Q531" t="s">
        <v>317</v>
      </c>
    </row>
    <row r="532">
      <c r="D532" t="s">
        <v>57</v>
      </c>
      <c r="E532" t="s">
        <v>58</v>
      </c>
      <c r="F532" t="str">
        <f>VLOOKUP(D532&amp;E532,J:M,4,0)</f>
        <v>2023-09-18</v>
      </c>
      <c r="G532" t="str">
        <f>VLOOKUP(D532&amp;E532,N:Q,4,0)</f>
        <v>2024-06-03</v>
      </c>
      <c r="H532">
        <f>G532-F532</f>
        <v>259</v>
      </c>
      <c r="J532" t="str">
        <f>K532&amp;L532</f>
        <v>Ткаченко Андрей ОлеговичФедорова Екатерина Михайловна</v>
      </c>
      <c r="K532" t="s">
        <v>24</v>
      </c>
      <c r="L532" t="s">
        <v>204</v>
      </c>
      <c r="M532" t="s">
        <v>336</v>
      </c>
      <c r="N532" t="str">
        <f>O532&amp;P532</f>
        <v>Кузнецов Дмитрий ЛьвовичСмирнова Алиса Артемовна</v>
      </c>
      <c r="O532" t="s">
        <v>8</v>
      </c>
      <c r="P532" t="s">
        <v>31</v>
      </c>
      <c r="Q532" t="s">
        <v>317</v>
      </c>
    </row>
    <row r="533">
      <c r="D533" t="s">
        <v>57</v>
      </c>
      <c r="E533" t="s">
        <v>89</v>
      </c>
      <c r="F533" t="str">
        <f>VLOOKUP(D533&amp;E533,J:M,4,0)</f>
        <v>2023-09-28</v>
      </c>
      <c r="G533" t="str">
        <f>VLOOKUP(D533&amp;E533,N:Q,4,0)</f>
        <v>2023-09-28</v>
      </c>
      <c r="H533">
        <f>G533-F533</f>
        <v>0</v>
      </c>
      <c r="J533" t="str">
        <f>K533&amp;L533</f>
        <v>Семенова Ирина ВалерьевнаПопова Вероника Ивановна</v>
      </c>
      <c r="K533" t="s">
        <v>57</v>
      </c>
      <c r="L533" t="s">
        <v>243</v>
      </c>
      <c r="M533" t="s">
        <v>336</v>
      </c>
      <c r="N533" t="str">
        <f>O533&amp;P533</f>
        <v>Новикова Ольга ПетровнаСмирнова Ксения Андреевна</v>
      </c>
      <c r="O533" t="s">
        <v>17</v>
      </c>
      <c r="P533" t="s">
        <v>197</v>
      </c>
      <c r="Q533" t="s">
        <v>314</v>
      </c>
    </row>
    <row r="534">
      <c r="D534" t="s">
        <v>57</v>
      </c>
      <c r="E534" t="s">
        <v>52</v>
      </c>
      <c r="F534" t="str">
        <f>VLOOKUP(D534&amp;E534,J:M,4,0)</f>
        <v>2024-06-03</v>
      </c>
      <c r="G534" t="str">
        <f>VLOOKUP(D534&amp;E534,N:Q,4,0)</f>
        <v>2024-06-03</v>
      </c>
      <c r="H534">
        <f>G534-F534</f>
        <v>0</v>
      </c>
      <c r="J534" t="str">
        <f>K534&amp;L534</f>
        <v>Ткаченко Андрей ОлеговичАлексеев Иван Иванович</v>
      </c>
      <c r="K534" t="s">
        <v>24</v>
      </c>
      <c r="L534" t="s">
        <v>70</v>
      </c>
      <c r="M534" t="s">
        <v>336</v>
      </c>
      <c r="N534" t="str">
        <f>O534&amp;P534</f>
        <v>Кузнецов Дмитрий ЛьвовичМорозова Юлия Геннадьевна</v>
      </c>
      <c r="O534" t="s">
        <v>8</v>
      </c>
      <c r="P534" t="s">
        <v>163</v>
      </c>
      <c r="Q534" t="s">
        <v>314</v>
      </c>
    </row>
    <row r="535">
      <c r="D535" t="s">
        <v>57</v>
      </c>
      <c r="E535" t="s">
        <v>234</v>
      </c>
      <c r="F535" t="str">
        <f>VLOOKUP(D535&amp;E535,J:M,4,0)</f>
        <v>2024-08-19</v>
      </c>
      <c r="G535" t="str">
        <f>VLOOKUP(D535&amp;E535,N:Q,4,0)</f>
        <v>2024-08-19</v>
      </c>
      <c r="H535">
        <f>G535-F535</f>
        <v>0</v>
      </c>
      <c r="J535" t="str">
        <f>K535&amp;L535</f>
        <v>Кузнецов Дмитрий ЛьвовичСмирнова Мария Владимировна</v>
      </c>
      <c r="K535" t="s">
        <v>8</v>
      </c>
      <c r="L535" t="s">
        <v>255</v>
      </c>
      <c r="M535" t="s">
        <v>336</v>
      </c>
      <c r="N535" t="str">
        <f>O535&amp;P535</f>
        <v>Фролов Сергей ВикторовичНиколаев Артур Артемович</v>
      </c>
      <c r="O535" t="s">
        <v>5</v>
      </c>
      <c r="P535" t="s">
        <v>151</v>
      </c>
      <c r="Q535" t="s">
        <v>314</v>
      </c>
    </row>
    <row r="536">
      <c r="D536" t="s">
        <v>57</v>
      </c>
      <c r="E536" t="s">
        <v>181</v>
      </c>
      <c r="F536" t="str">
        <f>VLOOKUP(D536&amp;E536,J:M,4,0)</f>
        <v>2024-03-15</v>
      </c>
      <c r="G536" t="str">
        <f>VLOOKUP(D536&amp;E536,N:Q,4,0)</f>
        <v>2024-03-15</v>
      </c>
      <c r="H536">
        <f>G536-F536</f>
        <v>0</v>
      </c>
      <c r="J536" t="str">
        <f>K536&amp;L536</f>
        <v>Иванова Анна СергеевнаНиколаева Дарья Алексеевна</v>
      </c>
      <c r="K536" t="s">
        <v>11</v>
      </c>
      <c r="L536" t="s">
        <v>252</v>
      </c>
      <c r="M536" t="s">
        <v>337</v>
      </c>
      <c r="N536" t="str">
        <f>O536&amp;P536</f>
        <v>Яковлев Артем ИгоревичНовикова Ксения Алексеевна</v>
      </c>
      <c r="O536" t="s">
        <v>21</v>
      </c>
      <c r="P536" t="s">
        <v>147</v>
      </c>
      <c r="Q536" t="s">
        <v>314</v>
      </c>
    </row>
    <row r="537">
      <c r="D537" t="s">
        <v>57</v>
      </c>
      <c r="E537" t="s">
        <v>243</v>
      </c>
      <c r="F537" t="str">
        <f>VLOOKUP(D537&amp;E537,J:M,4,0)</f>
        <v>2024-03-14</v>
      </c>
      <c r="G537" t="str">
        <f>VLOOKUP(D537&amp;E537,N:Q,4,0)</f>
        <v>2024-03-14</v>
      </c>
      <c r="H537">
        <f>G537-F537</f>
        <v>0</v>
      </c>
      <c r="J537" t="str">
        <f>K537&amp;L537</f>
        <v>Семенова Ирина ВалерьевнаПопов Матвей Александрович</v>
      </c>
      <c r="K537" t="s">
        <v>57</v>
      </c>
      <c r="L537" t="s">
        <v>181</v>
      </c>
      <c r="M537" t="s">
        <v>337</v>
      </c>
      <c r="N537" t="str">
        <f>O537&amp;P537</f>
        <v>Орлов Павел ДенисовичИванова София Ильинична</v>
      </c>
      <c r="O537" t="s">
        <v>43</v>
      </c>
      <c r="P537" t="s">
        <v>315</v>
      </c>
      <c r="Q537" t="s">
        <v>314</v>
      </c>
    </row>
    <row r="538">
      <c r="D538" t="s">
        <v>57</v>
      </c>
      <c r="E538" t="s">
        <v>299</v>
      </c>
      <c r="F538" t="str">
        <f>VLOOKUP(D538&amp;E538,J:M,4,0)</f>
        <v>2024-03-18</v>
      </c>
      <c r="G538" t="str">
        <f>VLOOKUP(D538&amp;E538,N:Q,4,0)</f>
        <v>2024-03-18</v>
      </c>
      <c r="H538">
        <f>G538-F538</f>
        <v>0</v>
      </c>
      <c r="J538" t="str">
        <f>K538&amp;L538</f>
        <v>Фролов Сергей ВикторовичОрлов Дмитрий Иванович</v>
      </c>
      <c r="K538" t="s">
        <v>5</v>
      </c>
      <c r="L538" t="s">
        <v>170</v>
      </c>
      <c r="M538" t="s">
        <v>337</v>
      </c>
      <c r="N538" t="str">
        <f>O538&amp;P538</f>
        <v>Сидорова Елена ВасильевнаНиколаев Владимир Егорович</v>
      </c>
      <c r="O538" t="s">
        <v>15</v>
      </c>
      <c r="P538" t="s">
        <v>190</v>
      </c>
      <c r="Q538" t="s">
        <v>314</v>
      </c>
    </row>
    <row r="539">
      <c r="D539" t="s">
        <v>57</v>
      </c>
      <c r="E539" t="s">
        <v>362</v>
      </c>
      <c r="F539" t="str">
        <f>VLOOKUP(D539&amp;E539,J:M,4,0)</f>
        <v>2024-06-17</v>
      </c>
      <c r="G539" t="str">
        <f>VLOOKUP(D539&amp;E539,N:Q,4,0)</f>
        <v>2024-06-17</v>
      </c>
      <c r="H539">
        <f>G539-F539</f>
        <v>0</v>
      </c>
      <c r="J539" t="str">
        <f>K539&amp;L539</f>
        <v>Громова Мария ИльиничнаСеменов Сергей Викторович</v>
      </c>
      <c r="K539" t="s">
        <v>13</v>
      </c>
      <c r="L539" t="s">
        <v>30</v>
      </c>
      <c r="M539" t="s">
        <v>337</v>
      </c>
      <c r="N539" t="str">
        <f>O539&amp;P539</f>
        <v>Яковлев Артем ИгоревичСеменов Иван Александрович</v>
      </c>
      <c r="O539" t="s">
        <v>21</v>
      </c>
      <c r="P539" t="s">
        <v>258</v>
      </c>
      <c r="Q539" t="s">
        <v>313</v>
      </c>
    </row>
    <row r="540">
      <c r="D540" t="s">
        <v>57</v>
      </c>
      <c r="E540" t="s">
        <v>102</v>
      </c>
      <c r="F540" t="str">
        <f>VLOOKUP(D540&amp;E540,J:M,4,0)</f>
        <v>2024-01-16</v>
      </c>
      <c r="G540" t="str">
        <f>VLOOKUP(D540&amp;E540,N:Q,4,0)</f>
        <v>2024-01-16</v>
      </c>
      <c r="H540">
        <f>G540-F540</f>
        <v>0</v>
      </c>
      <c r="J540" t="str">
        <f>K540&amp;L540</f>
        <v>Белов Алексей КонстантиновичПопова Ксения Никитична</v>
      </c>
      <c r="K540" t="s">
        <v>47</v>
      </c>
      <c r="L540" t="s">
        <v>20</v>
      </c>
      <c r="M540" t="s">
        <v>337</v>
      </c>
      <c r="N540" t="str">
        <f>O540&amp;P540</f>
        <v>Новикова Ольга ПетровнаВасильева Анна Ильинична</v>
      </c>
      <c r="O540" t="s">
        <v>17</v>
      </c>
      <c r="P540" t="s">
        <v>142</v>
      </c>
      <c r="Q540" t="s">
        <v>313</v>
      </c>
    </row>
    <row r="541">
      <c r="D541" t="s">
        <v>57</v>
      </c>
      <c r="E541" t="s">
        <v>172</v>
      </c>
      <c r="F541" t="str">
        <f>VLOOKUP(D541&amp;E541,J:M,4,0)</f>
        <v>2024-07-15</v>
      </c>
      <c r="G541" t="str">
        <f>VLOOKUP(D541&amp;E541,N:Q,4,0)</f>
        <v>2024-08-22</v>
      </c>
      <c r="H541">
        <f>G541-F541</f>
        <v>38</v>
      </c>
      <c r="J541" t="str">
        <f>K541&amp;L541</f>
        <v>Яковлев Артем ИгоревичПопов Матвей Александрович</v>
      </c>
      <c r="K541" t="s">
        <v>21</v>
      </c>
      <c r="L541" t="s">
        <v>181</v>
      </c>
      <c r="M541" t="s">
        <v>337</v>
      </c>
      <c r="N541" t="str">
        <f>O541&amp;P541</f>
        <v>Ткаченко Андрей ОлеговичКузнецов Сергей Артемович</v>
      </c>
      <c r="O541" t="s">
        <v>24</v>
      </c>
      <c r="P541" t="s">
        <v>129</v>
      </c>
      <c r="Q541" t="s">
        <v>313</v>
      </c>
    </row>
    <row r="542">
      <c r="D542" t="s">
        <v>57</v>
      </c>
      <c r="E542" t="s">
        <v>14</v>
      </c>
      <c r="F542" t="str">
        <f>VLOOKUP(D542&amp;E542,J:M,4,0)</f>
        <v>2023-11-29</v>
      </c>
      <c r="G542" t="str">
        <f>VLOOKUP(D542&amp;E542,N:Q,4,0)</f>
        <v>2023-11-29</v>
      </c>
      <c r="H542">
        <f>G542-F542</f>
        <v>0</v>
      </c>
      <c r="J542" t="str">
        <f>K542&amp;L542</f>
        <v>Иванова Анна СергеевнаВолкова Ирина Никитична</v>
      </c>
      <c r="K542" t="s">
        <v>11</v>
      </c>
      <c r="L542" t="s">
        <v>161</v>
      </c>
      <c r="M542" t="s">
        <v>337</v>
      </c>
      <c r="N542" t="str">
        <f>O542&amp;P542</f>
        <v>Белов Алексей КонстантиновичПопов Роман Сергеевич</v>
      </c>
      <c r="O542" t="s">
        <v>47</v>
      </c>
      <c r="P542" t="s">
        <v>106</v>
      </c>
      <c r="Q542" t="s">
        <v>313</v>
      </c>
    </row>
    <row r="543">
      <c r="D543" t="s">
        <v>57</v>
      </c>
      <c r="E543" t="s">
        <v>177</v>
      </c>
      <c r="F543" t="str">
        <f>VLOOKUP(D543&amp;E543,J:M,4,0)</f>
        <v>2024-02-06</v>
      </c>
      <c r="G543" t="str">
        <f>VLOOKUP(D543&amp;E543,N:Q,4,0)</f>
        <v>2024-02-06</v>
      </c>
      <c r="H543">
        <f>G543-F543</f>
        <v>0</v>
      </c>
      <c r="J543" t="str">
        <f>K543&amp;L543</f>
        <v>Громова Мария ИльиничнаКозлов Дмитрий Сергеевич</v>
      </c>
      <c r="K543" t="s">
        <v>13</v>
      </c>
      <c r="L543" t="s">
        <v>222</v>
      </c>
      <c r="M543" t="s">
        <v>338</v>
      </c>
      <c r="N543" t="str">
        <f>O543&amp;P543</f>
        <v>Иванова Анна СергеевнаАлексеева Ирина Андреевна</v>
      </c>
      <c r="O543" t="s">
        <v>11</v>
      </c>
      <c r="P543" t="s">
        <v>189</v>
      </c>
      <c r="Q543" t="s">
        <v>312</v>
      </c>
    </row>
    <row r="544">
      <c r="D544" t="s">
        <v>57</v>
      </c>
      <c r="E544" t="s">
        <v>254</v>
      </c>
      <c r="F544" t="str">
        <f>VLOOKUP(D544&amp;E544,J:M,4,0)</f>
        <v>2023-12-27</v>
      </c>
      <c r="G544" t="str">
        <f>VLOOKUP(D544&amp;E544,N:Q,4,0)</f>
        <v>2023-12-27</v>
      </c>
      <c r="H544">
        <f>G544-F544</f>
        <v>0</v>
      </c>
      <c r="J544" t="str">
        <f>K544&amp;L544</f>
        <v>Ткаченко Андрей ОлеговичНовикова Анна Ильинична</v>
      </c>
      <c r="K544" t="s">
        <v>24</v>
      </c>
      <c r="L544" t="s">
        <v>35</v>
      </c>
      <c r="M544" t="s">
        <v>338</v>
      </c>
      <c r="N544" t="str">
        <f>O544&amp;P544</f>
        <v>Иванова Анна СергеевнаИванова Валерия Алексеевна</v>
      </c>
      <c r="O544" t="s">
        <v>11</v>
      </c>
      <c r="P544" t="s">
        <v>38</v>
      </c>
      <c r="Q544" t="s">
        <v>312</v>
      </c>
    </row>
    <row r="545">
      <c r="D545" t="s">
        <v>57</v>
      </c>
      <c r="E545" t="s">
        <v>316</v>
      </c>
      <c r="F545" t="str">
        <f>VLOOKUP(D545&amp;E545,J:M,4,0)</f>
        <v>2024-06-04</v>
      </c>
      <c r="G545" t="str">
        <f>VLOOKUP(D545&amp;E545,N:Q,4,0)</f>
        <v>2024-06-04</v>
      </c>
      <c r="H545">
        <f>G545-F545</f>
        <v>0</v>
      </c>
      <c r="J545" t="str">
        <f>K545&amp;L545</f>
        <v>Сидорова Елена ВасильевнаВолков Константин Дмитриевич</v>
      </c>
      <c r="K545" t="s">
        <v>15</v>
      </c>
      <c r="L545" t="s">
        <v>79</v>
      </c>
      <c r="M545" t="s">
        <v>338</v>
      </c>
      <c r="N545" t="str">
        <f>O545&amp;P545</f>
        <v>Иванова Анна СергеевнаСидорова Ольга Олеговна</v>
      </c>
      <c r="O545" t="s">
        <v>11</v>
      </c>
      <c r="P545" t="s">
        <v>177</v>
      </c>
      <c r="Q545" t="s">
        <v>312</v>
      </c>
    </row>
    <row r="546">
      <c r="D546" t="s">
        <v>57</v>
      </c>
      <c r="E546" t="s">
        <v>382</v>
      </c>
      <c r="F546" t="str">
        <f>VLOOKUP(D546&amp;E546,J:M,4,0)</f>
        <v>2024-05-06</v>
      </c>
      <c r="G546" t="str">
        <f>VLOOKUP(D546&amp;E546,N:Q,4,0)</f>
        <v>2024-05-20</v>
      </c>
      <c r="H546">
        <f>G546-F546</f>
        <v>14</v>
      </c>
      <c r="J546" t="str">
        <f>K546&amp;L546</f>
        <v>Яковлев Артем ИгоревичФедоров Алексей Павлович</v>
      </c>
      <c r="K546" t="s">
        <v>21</v>
      </c>
      <c r="L546" t="s">
        <v>174</v>
      </c>
      <c r="M546" t="s">
        <v>338</v>
      </c>
      <c r="N546" t="str">
        <f>O546&amp;P546</f>
        <v>Новикова Ольга ПетровнаНиколаева Екатерина Никитична</v>
      </c>
      <c r="O546" t="s">
        <v>17</v>
      </c>
      <c r="P546" t="s">
        <v>270</v>
      </c>
      <c r="Q546" t="s">
        <v>312</v>
      </c>
    </row>
    <row r="547">
      <c r="D547" t="s">
        <v>57</v>
      </c>
      <c r="E547" t="s">
        <v>123</v>
      </c>
      <c r="F547" t="str">
        <f>VLOOKUP(D547&amp;E547,J:M,4,0)</f>
        <v>2023-10-11</v>
      </c>
      <c r="G547" t="str">
        <f>VLOOKUP(D547&amp;E547,N:Q,4,0)</f>
        <v>2024-05-20</v>
      </c>
      <c r="H547">
        <f>G547-F547</f>
        <v>222</v>
      </c>
      <c r="J547" t="str">
        <f>K547&amp;L547</f>
        <v>Семенова Ирина ВалерьевнаСеменов Алексей Михайлович</v>
      </c>
      <c r="K547" t="s">
        <v>57</v>
      </c>
      <c r="L547" t="s">
        <v>299</v>
      </c>
      <c r="M547" t="s">
        <v>338</v>
      </c>
      <c r="N547" t="str">
        <f>O547&amp;P547</f>
        <v>Орлов Павел ДенисовичЕгоров Никита Станиславович</v>
      </c>
      <c r="O547" t="s">
        <v>43</v>
      </c>
      <c r="P547" t="s">
        <v>49</v>
      </c>
      <c r="Q547" t="s">
        <v>312</v>
      </c>
    </row>
    <row r="548">
      <c r="D548" t="s">
        <v>57</v>
      </c>
      <c r="E548" t="s">
        <v>99</v>
      </c>
      <c r="F548" t="str">
        <f>VLOOKUP(D548&amp;E548,J:M,4,0)</f>
        <v>2023-11-02</v>
      </c>
      <c r="G548" t="str">
        <f>VLOOKUP(D548&amp;E548,N:Q,4,0)</f>
        <v>2023-11-02</v>
      </c>
      <c r="H548">
        <f>G548-F548</f>
        <v>0</v>
      </c>
      <c r="J548" t="str">
        <f>K548&amp;L548</f>
        <v>Кузнецов Дмитрий ЛьвовичФедорова Екатерина Сергеевна</v>
      </c>
      <c r="K548" t="s">
        <v>8</v>
      </c>
      <c r="L548" t="s">
        <v>143</v>
      </c>
      <c r="M548" t="s">
        <v>338</v>
      </c>
      <c r="N548" t="str">
        <f>O548&amp;P548</f>
        <v>Громова Мария ИльиничнаВолков Константин Александрович</v>
      </c>
      <c r="O548" t="s">
        <v>13</v>
      </c>
      <c r="P548" t="s">
        <v>256</v>
      </c>
      <c r="Q548" t="s">
        <v>312</v>
      </c>
    </row>
    <row r="549">
      <c r="D549" t="s">
        <v>57</v>
      </c>
      <c r="E549" t="s">
        <v>174</v>
      </c>
      <c r="F549" t="str">
        <f>VLOOKUP(D549&amp;E549,J:M,4,0)</f>
        <v>2024-03-05</v>
      </c>
      <c r="G549" t="str">
        <f>VLOOKUP(D549&amp;E549,N:Q,4,0)</f>
        <v>2024-04-29</v>
      </c>
      <c r="H549">
        <f>G549-F549</f>
        <v>55</v>
      </c>
      <c r="J549" t="str">
        <f>K549&amp;L549</f>
        <v>Яковлев Артем ИгоревичСидорова Екатерина Романовна</v>
      </c>
      <c r="K549" t="s">
        <v>21</v>
      </c>
      <c r="L549" t="s">
        <v>257</v>
      </c>
      <c r="M549" t="s">
        <v>338</v>
      </c>
      <c r="N549" t="str">
        <f>O549&amp;P549</f>
        <v>Орлов Павел ДенисовичПетров Андрей Алексеевич</v>
      </c>
      <c r="O549" t="s">
        <v>43</v>
      </c>
      <c r="P549" t="s">
        <v>58</v>
      </c>
      <c r="Q549" t="s">
        <v>311</v>
      </c>
    </row>
    <row r="550">
      <c r="D550" t="s">
        <v>15</v>
      </c>
      <c r="E550" t="s">
        <v>96</v>
      </c>
      <c r="F550" t="str">
        <f>VLOOKUP(D550&amp;E550,J:M,4,0)</f>
        <v>2024-07-15</v>
      </c>
      <c r="G550" t="str">
        <f>VLOOKUP(D550&amp;E550,N:Q,4,0)</f>
        <v>2024-07-15</v>
      </c>
      <c r="H550">
        <f>G550-F550</f>
        <v>0</v>
      </c>
      <c r="J550" t="str">
        <f>K550&amp;L550</f>
        <v>Белов Алексей КонстантиновичАлексеева Анна Олеговна</v>
      </c>
      <c r="K550" t="s">
        <v>47</v>
      </c>
      <c r="L550" t="s">
        <v>339</v>
      </c>
      <c r="M550" t="s">
        <v>340</v>
      </c>
      <c r="N550" t="str">
        <f>O550&amp;P550</f>
        <v>Орлов Павел ДенисовичНиколаева Дарья Юрьевна</v>
      </c>
      <c r="O550" t="s">
        <v>43</v>
      </c>
      <c r="P550" t="s">
        <v>227</v>
      </c>
      <c r="Q550" t="s">
        <v>311</v>
      </c>
    </row>
    <row r="551">
      <c r="D551" t="s">
        <v>15</v>
      </c>
      <c r="E551" t="s">
        <v>142</v>
      </c>
      <c r="F551" t="str">
        <f>VLOOKUP(D551&amp;E551,J:M,4,0)</f>
        <v>2024-01-15</v>
      </c>
      <c r="G551" t="str">
        <f>VLOOKUP(D551&amp;E551,N:Q,4,0)</f>
        <v>2024-07-12</v>
      </c>
      <c r="H551">
        <f>G551-F551</f>
        <v>179</v>
      </c>
      <c r="J551" t="str">
        <f>K551&amp;L551</f>
        <v>Сидорова Елена ВасильевнаПопов Александр Владимирович</v>
      </c>
      <c r="K551" t="s">
        <v>15</v>
      </c>
      <c r="L551" t="s">
        <v>160</v>
      </c>
      <c r="M551" t="s">
        <v>341</v>
      </c>
      <c r="N551" t="str">
        <f>O551&amp;P551</f>
        <v>Новикова Ольга ПетровнаМорозов Матвей Романович</v>
      </c>
      <c r="O551" t="s">
        <v>17</v>
      </c>
      <c r="P551" t="s">
        <v>39</v>
      </c>
      <c r="Q551" t="s">
        <v>309</v>
      </c>
    </row>
    <row r="552">
      <c r="D552" t="s">
        <v>15</v>
      </c>
      <c r="E552" t="s">
        <v>231</v>
      </c>
      <c r="F552" t="str">
        <f>VLOOKUP(D552&amp;E552,J:M,4,0)</f>
        <v>2023-12-11</v>
      </c>
      <c r="G552" t="str">
        <f>VLOOKUP(D552&amp;E552,N:Q,4,0)</f>
        <v>2023-12-11</v>
      </c>
      <c r="H552">
        <f>G552-F552</f>
        <v>0</v>
      </c>
      <c r="J552" t="str">
        <f>K552&amp;L552</f>
        <v>Громова Мария ИльиничнаВолков Матвей Кириллович</v>
      </c>
      <c r="K552" t="s">
        <v>13</v>
      </c>
      <c r="L552" t="s">
        <v>321</v>
      </c>
      <c r="M552" t="s">
        <v>341</v>
      </c>
      <c r="N552" t="str">
        <f>O552&amp;P552</f>
        <v>Семенова Ирина ВалерьевнаМорозова Светлана Сергеевна</v>
      </c>
      <c r="O552" t="s">
        <v>57</v>
      </c>
      <c r="P552" t="s">
        <v>108</v>
      </c>
      <c r="Q552" t="s">
        <v>309</v>
      </c>
    </row>
    <row r="553">
      <c r="D553" t="s">
        <v>15</v>
      </c>
      <c r="E553" t="s">
        <v>135</v>
      </c>
      <c r="F553" t="str">
        <f>VLOOKUP(D553&amp;E553,J:M,4,0)</f>
        <v>2023-10-18</v>
      </c>
      <c r="G553" t="str">
        <f>VLOOKUP(D553&amp;E553,N:Q,4,0)</f>
        <v>2024-07-12</v>
      </c>
      <c r="H553">
        <f>G553-F553</f>
        <v>268</v>
      </c>
      <c r="J553" t="str">
        <f>K553&amp;L553</f>
        <v>Иванова Анна СергеевнаМорозова Екатерина Олеговна</v>
      </c>
      <c r="K553" t="s">
        <v>11</v>
      </c>
      <c r="L553" t="s">
        <v>65</v>
      </c>
      <c r="M553" t="s">
        <v>341</v>
      </c>
      <c r="N553" t="str">
        <f>O553&amp;P553</f>
        <v>Ткаченко Андрей ОлеговичМорозова Наталья Алексеевна</v>
      </c>
      <c r="O553" t="s">
        <v>24</v>
      </c>
      <c r="P553" t="s">
        <v>209</v>
      </c>
      <c r="Q553" t="s">
        <v>309</v>
      </c>
    </row>
    <row r="554">
      <c r="D554" t="s">
        <v>15</v>
      </c>
      <c r="E554" t="s">
        <v>137</v>
      </c>
      <c r="F554" t="str">
        <f>VLOOKUP(D554&amp;E554,J:M,4,0)</f>
        <v>2024-01-15</v>
      </c>
      <c r="G554" t="str">
        <f>VLOOKUP(D554&amp;E554,N:Q,4,0)</f>
        <v>2024-06-10</v>
      </c>
      <c r="H554">
        <f>G554-F554</f>
        <v>147</v>
      </c>
      <c r="J554" t="str">
        <f>K554&amp;L554</f>
        <v>Фролов Сергей ВикторовичЛебедева Светлана Никитична</v>
      </c>
      <c r="K554" t="s">
        <v>5</v>
      </c>
      <c r="L554" t="s">
        <v>342</v>
      </c>
      <c r="M554" t="s">
        <v>343</v>
      </c>
      <c r="N554" t="str">
        <f>O554&amp;P554</f>
        <v>Ткаченко Андрей ОлеговичСтепанов Андрей Алексеевич</v>
      </c>
      <c r="O554" t="s">
        <v>24</v>
      </c>
      <c r="P554" t="s">
        <v>310</v>
      </c>
      <c r="Q554" t="s">
        <v>309</v>
      </c>
    </row>
    <row r="555">
      <c r="D555" t="s">
        <v>15</v>
      </c>
      <c r="E555" t="s">
        <v>79</v>
      </c>
      <c r="F555" t="str">
        <f>VLOOKUP(D555&amp;E555,J:M,4,0)</f>
        <v>2024-03-18</v>
      </c>
      <c r="G555" t="str">
        <f>VLOOKUP(D555&amp;E555,N:Q,4,0)</f>
        <v>2024-03-18</v>
      </c>
      <c r="H555">
        <f>G555-F555</f>
        <v>0</v>
      </c>
      <c r="J555" t="str">
        <f>K555&amp;L555</f>
        <v>Белов Алексей КонстантиновичНиколаева Алиса Ивановна</v>
      </c>
      <c r="K555" t="s">
        <v>47</v>
      </c>
      <c r="L555" t="s">
        <v>119</v>
      </c>
      <c r="M555" t="s">
        <v>343</v>
      </c>
      <c r="N555" t="str">
        <f>O555&amp;P555</f>
        <v>Петров Владимир КирилловичНиколаев Артур Артемович</v>
      </c>
      <c r="O555" t="s">
        <v>28</v>
      </c>
      <c r="P555" t="s">
        <v>151</v>
      </c>
      <c r="Q555" t="s">
        <v>309</v>
      </c>
    </row>
    <row r="556">
      <c r="D556" t="s">
        <v>15</v>
      </c>
      <c r="E556" t="s">
        <v>223</v>
      </c>
      <c r="F556" t="str">
        <f>VLOOKUP(D556&amp;E556,J:M,4,0)</f>
        <v>2024-02-29</v>
      </c>
      <c r="G556" t="str">
        <f>VLOOKUP(D556&amp;E556,N:Q,4,0)</f>
        <v>2024-02-29</v>
      </c>
      <c r="H556">
        <f>G556-F556</f>
        <v>0</v>
      </c>
      <c r="J556" t="str">
        <f>K556&amp;L556</f>
        <v>Фролов Сергей ВикторовичФедорова Мария Ивановна</v>
      </c>
      <c r="K556" t="s">
        <v>5</v>
      </c>
      <c r="L556" t="s">
        <v>344</v>
      </c>
      <c r="M556" t="s">
        <v>345</v>
      </c>
      <c r="N556" t="str">
        <f>O556&amp;P556</f>
        <v>Петров Владимир КирилловичВасильев Кирилл Иванович</v>
      </c>
      <c r="O556" t="s">
        <v>28</v>
      </c>
      <c r="P556" t="s">
        <v>284</v>
      </c>
      <c r="Q556" t="s">
        <v>309</v>
      </c>
    </row>
    <row r="557">
      <c r="D557" t="s">
        <v>15</v>
      </c>
      <c r="E557" t="s">
        <v>82</v>
      </c>
      <c r="F557" t="str">
        <f>VLOOKUP(D557&amp;E557,J:M,4,0)</f>
        <v>2024-01-30</v>
      </c>
      <c r="G557" t="str">
        <f>VLOOKUP(D557&amp;E557,N:Q,4,0)</f>
        <v>2024-01-30</v>
      </c>
      <c r="H557">
        <f>G557-F557</f>
        <v>0</v>
      </c>
      <c r="J557" t="str">
        <f>K557&amp;L557</f>
        <v>Фролов Сергей ВикторовичНовикова Людмила Павловна</v>
      </c>
      <c r="K557" t="s">
        <v>5</v>
      </c>
      <c r="L557" t="s">
        <v>116</v>
      </c>
      <c r="M557" t="s">
        <v>345</v>
      </c>
      <c r="N557" t="str">
        <f>O557&amp;P557</f>
        <v>Белов Алексей КонстантиновичНиколаева Александра Александровна</v>
      </c>
      <c r="O557" t="s">
        <v>47</v>
      </c>
      <c r="P557" t="s">
        <v>280</v>
      </c>
      <c r="Q557" t="s">
        <v>309</v>
      </c>
    </row>
    <row r="558">
      <c r="D558" t="s">
        <v>15</v>
      </c>
      <c r="E558" t="s">
        <v>161</v>
      </c>
      <c r="F558" t="str">
        <f>VLOOKUP(D558&amp;E558,J:M,4,0)</f>
        <v>2024-07-01</v>
      </c>
      <c r="G558" t="str">
        <f>VLOOKUP(D558&amp;E558,N:Q,4,0)</f>
        <v>2024-07-01</v>
      </c>
      <c r="H558">
        <f>G558-F558</f>
        <v>0</v>
      </c>
      <c r="J558" t="str">
        <f>K558&amp;L558</f>
        <v>Новикова Ольга ПетровнаСеменов Алексей Михайлович</v>
      </c>
      <c r="K558" t="s">
        <v>17</v>
      </c>
      <c r="L558" t="s">
        <v>299</v>
      </c>
      <c r="M558" t="s">
        <v>346</v>
      </c>
      <c r="N558" t="str">
        <f>O558&amp;P558</f>
        <v>Яковлев Артем ИгоревичИванова Елена Алексеевна</v>
      </c>
      <c r="O558" t="s">
        <v>21</v>
      </c>
      <c r="P558" t="s">
        <v>118</v>
      </c>
      <c r="Q558" t="s">
        <v>309</v>
      </c>
    </row>
    <row r="559">
      <c r="D559" t="s">
        <v>15</v>
      </c>
      <c r="E559" t="s">
        <v>83</v>
      </c>
      <c r="F559" t="str">
        <f>VLOOKUP(D559&amp;E559,J:M,4,0)</f>
        <v>2024-02-09</v>
      </c>
      <c r="G559" t="str">
        <f>VLOOKUP(D559&amp;E559,N:Q,4,0)</f>
        <v>2024-02-09</v>
      </c>
      <c r="H559">
        <f>G559-F559</f>
        <v>0</v>
      </c>
      <c r="J559" t="str">
        <f>K559&amp;L559</f>
        <v>Ткаченко Андрей ОлеговичМорозова Светлана Сергеевна</v>
      </c>
      <c r="K559" t="s">
        <v>24</v>
      </c>
      <c r="L559" t="s">
        <v>108</v>
      </c>
      <c r="M559" t="s">
        <v>346</v>
      </c>
      <c r="N559" t="str">
        <f>O559&amp;P559</f>
        <v>Белов Алексей КонстантиновичПавлова Елена Викторовна</v>
      </c>
      <c r="O559" t="s">
        <v>47</v>
      </c>
      <c r="P559" t="s">
        <v>305</v>
      </c>
      <c r="Q559" t="s">
        <v>309</v>
      </c>
    </row>
    <row r="560">
      <c r="D560" t="s">
        <v>15</v>
      </c>
      <c r="E560" t="s">
        <v>16</v>
      </c>
      <c r="F560" t="str">
        <f>VLOOKUP(D560&amp;E560,J:M,4,0)</f>
        <v>2023-09-04</v>
      </c>
      <c r="G560" t="str">
        <f>VLOOKUP(D560&amp;E560,N:Q,4,0)</f>
        <v>2024-01-12</v>
      </c>
      <c r="H560">
        <f>G560-F560</f>
        <v>130</v>
      </c>
      <c r="J560" t="str">
        <f>K560&amp;L560</f>
        <v>Сидорова Елена ВасильевнаЛебедева Александра Станиславовна</v>
      </c>
      <c r="K560" t="s">
        <v>15</v>
      </c>
      <c r="L560" t="s">
        <v>132</v>
      </c>
      <c r="M560" t="s">
        <v>346</v>
      </c>
      <c r="N560" t="str">
        <f>O560&amp;P560</f>
        <v>Сидорова Елена ВасильевнаЕгорова Ольга Юрьевна</v>
      </c>
      <c r="O560" t="s">
        <v>15</v>
      </c>
      <c r="P560" t="s">
        <v>83</v>
      </c>
      <c r="Q560" t="s">
        <v>307</v>
      </c>
    </row>
    <row r="561">
      <c r="D561" t="s">
        <v>15</v>
      </c>
      <c r="E561" t="s">
        <v>80</v>
      </c>
      <c r="F561" t="str">
        <f>VLOOKUP(D561&amp;E561,J:M,4,0)</f>
        <v>2023-11-06</v>
      </c>
      <c r="G561" t="str">
        <f>VLOOKUP(D561&amp;E561,N:Q,4,0)</f>
        <v>2023-11-06</v>
      </c>
      <c r="H561">
        <f>G561-F561</f>
        <v>0</v>
      </c>
      <c r="J561" t="str">
        <f>K561&amp;L561</f>
        <v>Петров Владимир КирилловичПавлов Илья Артемович</v>
      </c>
      <c r="K561" t="s">
        <v>28</v>
      </c>
      <c r="L561" t="s">
        <v>158</v>
      </c>
      <c r="M561" t="s">
        <v>346</v>
      </c>
      <c r="N561" t="str">
        <f>O561&amp;P561</f>
        <v>Ткаченко Андрей ОлеговичКозлов Павел Романович</v>
      </c>
      <c r="O561" t="s">
        <v>24</v>
      </c>
      <c r="P561" t="s">
        <v>165</v>
      </c>
      <c r="Q561" t="s">
        <v>307</v>
      </c>
    </row>
    <row r="562">
      <c r="D562" t="s">
        <v>15</v>
      </c>
      <c r="E562" t="s">
        <v>103</v>
      </c>
      <c r="F562" t="str">
        <f>VLOOKUP(D562&amp;E562,J:M,4,0)</f>
        <v>2024-04-30</v>
      </c>
      <c r="G562" t="str">
        <f>VLOOKUP(D562&amp;E562,N:Q,4,0)</f>
        <v>2024-04-30</v>
      </c>
      <c r="H562">
        <f>G562-F562</f>
        <v>0</v>
      </c>
      <c r="J562" t="str">
        <f>K562&amp;L562</f>
        <v>Иванова Анна СергеевнаОрлова Анна Владимировна</v>
      </c>
      <c r="K562" t="s">
        <v>11</v>
      </c>
      <c r="L562" t="s">
        <v>6</v>
      </c>
      <c r="M562" t="s">
        <v>346</v>
      </c>
      <c r="N562" t="str">
        <f>O562&amp;P562</f>
        <v>Фролов Сергей ВикторовичНиколаева Александра Кирилловна</v>
      </c>
      <c r="O562" t="s">
        <v>5</v>
      </c>
      <c r="P562" t="s">
        <v>186</v>
      </c>
      <c r="Q562" t="s">
        <v>307</v>
      </c>
    </row>
    <row r="563">
      <c r="D563" t="s">
        <v>15</v>
      </c>
      <c r="E563" t="s">
        <v>38</v>
      </c>
      <c r="F563" t="str">
        <f>VLOOKUP(D563&amp;E563,J:M,4,0)</f>
        <v>2023-09-11</v>
      </c>
      <c r="G563" t="str">
        <f>VLOOKUP(D563&amp;E563,N:Q,4,0)</f>
        <v>2023-12-19</v>
      </c>
      <c r="H563">
        <f>G563-F563</f>
        <v>99</v>
      </c>
      <c r="J563" t="str">
        <f>K563&amp;L563</f>
        <v>Орлов Павел ДенисовичЕгоров Никита Станиславович</v>
      </c>
      <c r="K563" t="s">
        <v>43</v>
      </c>
      <c r="L563" t="s">
        <v>49</v>
      </c>
      <c r="M563" t="s">
        <v>346</v>
      </c>
      <c r="N563" t="str">
        <f>O563&amp;P563</f>
        <v>Фролов Сергей ВикторовичСеменова Ольга Олеговна</v>
      </c>
      <c r="O563" t="s">
        <v>5</v>
      </c>
      <c r="P563" t="s">
        <v>308</v>
      </c>
      <c r="Q563" t="s">
        <v>307</v>
      </c>
    </row>
    <row r="564">
      <c r="D564" t="s">
        <v>15</v>
      </c>
      <c r="E564" t="s">
        <v>33</v>
      </c>
      <c r="F564" t="str">
        <f>VLOOKUP(D564&amp;E564,J:M,4,0)</f>
        <v>2023-10-09</v>
      </c>
      <c r="G564" t="str">
        <f>VLOOKUP(D564&amp;E564,N:Q,4,0)</f>
        <v>2023-10-09</v>
      </c>
      <c r="H564">
        <f>G564-F564</f>
        <v>0</v>
      </c>
      <c r="J564" t="str">
        <f>K564&amp;L564</f>
        <v>Петров Владимир КирилловичСмирнов Артем Егорович</v>
      </c>
      <c r="K564" t="s">
        <v>28</v>
      </c>
      <c r="L564" t="s">
        <v>316</v>
      </c>
      <c r="M564" t="s">
        <v>346</v>
      </c>
      <c r="N564" t="str">
        <f>O564&amp;P564</f>
        <v>Фролов Сергей ВикторовичСидоров Сергей Егорович</v>
      </c>
      <c r="O564" t="s">
        <v>5</v>
      </c>
      <c r="P564" t="s">
        <v>128</v>
      </c>
      <c r="Q564" t="s">
        <v>306</v>
      </c>
    </row>
    <row r="565">
      <c r="D565" t="s">
        <v>15</v>
      </c>
      <c r="E565" t="s">
        <v>98</v>
      </c>
      <c r="F565" t="str">
        <f>VLOOKUP(D565&amp;E565,J:M,4,0)</f>
        <v>2024-04-16</v>
      </c>
      <c r="G565" t="str">
        <f>VLOOKUP(D565&amp;E565,N:Q,4,0)</f>
        <v>2024-04-16</v>
      </c>
      <c r="H565">
        <f>G565-F565</f>
        <v>0</v>
      </c>
      <c r="J565" t="str">
        <f>K565&amp;L565</f>
        <v>Иванова Анна СергеевнаАлексеева Екатерина Павловна</v>
      </c>
      <c r="K565" t="s">
        <v>11</v>
      </c>
      <c r="L565" t="s">
        <v>96</v>
      </c>
      <c r="M565" t="s">
        <v>346</v>
      </c>
      <c r="N565" t="str">
        <f>O565&amp;P565</f>
        <v>Сидорова Елена ВасильевнаНиколаев Артем Александрович</v>
      </c>
      <c r="O565" t="s">
        <v>15</v>
      </c>
      <c r="P565" t="s">
        <v>248</v>
      </c>
      <c r="Q565" t="s">
        <v>304</v>
      </c>
    </row>
    <row r="566">
      <c r="D566" t="s">
        <v>15</v>
      </c>
      <c r="E566" t="s">
        <v>222</v>
      </c>
      <c r="F566" t="str">
        <f>VLOOKUP(D566&amp;E566,J:M,4,0)</f>
        <v>2023-12-04</v>
      </c>
      <c r="G566" t="str">
        <f>VLOOKUP(D566&amp;E566,N:Q,4,0)</f>
        <v>2023-12-04</v>
      </c>
      <c r="H566">
        <f>G566-F566</f>
        <v>0</v>
      </c>
      <c r="J566" t="str">
        <f>K566&amp;L566</f>
        <v>Семенова Ирина ВалерьевнаКузнецова Юлия Павловна</v>
      </c>
      <c r="K566" t="s">
        <v>57</v>
      </c>
      <c r="L566" t="s">
        <v>29</v>
      </c>
      <c r="M566" t="s">
        <v>347</v>
      </c>
      <c r="N566" t="str">
        <f>O566&amp;P566</f>
        <v>Ткаченко Андрей ОлеговичСтепанова Юлия Владимировна</v>
      </c>
      <c r="O566" t="s">
        <v>24</v>
      </c>
      <c r="P566" t="s">
        <v>93</v>
      </c>
      <c r="Q566" t="s">
        <v>304</v>
      </c>
    </row>
    <row r="567">
      <c r="D567" t="s">
        <v>15</v>
      </c>
      <c r="E567" t="s">
        <v>185</v>
      </c>
      <c r="F567" t="str">
        <f>VLOOKUP(D567&amp;E567,J:M,4,0)</f>
        <v>2023-11-13</v>
      </c>
      <c r="G567" t="str">
        <f>VLOOKUP(D567&amp;E567,N:Q,4,0)</f>
        <v>2024-04-01</v>
      </c>
      <c r="H567">
        <f>G567-F567</f>
        <v>140</v>
      </c>
      <c r="J567" t="str">
        <f>K567&amp;L567</f>
        <v>Фролов Сергей ВикторовичАлексеева Ирина Андреевна</v>
      </c>
      <c r="K567" t="s">
        <v>5</v>
      </c>
      <c r="L567" t="s">
        <v>189</v>
      </c>
      <c r="M567" t="s">
        <v>348</v>
      </c>
      <c r="N567" t="str">
        <f>O567&amp;P567</f>
        <v>Громова Мария ИльиничнаПавлова Елена Викторовна</v>
      </c>
      <c r="O567" t="s">
        <v>13</v>
      </c>
      <c r="P567" t="s">
        <v>305</v>
      </c>
      <c r="Q567" t="s">
        <v>304</v>
      </c>
    </row>
    <row r="568">
      <c r="D568" t="s">
        <v>15</v>
      </c>
      <c r="E568" t="s">
        <v>110</v>
      </c>
      <c r="F568" t="str">
        <f>VLOOKUP(D568&amp;E568,J:M,4,0)</f>
        <v>2024-06-19</v>
      </c>
      <c r="G568" t="str">
        <f>VLOOKUP(D568&amp;E568,N:Q,4,0)</f>
        <v>2024-06-19</v>
      </c>
      <c r="H568">
        <f>G568-F568</f>
        <v>0</v>
      </c>
      <c r="J568" t="str">
        <f>K568&amp;L568</f>
        <v>Сидорова Елена ВасильевнаСмирнова Мария Владимировна</v>
      </c>
      <c r="K568" t="s">
        <v>15</v>
      </c>
      <c r="L568" t="s">
        <v>255</v>
      </c>
      <c r="M568" t="s">
        <v>348</v>
      </c>
      <c r="N568" t="str">
        <f>O568&amp;P568</f>
        <v>Фролов Сергей ВикторовичСтепанов Егор Геннадьевич</v>
      </c>
      <c r="O568" t="s">
        <v>5</v>
      </c>
      <c r="P568" t="s">
        <v>302</v>
      </c>
      <c r="Q568" t="s">
        <v>303</v>
      </c>
    </row>
    <row r="569">
      <c r="D569" t="s">
        <v>15</v>
      </c>
      <c r="E569" t="s">
        <v>287</v>
      </c>
      <c r="F569" t="str">
        <f>VLOOKUP(D569&amp;E569,J:M,4,0)</f>
        <v>2024-01-22</v>
      </c>
      <c r="G569" t="str">
        <f>VLOOKUP(D569&amp;E569,N:Q,4,0)</f>
        <v>2024-01-22</v>
      </c>
      <c r="H569">
        <f>G569-F569</f>
        <v>0</v>
      </c>
      <c r="J569" t="str">
        <f>K569&amp;L569</f>
        <v>Кузнецов Дмитрий ЛьвовичНиколаева Наталья Сергеевна</v>
      </c>
      <c r="K569" t="s">
        <v>8</v>
      </c>
      <c r="L569" t="s">
        <v>225</v>
      </c>
      <c r="M569" t="s">
        <v>348</v>
      </c>
      <c r="N569" t="str">
        <f>O569&amp;P569</f>
        <v>Семенова Ирина ВалерьевнаСидорова Ольга Олеговна</v>
      </c>
      <c r="O569" t="s">
        <v>57</v>
      </c>
      <c r="P569" t="s">
        <v>177</v>
      </c>
      <c r="Q569" t="s">
        <v>303</v>
      </c>
    </row>
    <row r="570">
      <c r="D570" t="s">
        <v>15</v>
      </c>
      <c r="E570" t="s">
        <v>92</v>
      </c>
      <c r="F570" t="str">
        <f>VLOOKUP(D570&amp;E570,J:M,4,0)</f>
        <v>2024-01-08</v>
      </c>
      <c r="G570" t="str">
        <f>VLOOKUP(D570&amp;E570,N:Q,4,0)</f>
        <v>2024-02-27</v>
      </c>
      <c r="H570">
        <f>G570-F570</f>
        <v>50</v>
      </c>
      <c r="J570" t="str">
        <f>K570&amp;L570</f>
        <v>Белов Алексей КонстантиновичЕгорова Ирина Кирилловна</v>
      </c>
      <c r="K570" t="s">
        <v>47</v>
      </c>
      <c r="L570" t="s">
        <v>140</v>
      </c>
      <c r="M570" t="s">
        <v>349</v>
      </c>
      <c r="N570" t="str">
        <f>O570&amp;P570</f>
        <v>Петров Владимир КирилловичМорозова Юлия Геннадьевна</v>
      </c>
      <c r="O570" t="s">
        <v>28</v>
      </c>
      <c r="P570" t="s">
        <v>163</v>
      </c>
      <c r="Q570" t="s">
        <v>303</v>
      </c>
    </row>
    <row r="571">
      <c r="D571" t="s">
        <v>15</v>
      </c>
      <c r="E571" t="s">
        <v>61</v>
      </c>
      <c r="F571" t="str">
        <f>VLOOKUP(D571&amp;E571,J:M,4,0)</f>
        <v>2024-05-17</v>
      </c>
      <c r="G571" t="str">
        <f>VLOOKUP(D571&amp;E571,N:Q,4,0)</f>
        <v>2024-05-17</v>
      </c>
      <c r="H571">
        <f>G571-F571</f>
        <v>0</v>
      </c>
      <c r="J571" t="str">
        <f>K571&amp;L571</f>
        <v>Фролов Сергей ВикторовичКозлов Артур Андреевич</v>
      </c>
      <c r="K571" t="s">
        <v>5</v>
      </c>
      <c r="L571" t="s">
        <v>98</v>
      </c>
      <c r="M571" t="s">
        <v>349</v>
      </c>
      <c r="N571" t="str">
        <f>O571&amp;P571</f>
        <v>Ткаченко Андрей ОлеговичФедоров Алексей Павлович</v>
      </c>
      <c r="O571" t="s">
        <v>24</v>
      </c>
      <c r="P571" t="s">
        <v>174</v>
      </c>
      <c r="Q571" t="s">
        <v>303</v>
      </c>
    </row>
    <row r="572">
      <c r="D572" t="s">
        <v>15</v>
      </c>
      <c r="E572" t="s">
        <v>75</v>
      </c>
      <c r="F572" t="str">
        <f>VLOOKUP(D572&amp;E572,J:M,4,0)</f>
        <v>2023-11-20</v>
      </c>
      <c r="G572" t="str">
        <f>VLOOKUP(D572&amp;E572,N:Q,4,0)</f>
        <v>2023-11-20</v>
      </c>
      <c r="H572">
        <f>G572-F572</f>
        <v>0</v>
      </c>
      <c r="J572" t="str">
        <f>K572&amp;L572</f>
        <v>Белов Алексей КонстантиновичСтепанова Ирина Артемовна</v>
      </c>
      <c r="K572" t="s">
        <v>47</v>
      </c>
      <c r="L572" t="s">
        <v>45</v>
      </c>
      <c r="M572" t="s">
        <v>350</v>
      </c>
      <c r="N572" t="str">
        <f>O572&amp;P572</f>
        <v>Ткаченко Андрей ОлеговичЕгоров Никита Станиславович</v>
      </c>
      <c r="O572" t="s">
        <v>24</v>
      </c>
      <c r="P572" t="s">
        <v>49</v>
      </c>
      <c r="Q572" t="s">
        <v>301</v>
      </c>
    </row>
    <row r="573">
      <c r="D573" t="s">
        <v>15</v>
      </c>
      <c r="E573" t="s">
        <v>132</v>
      </c>
      <c r="F573" t="str">
        <f>VLOOKUP(D573&amp;E573,J:M,4,0)</f>
        <v>2024-03-25</v>
      </c>
      <c r="G573" t="str">
        <f>VLOOKUP(D573&amp;E573,N:Q,4,0)</f>
        <v>2024-03-25</v>
      </c>
      <c r="H573">
        <f>G573-F573</f>
        <v>0</v>
      </c>
      <c r="J573" t="str">
        <f>K573&amp;L573</f>
        <v>Яковлев Артем ИгоревичСтепанов Георгий Иванович</v>
      </c>
      <c r="K573" t="s">
        <v>21</v>
      </c>
      <c r="L573" t="s">
        <v>44</v>
      </c>
      <c r="M573" t="s">
        <v>350</v>
      </c>
      <c r="N573" t="str">
        <f>O573&amp;P573</f>
        <v>Белов Алексей КонстантиновичАлексеева Наталья Андреевна</v>
      </c>
      <c r="O573" t="s">
        <v>47</v>
      </c>
      <c r="P573" t="s">
        <v>42</v>
      </c>
      <c r="Q573" t="s">
        <v>301</v>
      </c>
    </row>
    <row r="574">
      <c r="D574" t="s">
        <v>15</v>
      </c>
      <c r="E574" t="s">
        <v>39</v>
      </c>
      <c r="F574" t="str">
        <f>VLOOKUP(D574&amp;E574,J:M,4,0)</f>
        <v>2024-03-04</v>
      </c>
      <c r="G574" t="str">
        <f>VLOOKUP(D574&amp;E574,N:Q,4,0)</f>
        <v>2024-03-04</v>
      </c>
      <c r="H574">
        <f>G574-F574</f>
        <v>0</v>
      </c>
      <c r="J574" t="str">
        <f>K574&amp;L574</f>
        <v>Орлов Павел ДенисовичИванов Никита Павлович</v>
      </c>
      <c r="K574" t="s">
        <v>43</v>
      </c>
      <c r="L574" t="s">
        <v>71</v>
      </c>
      <c r="M574" t="s">
        <v>350</v>
      </c>
      <c r="N574" t="str">
        <f>O574&amp;P574</f>
        <v>Сидорова Елена ВасильевнаПетрова Татьяна Дмитриевна</v>
      </c>
      <c r="O574" t="s">
        <v>15</v>
      </c>
      <c r="P574" t="s">
        <v>234</v>
      </c>
      <c r="Q574" t="s">
        <v>301</v>
      </c>
    </row>
    <row r="575">
      <c r="D575" t="s">
        <v>15</v>
      </c>
      <c r="E575" t="s">
        <v>138</v>
      </c>
      <c r="F575" t="str">
        <f>VLOOKUP(D575&amp;E575,J:M,4,0)</f>
        <v>2023-10-19</v>
      </c>
      <c r="G575" t="str">
        <f>VLOOKUP(D575&amp;E575,N:Q,4,0)</f>
        <v>2024-04-26</v>
      </c>
      <c r="H575">
        <f>G575-F575</f>
        <v>190</v>
      </c>
      <c r="J575" t="str">
        <f>K575&amp;L575</f>
        <v>Орлов Павел ДенисовичИванов Павел Сергеевич</v>
      </c>
      <c r="K575" t="s">
        <v>43</v>
      </c>
      <c r="L575" t="s">
        <v>103</v>
      </c>
      <c r="M575" t="s">
        <v>350</v>
      </c>
      <c r="N575" t="str">
        <f>O575&amp;P575</f>
        <v>Громова Мария ИльиничнаПетров Сергей Александрович</v>
      </c>
      <c r="O575" t="s">
        <v>13</v>
      </c>
      <c r="P575" t="s">
        <v>89</v>
      </c>
      <c r="Q575" t="s">
        <v>301</v>
      </c>
    </row>
    <row r="576">
      <c r="D576" t="s">
        <v>15</v>
      </c>
      <c r="E576" t="s">
        <v>207</v>
      </c>
      <c r="F576" t="str">
        <f>VLOOKUP(D576&amp;E576,J:M,4,0)</f>
        <v>2024-06-24</v>
      </c>
      <c r="G576" t="str">
        <f>VLOOKUP(D576&amp;E576,N:Q,4,0)</f>
        <v>2024-06-24</v>
      </c>
      <c r="H576">
        <f>G576-F576</f>
        <v>0</v>
      </c>
      <c r="J576" t="str">
        <f>K576&amp;L576</f>
        <v>Кузнецов Дмитрий ЛьвовичПопова Светлана Дмитриевна</v>
      </c>
      <c r="K576" t="s">
        <v>8</v>
      </c>
      <c r="L576" t="s">
        <v>69</v>
      </c>
      <c r="M576" t="s">
        <v>350</v>
      </c>
      <c r="N576" t="str">
        <f>O576&amp;P576</f>
        <v>Орлов Павел ДенисовичПопова Полина Романовна</v>
      </c>
      <c r="O576" t="s">
        <v>43</v>
      </c>
      <c r="P576" t="s">
        <v>192</v>
      </c>
      <c r="Q576" t="s">
        <v>301</v>
      </c>
    </row>
    <row r="577">
      <c r="D577" t="s">
        <v>15</v>
      </c>
      <c r="E577" t="s">
        <v>65</v>
      </c>
      <c r="F577" t="str">
        <f>VLOOKUP(D577&amp;E577,J:M,4,0)</f>
        <v>2023-09-19</v>
      </c>
      <c r="G577" t="str">
        <f>VLOOKUP(D577&amp;E577,N:Q,4,0)</f>
        <v>2023-09-19</v>
      </c>
      <c r="H577">
        <f>G577-F577</f>
        <v>0</v>
      </c>
      <c r="J577" t="str">
        <f>K577&amp;L577</f>
        <v>Орлов Павел ДенисовичФедоров Дмитрий Сергеевич</v>
      </c>
      <c r="K577" t="s">
        <v>43</v>
      </c>
      <c r="L577" t="s">
        <v>56</v>
      </c>
      <c r="M577" t="s">
        <v>351</v>
      </c>
      <c r="N577" t="str">
        <f>O577&amp;P577</f>
        <v>Громова Мария ИльиничнаСеменов Алексей Михайлович</v>
      </c>
      <c r="O577" t="s">
        <v>13</v>
      </c>
      <c r="P577" t="s">
        <v>299</v>
      </c>
      <c r="Q577" t="s">
        <v>300</v>
      </c>
    </row>
    <row r="578">
      <c r="D578" t="s">
        <v>15</v>
      </c>
      <c r="E578" t="s">
        <v>248</v>
      </c>
      <c r="F578" t="str">
        <f>VLOOKUP(D578&amp;E578,J:M,4,0)</f>
        <v>2024-02-07</v>
      </c>
      <c r="G578" t="str">
        <f>VLOOKUP(D578&amp;E578,N:Q,4,0)</f>
        <v>2024-04-29</v>
      </c>
      <c r="H578">
        <f>G578-F578</f>
        <v>82</v>
      </c>
      <c r="J578" t="str">
        <f>K578&amp;L578</f>
        <v>Петров Владимир КирилловичПавлов Дмитрий Ильич</v>
      </c>
      <c r="K578" t="s">
        <v>28</v>
      </c>
      <c r="L578" t="s">
        <v>292</v>
      </c>
      <c r="M578" t="s">
        <v>351</v>
      </c>
      <c r="N578" t="str">
        <f>O578&amp;P578</f>
        <v>Новикова Ольга ПетровнаНиколаев Артем Александрович</v>
      </c>
      <c r="O578" t="s">
        <v>17</v>
      </c>
      <c r="P578" t="s">
        <v>248</v>
      </c>
      <c r="Q578" t="s">
        <v>300</v>
      </c>
    </row>
    <row r="579">
      <c r="D579" t="s">
        <v>15</v>
      </c>
      <c r="E579" t="s">
        <v>151</v>
      </c>
      <c r="F579" t="str">
        <f>VLOOKUP(D579&amp;E579,J:M,4,0)</f>
        <v>2023-11-29</v>
      </c>
      <c r="G579" t="str">
        <f>VLOOKUP(D579&amp;E579,N:Q,4,0)</f>
        <v>2023-11-29</v>
      </c>
      <c r="H579">
        <f>G579-F579</f>
        <v>0</v>
      </c>
      <c r="J579" t="str">
        <f>K579&amp;L579</f>
        <v>Новикова Ольга ПетровнаНиколаев Артур Артемович</v>
      </c>
      <c r="K579" t="s">
        <v>17</v>
      </c>
      <c r="L579" t="s">
        <v>151</v>
      </c>
      <c r="M579" t="s">
        <v>351</v>
      </c>
      <c r="N579" t="str">
        <f>O579&amp;P579</f>
        <v>Громова Мария ИльиничнаЛебедев Кирилл Сергеевич</v>
      </c>
      <c r="O579" t="s">
        <v>13</v>
      </c>
      <c r="P579" t="s">
        <v>133</v>
      </c>
      <c r="Q579" t="s">
        <v>300</v>
      </c>
    </row>
    <row r="580">
      <c r="D580" t="s">
        <v>15</v>
      </c>
      <c r="E580" t="s">
        <v>267</v>
      </c>
      <c r="F580" t="str">
        <f>VLOOKUP(D580&amp;E580,J:M,4,0)</f>
        <v>2024-02-26</v>
      </c>
      <c r="G580" t="str">
        <f>VLOOKUP(D580&amp;E580,N:Q,4,0)</f>
        <v>2024-02-26</v>
      </c>
      <c r="H580">
        <f>G580-F580</f>
        <v>0</v>
      </c>
      <c r="J580" t="str">
        <f>K580&amp;L580</f>
        <v>Семенова Ирина ВалерьевнаМорозова Екатерина Олеговна</v>
      </c>
      <c r="K580" t="s">
        <v>57</v>
      </c>
      <c r="L580" t="s">
        <v>65</v>
      </c>
      <c r="M580" t="s">
        <v>351</v>
      </c>
      <c r="N580" t="str">
        <f>O580&amp;P580</f>
        <v>Громова Мария ИльиничнаВасильев Кирилл Иванович</v>
      </c>
      <c r="O580" t="s">
        <v>13</v>
      </c>
      <c r="P580" t="s">
        <v>284</v>
      </c>
      <c r="Q580" t="s">
        <v>298</v>
      </c>
    </row>
    <row r="581">
      <c r="D581" t="s">
        <v>15</v>
      </c>
      <c r="E581" t="s">
        <v>190</v>
      </c>
      <c r="F581" t="str">
        <f>VLOOKUP(D581&amp;E581,J:M,4,0)</f>
        <v>2024-02-16</v>
      </c>
      <c r="G581" t="str">
        <f>VLOOKUP(D581&amp;E581,N:Q,4,0)</f>
        <v>2024-02-16</v>
      </c>
      <c r="H581">
        <f>G581-F581</f>
        <v>0</v>
      </c>
      <c r="J581" t="str">
        <f>K581&amp;L581</f>
        <v>Сидорова Елена ВасильевнаКозлова София Олеговна</v>
      </c>
      <c r="K581" t="s">
        <v>15</v>
      </c>
      <c r="L581" t="s">
        <v>185</v>
      </c>
      <c r="M581" t="s">
        <v>351</v>
      </c>
      <c r="N581" t="str">
        <f>O581&amp;P581</f>
        <v>Громова Мария ИльиничнаНовиков Дмитрий Иванович</v>
      </c>
      <c r="O581" t="s">
        <v>13</v>
      </c>
      <c r="P581" t="s">
        <v>184</v>
      </c>
      <c r="Q581" t="s">
        <v>297</v>
      </c>
    </row>
    <row r="582">
      <c r="D582" t="s">
        <v>15</v>
      </c>
      <c r="E582" t="s">
        <v>91</v>
      </c>
      <c r="F582" t="str">
        <f>VLOOKUP(D582&amp;E582,J:M,4,0)</f>
        <v>2023-10-16</v>
      </c>
      <c r="G582" t="str">
        <f>VLOOKUP(D582&amp;E582,N:Q,4,0)</f>
        <v>2023-10-16</v>
      </c>
      <c r="H582">
        <f>G582-F582</f>
        <v>0</v>
      </c>
      <c r="J582" t="str">
        <f>K582&amp;L582</f>
        <v>Фролов Сергей ВикторовичНовикова Анна Ильинична</v>
      </c>
      <c r="K582" t="s">
        <v>5</v>
      </c>
      <c r="L582" t="s">
        <v>35</v>
      </c>
      <c r="M582" t="s">
        <v>351</v>
      </c>
      <c r="N582" t="str">
        <f>O582&amp;P582</f>
        <v>Фролов Сергей ВикторовичНиколаев Владимир Егорович</v>
      </c>
      <c r="O582" t="s">
        <v>5</v>
      </c>
      <c r="P582" t="s">
        <v>190</v>
      </c>
      <c r="Q582" t="s">
        <v>297</v>
      </c>
    </row>
    <row r="583">
      <c r="D583" t="s">
        <v>15</v>
      </c>
      <c r="E583" t="s">
        <v>37</v>
      </c>
      <c r="F583" t="str">
        <f>VLOOKUP(D583&amp;E583,J:M,4,0)</f>
        <v>2024-03-04</v>
      </c>
      <c r="G583" t="str">
        <f>VLOOKUP(D583&amp;E583,N:Q,4,0)</f>
        <v>2024-03-04</v>
      </c>
      <c r="H583">
        <f>G583-F583</f>
        <v>0</v>
      </c>
      <c r="J583" t="str">
        <f>K583&amp;L583</f>
        <v>Ткаченко Андрей ОлеговичИванова Ксения Александровна</v>
      </c>
      <c r="K583" t="s">
        <v>24</v>
      </c>
      <c r="L583" t="s">
        <v>265</v>
      </c>
      <c r="M583" t="s">
        <v>351</v>
      </c>
      <c r="N583" t="str">
        <f>O583&amp;P583</f>
        <v>Кузнецов Дмитрий ЛьвовичПавлова Дарья Андреевна</v>
      </c>
      <c r="O583" t="s">
        <v>8</v>
      </c>
      <c r="P583" t="s">
        <v>78</v>
      </c>
      <c r="Q583" t="s">
        <v>296</v>
      </c>
    </row>
    <row r="584">
      <c r="D584" t="s">
        <v>15</v>
      </c>
      <c r="E584" t="s">
        <v>280</v>
      </c>
      <c r="F584" t="str">
        <f>VLOOKUP(D584&amp;E584,J:M,4,0)</f>
        <v>2024-06-24</v>
      </c>
      <c r="G584" t="str">
        <f>VLOOKUP(D584&amp;E584,N:Q,4,0)</f>
        <v>2024-06-24</v>
      </c>
      <c r="H584">
        <f>G584-F584</f>
        <v>0</v>
      </c>
      <c r="J584" t="str">
        <f>K584&amp;L584</f>
        <v>Кузнецов Дмитрий ЛьвовичИванова Людмила Алексеевна</v>
      </c>
      <c r="K584" t="s">
        <v>8</v>
      </c>
      <c r="L584" t="s">
        <v>59</v>
      </c>
      <c r="M584" t="s">
        <v>351</v>
      </c>
      <c r="N584" t="str">
        <f>O584&amp;P584</f>
        <v>Громова Мария ИльиничнаПавлов Андрей Викторович</v>
      </c>
      <c r="O584" t="s">
        <v>13</v>
      </c>
      <c r="P584" t="s">
        <v>131</v>
      </c>
      <c r="Q584" t="s">
        <v>296</v>
      </c>
    </row>
    <row r="585">
      <c r="D585" t="s">
        <v>15</v>
      </c>
      <c r="E585" t="s">
        <v>186</v>
      </c>
      <c r="F585" t="str">
        <f>VLOOKUP(D585&amp;E585,J:M,4,0)</f>
        <v>2024-04-03</v>
      </c>
      <c r="G585" t="str">
        <f>VLOOKUP(D585&amp;E585,N:Q,4,0)</f>
        <v>2024-04-03</v>
      </c>
      <c r="H585">
        <f>G585-F585</f>
        <v>0</v>
      </c>
      <c r="J585" t="str">
        <f>K585&amp;L585</f>
        <v>Яковлев Артем ИгоревичМорозова Татьяна Кирилловна</v>
      </c>
      <c r="K585" t="s">
        <v>21</v>
      </c>
      <c r="L585" t="s">
        <v>218</v>
      </c>
      <c r="M585" t="s">
        <v>351</v>
      </c>
      <c r="N585" t="str">
        <f>O585&amp;P585</f>
        <v>Сидорова Елена ВасильевнаВолкова Дарья Юрьевна</v>
      </c>
      <c r="O585" t="s">
        <v>15</v>
      </c>
      <c r="P585" t="s">
        <v>82</v>
      </c>
      <c r="Q585" t="s">
        <v>296</v>
      </c>
    </row>
    <row r="586">
      <c r="D586" t="s">
        <v>15</v>
      </c>
      <c r="E586" t="s">
        <v>168</v>
      </c>
      <c r="F586" t="str">
        <f>VLOOKUP(D586&amp;E586,J:M,4,0)</f>
        <v>2024-06-14</v>
      </c>
      <c r="G586" t="str">
        <f>VLOOKUP(D586&amp;E586,N:Q,4,0)</f>
        <v>2024-07-30</v>
      </c>
      <c r="H586">
        <f>G586-F586</f>
        <v>46</v>
      </c>
      <c r="J586" t="str">
        <f>K586&amp;L586</f>
        <v>Фролов Сергей ВикторовичСтепанова Валерия Романовна</v>
      </c>
      <c r="K586" t="s">
        <v>5</v>
      </c>
      <c r="L586" t="s">
        <v>99</v>
      </c>
      <c r="M586" t="s">
        <v>351</v>
      </c>
      <c r="N586" t="str">
        <f>O586&amp;P586</f>
        <v>Фролов Сергей ВикторовичНиколаева Екатерина Никитична</v>
      </c>
      <c r="O586" t="s">
        <v>5</v>
      </c>
      <c r="P586" t="s">
        <v>270</v>
      </c>
      <c r="Q586" t="s">
        <v>296</v>
      </c>
    </row>
    <row r="587">
      <c r="D587" t="s">
        <v>15</v>
      </c>
      <c r="E587" t="s">
        <v>252</v>
      </c>
      <c r="F587" t="str">
        <f>VLOOKUP(D587&amp;E587,J:M,4,0)</f>
        <v>2024-08-15</v>
      </c>
      <c r="G587" t="str">
        <f>VLOOKUP(D587&amp;E587,N:Q,4,0)</f>
        <v>2024-08-15</v>
      </c>
      <c r="H587">
        <f>G587-F587</f>
        <v>0</v>
      </c>
      <c r="J587" t="str">
        <f>K587&amp;L587</f>
        <v>Яковлев Артем ИгоревичВолков Матвей Кириллович</v>
      </c>
      <c r="K587" t="s">
        <v>21</v>
      </c>
      <c r="L587" t="s">
        <v>321</v>
      </c>
      <c r="M587" t="s">
        <v>352</v>
      </c>
      <c r="N587" t="str">
        <f>O587&amp;P587</f>
        <v>Кузнецов Дмитрий ЛьвовичВасильева Анна Ильинична</v>
      </c>
      <c r="O587" t="s">
        <v>8</v>
      </c>
      <c r="P587" t="s">
        <v>142</v>
      </c>
      <c r="Q587" t="s">
        <v>295</v>
      </c>
    </row>
    <row r="588">
      <c r="D588" t="s">
        <v>15</v>
      </c>
      <c r="E588" t="s">
        <v>225</v>
      </c>
      <c r="F588" t="str">
        <f>VLOOKUP(D588&amp;E588,J:M,4,0)</f>
        <v>2023-12-06</v>
      </c>
      <c r="G588" t="str">
        <f>VLOOKUP(D588&amp;E588,N:Q,4,0)</f>
        <v>2023-12-06</v>
      </c>
      <c r="H588">
        <f>G588-F588</f>
        <v>0</v>
      </c>
      <c r="J588" t="str">
        <f>K588&amp;L588</f>
        <v>Яковлев Артем ИгоревичКозлов Артур Андреевич</v>
      </c>
      <c r="K588" t="s">
        <v>21</v>
      </c>
      <c r="L588" t="s">
        <v>98</v>
      </c>
      <c r="M588" t="s">
        <v>353</v>
      </c>
      <c r="N588" t="str">
        <f>O588&amp;P588</f>
        <v>Белов Алексей КонстантиновичИванов Матвей Юрьевич</v>
      </c>
      <c r="O588" t="s">
        <v>47</v>
      </c>
      <c r="P588" t="s">
        <v>16</v>
      </c>
      <c r="Q588" t="s">
        <v>295</v>
      </c>
    </row>
    <row r="589">
      <c r="D589" t="s">
        <v>15</v>
      </c>
      <c r="E589" t="s">
        <v>184</v>
      </c>
      <c r="F589" t="str">
        <f>VLOOKUP(D589&amp;E589,J:M,4,0)</f>
        <v>2024-01-18</v>
      </c>
      <c r="G589" t="str">
        <f>VLOOKUP(D589&amp;E589,N:Q,4,0)</f>
        <v>2024-01-18</v>
      </c>
      <c r="H589">
        <f>G589-F589</f>
        <v>0</v>
      </c>
      <c r="J589" t="str">
        <f>K589&amp;L589</f>
        <v>Орлов Павел ДенисовичНиколаева Александра Кирилловна</v>
      </c>
      <c r="K589" t="s">
        <v>43</v>
      </c>
      <c r="L589" t="s">
        <v>186</v>
      </c>
      <c r="M589" t="s">
        <v>353</v>
      </c>
      <c r="N589" t="str">
        <f>O589&amp;P589</f>
        <v>Ткаченко Андрей ОлеговичСидоров Артур Алексеевич</v>
      </c>
      <c r="O589" t="s">
        <v>24</v>
      </c>
      <c r="P589" t="s">
        <v>50</v>
      </c>
      <c r="Q589" t="s">
        <v>295</v>
      </c>
    </row>
    <row r="590">
      <c r="D590" t="s">
        <v>15</v>
      </c>
      <c r="E590" t="s">
        <v>241</v>
      </c>
      <c r="F590" t="str">
        <f>VLOOKUP(D590&amp;E590,J:M,4,0)</f>
        <v>2023-12-18</v>
      </c>
      <c r="G590" t="str">
        <f>VLOOKUP(D590&amp;E590,N:Q,4,0)</f>
        <v>2023-12-18</v>
      </c>
      <c r="H590">
        <f>G590-F590</f>
        <v>0</v>
      </c>
      <c r="J590" t="str">
        <f>K590&amp;L590</f>
        <v>Яковлев Артем ИгоревичНиколаев Артур Артемович</v>
      </c>
      <c r="K590" t="s">
        <v>21</v>
      </c>
      <c r="L590" t="s">
        <v>151</v>
      </c>
      <c r="M590" t="s">
        <v>353</v>
      </c>
      <c r="N590" t="str">
        <f>O590&amp;P590</f>
        <v>Орлов Павел ДенисовичНиколаев Владимир Геннадьевич</v>
      </c>
      <c r="O590" t="s">
        <v>43</v>
      </c>
      <c r="P590" t="s">
        <v>267</v>
      </c>
      <c r="Q590" t="s">
        <v>295</v>
      </c>
    </row>
    <row r="591">
      <c r="D591" t="s">
        <v>15</v>
      </c>
      <c r="E591" t="s">
        <v>147</v>
      </c>
      <c r="F591" t="str">
        <f>VLOOKUP(D591&amp;E591,J:M,4,0)</f>
        <v>2023-10-23</v>
      </c>
      <c r="G591" t="str">
        <f>VLOOKUP(D591&amp;E591,N:Q,4,0)</f>
        <v>2024-04-12</v>
      </c>
      <c r="H591">
        <f>G591-F591</f>
        <v>172</v>
      </c>
      <c r="J591" t="str">
        <f>K591&amp;L591</f>
        <v>Сидорова Елена ВасильевнаНиколаева Александра Кирилловна</v>
      </c>
      <c r="K591" t="s">
        <v>15</v>
      </c>
      <c r="L591" t="s">
        <v>186</v>
      </c>
      <c r="M591" t="s">
        <v>353</v>
      </c>
      <c r="N591" t="str">
        <f>O591&amp;P591</f>
        <v>Петров Владимир КирилловичПавлов Кирилл Иванович</v>
      </c>
      <c r="O591" t="s">
        <v>28</v>
      </c>
      <c r="P591" t="s">
        <v>25</v>
      </c>
      <c r="Q591" t="s">
        <v>295</v>
      </c>
    </row>
    <row r="592">
      <c r="D592" t="s">
        <v>15</v>
      </c>
      <c r="E592" t="s">
        <v>116</v>
      </c>
      <c r="F592" t="str">
        <f>VLOOKUP(D592&amp;E592,J:M,4,0)</f>
        <v>2024-04-19</v>
      </c>
      <c r="G592" t="str">
        <f>VLOOKUP(D592&amp;E592,N:Q,4,0)</f>
        <v>2024-04-19</v>
      </c>
      <c r="H592">
        <f>G592-F592</f>
        <v>0</v>
      </c>
      <c r="J592" t="str">
        <f>K592&amp;L592</f>
        <v>Яковлев Артем ИгоревичСеменов Сергей Викторович</v>
      </c>
      <c r="K592" t="s">
        <v>21</v>
      </c>
      <c r="L592" t="s">
        <v>30</v>
      </c>
      <c r="M592" t="s">
        <v>353</v>
      </c>
      <c r="N592" t="str">
        <f>O592&amp;P592</f>
        <v>Иванова Анна СергеевнаНиколаева Екатерина Никитична</v>
      </c>
      <c r="O592" t="s">
        <v>11</v>
      </c>
      <c r="P592" t="s">
        <v>270</v>
      </c>
      <c r="Q592" t="s">
        <v>295</v>
      </c>
    </row>
    <row r="593">
      <c r="D593" t="s">
        <v>15</v>
      </c>
      <c r="E593" t="s">
        <v>170</v>
      </c>
      <c r="F593" t="str">
        <f>VLOOKUP(D593&amp;E593,J:M,4,0)</f>
        <v>2023-11-03</v>
      </c>
      <c r="G593" t="str">
        <f>VLOOKUP(D593&amp;E593,N:Q,4,0)</f>
        <v>2023-11-03</v>
      </c>
      <c r="H593">
        <f>G593-F593</f>
        <v>0</v>
      </c>
      <c r="J593" t="str">
        <f>K593&amp;L593</f>
        <v>Белов Алексей КонстантиновичАлексеева Наталья Андреевна</v>
      </c>
      <c r="K593" t="s">
        <v>47</v>
      </c>
      <c r="L593" t="s">
        <v>42</v>
      </c>
      <c r="M593" t="s">
        <v>354</v>
      </c>
      <c r="N593" t="str">
        <f>O593&amp;P593</f>
        <v>Иванова Анна СергеевнаКозлова София Олеговна</v>
      </c>
      <c r="O593" t="s">
        <v>11</v>
      </c>
      <c r="P593" t="s">
        <v>185</v>
      </c>
      <c r="Q593" t="s">
        <v>294</v>
      </c>
    </row>
    <row r="594">
      <c r="D594" t="s">
        <v>15</v>
      </c>
      <c r="E594" t="s">
        <v>6</v>
      </c>
      <c r="F594" t="str">
        <f>VLOOKUP(D594&amp;E594,J:M,4,0)</f>
        <v>2024-06-07</v>
      </c>
      <c r="G594" t="str">
        <f>VLOOKUP(D594&amp;E594,N:Q,4,0)</f>
        <v>2024-06-07</v>
      </c>
      <c r="H594">
        <f>G594-F594</f>
        <v>0</v>
      </c>
      <c r="J594" t="str">
        <f>K594&amp;L594</f>
        <v>Иванова Анна СергеевнаПавлова Виктория Викторовна</v>
      </c>
      <c r="K594" t="s">
        <v>11</v>
      </c>
      <c r="L594" t="s">
        <v>77</v>
      </c>
      <c r="M594" t="s">
        <v>355</v>
      </c>
      <c r="N594" t="str">
        <f>O594&amp;P594</f>
        <v>Громова Мария ИльиничнаКузнецов Егор Геннадьевич</v>
      </c>
      <c r="O594" t="s">
        <v>13</v>
      </c>
      <c r="P594" t="s">
        <v>162</v>
      </c>
      <c r="Q594" t="s">
        <v>294</v>
      </c>
    </row>
    <row r="595">
      <c r="D595" t="s">
        <v>15</v>
      </c>
      <c r="E595" t="s">
        <v>246</v>
      </c>
      <c r="F595" t="str">
        <f>VLOOKUP(D595&amp;E595,J:M,4,0)</f>
        <v>2023-12-21</v>
      </c>
      <c r="G595" t="str">
        <f>VLOOKUP(D595&amp;E595,N:Q,4,0)</f>
        <v>2023-12-21</v>
      </c>
      <c r="H595">
        <f>G595-F595</f>
        <v>0</v>
      </c>
      <c r="J595" t="str">
        <f>K595&amp;L595</f>
        <v>Фролов Сергей ВикторовичКузнецова Екатерина Александровна</v>
      </c>
      <c r="K595" t="s">
        <v>5</v>
      </c>
      <c r="L595" t="s">
        <v>92</v>
      </c>
      <c r="M595" t="s">
        <v>355</v>
      </c>
      <c r="N595" t="str">
        <f>O595&amp;P595</f>
        <v>Громова Мария ИльиничнаОрлова Дарья Владимировна</v>
      </c>
      <c r="O595" t="s">
        <v>13</v>
      </c>
      <c r="P595" t="s">
        <v>87</v>
      </c>
      <c r="Q595" t="s">
        <v>293</v>
      </c>
    </row>
    <row r="596">
      <c r="D596" t="s">
        <v>15</v>
      </c>
      <c r="E596" t="s">
        <v>41</v>
      </c>
      <c r="F596" t="str">
        <f>VLOOKUP(D596&amp;E596,J:M,4,0)</f>
        <v>2023-09-11</v>
      </c>
      <c r="G596" t="str">
        <f>VLOOKUP(D596&amp;E596,N:Q,4,0)</f>
        <v>2023-09-11</v>
      </c>
      <c r="H596">
        <f>G596-F596</f>
        <v>0</v>
      </c>
      <c r="J596" t="str">
        <f>K596&amp;L596</f>
        <v>Сидорова Елена ВасильевнаПавлов Кирилл Иванович</v>
      </c>
      <c r="K596" t="s">
        <v>15</v>
      </c>
      <c r="L596" t="s">
        <v>25</v>
      </c>
      <c r="M596" t="s">
        <v>356</v>
      </c>
      <c r="N596" t="str">
        <f>O596&amp;P596</f>
        <v>Петров Владимир КирилловичЕгоров Андрей Дмитриевич</v>
      </c>
      <c r="O596" t="s">
        <v>28</v>
      </c>
      <c r="P596" t="s">
        <v>272</v>
      </c>
      <c r="Q596" t="s">
        <v>293</v>
      </c>
    </row>
    <row r="597">
      <c r="D597" t="s">
        <v>15</v>
      </c>
      <c r="E597" t="s">
        <v>131</v>
      </c>
      <c r="F597" t="str">
        <f>VLOOKUP(D597&amp;E597,J:M,4,0)</f>
        <v>2023-11-17</v>
      </c>
      <c r="G597" t="str">
        <f>VLOOKUP(D597&amp;E597,N:Q,4,0)</f>
        <v>2023-11-17</v>
      </c>
      <c r="H597">
        <f>G597-F597</f>
        <v>0</v>
      </c>
      <c r="J597" t="str">
        <f>K597&amp;L597</f>
        <v>Ткаченко Андрей ОлеговичИванова Ксения Александровна</v>
      </c>
      <c r="K597" t="s">
        <v>24</v>
      </c>
      <c r="L597" t="s">
        <v>265</v>
      </c>
      <c r="M597" t="s">
        <v>356</v>
      </c>
      <c r="N597" t="str">
        <f>O597&amp;P597</f>
        <v>Петров Владимир КирилловичКузнецова Людмила Сергеевна</v>
      </c>
      <c r="O597" t="s">
        <v>28</v>
      </c>
      <c r="P597" t="s">
        <v>55</v>
      </c>
      <c r="Q597" t="s">
        <v>293</v>
      </c>
    </row>
    <row r="598">
      <c r="D598" t="s">
        <v>15</v>
      </c>
      <c r="E598" t="s">
        <v>25</v>
      </c>
      <c r="F598" t="str">
        <f>VLOOKUP(D598&amp;E598,J:M,4,0)</f>
        <v>2024-04-08</v>
      </c>
      <c r="G598" t="str">
        <f>VLOOKUP(D598&amp;E598,N:Q,4,0)</f>
        <v>2024-04-08</v>
      </c>
      <c r="H598">
        <f>G598-F598</f>
        <v>0</v>
      </c>
      <c r="J598" t="str">
        <f>K598&amp;L598</f>
        <v>Петров Владимир КирилловичКозлов Дмитрий Сергеевич</v>
      </c>
      <c r="K598" t="s">
        <v>28</v>
      </c>
      <c r="L598" t="s">
        <v>222</v>
      </c>
      <c r="M598" t="s">
        <v>356</v>
      </c>
      <c r="N598" t="str">
        <f>O598&amp;P598</f>
        <v>Новикова Ольга ПетровнаСидорова София Дмитриевна</v>
      </c>
      <c r="O598" t="s">
        <v>17</v>
      </c>
      <c r="P598" t="s">
        <v>254</v>
      </c>
      <c r="Q598" t="s">
        <v>293</v>
      </c>
    </row>
    <row r="599">
      <c r="D599" t="s">
        <v>15</v>
      </c>
      <c r="E599" t="s">
        <v>383</v>
      </c>
      <c r="F599" t="str">
        <f>VLOOKUP(D599&amp;E599,J:M,4,0)</f>
        <v>2024-05-07</v>
      </c>
      <c r="G599" t="str">
        <f>VLOOKUP(D599&amp;E599,N:Q,4,0)</f>
        <v>2024-05-07</v>
      </c>
      <c r="H599">
        <f>G599-F599</f>
        <v>0</v>
      </c>
      <c r="J599" t="str">
        <f>K599&amp;L599</f>
        <v>Ткаченко Андрей ОлеговичИванов Кирилл Кириллович</v>
      </c>
      <c r="K599" t="s">
        <v>24</v>
      </c>
      <c r="L599" t="s">
        <v>250</v>
      </c>
      <c r="M599" t="s">
        <v>356</v>
      </c>
      <c r="N599" t="str">
        <f>O599&amp;P599</f>
        <v>Ткаченко Андрей ОлеговичСтепанова Алиса Станиславовна</v>
      </c>
      <c r="O599" t="s">
        <v>24</v>
      </c>
      <c r="P599" t="s">
        <v>67</v>
      </c>
      <c r="Q599" t="s">
        <v>290</v>
      </c>
    </row>
    <row r="600">
      <c r="D600" t="s">
        <v>15</v>
      </c>
      <c r="E600" t="s">
        <v>77</v>
      </c>
      <c r="F600" t="str">
        <f>VLOOKUP(D600&amp;E600,J:M,4,0)</f>
        <v>2023-09-25</v>
      </c>
      <c r="G600" t="str">
        <f>VLOOKUP(D600&amp;E600,N:Q,4,0)</f>
        <v>2023-12-08</v>
      </c>
      <c r="H600">
        <f>G600-F600</f>
        <v>74</v>
      </c>
      <c r="J600" t="str">
        <f>K600&amp;L600</f>
        <v>Кузнецов Дмитрий ЛьвовичФедорова Людмила Дмитриевна</v>
      </c>
      <c r="K600" t="s">
        <v>8</v>
      </c>
      <c r="L600" t="s">
        <v>215</v>
      </c>
      <c r="M600" t="s">
        <v>356</v>
      </c>
      <c r="N600" t="str">
        <f>O600&amp;P600</f>
        <v>Петров Владимир КирилловичСеменов Константин Артемович</v>
      </c>
      <c r="O600" t="s">
        <v>28</v>
      </c>
      <c r="P600" t="s">
        <v>102</v>
      </c>
      <c r="Q600" t="s">
        <v>290</v>
      </c>
    </row>
    <row r="601">
      <c r="D601" t="s">
        <v>15</v>
      </c>
      <c r="E601" t="s">
        <v>78</v>
      </c>
      <c r="F601" t="str">
        <f>VLOOKUP(D601&amp;E601,J:M,4,0)</f>
        <v>2023-10-27</v>
      </c>
      <c r="G601" t="str">
        <f>VLOOKUP(D601&amp;E601,N:Q,4,0)</f>
        <v>2023-10-27</v>
      </c>
      <c r="H601">
        <f>G601-F601</f>
        <v>0</v>
      </c>
      <c r="J601" t="str">
        <f>K601&amp;L601</f>
        <v>Фролов Сергей ВикторовичАлексеева Ирина Андреевна</v>
      </c>
      <c r="K601" t="s">
        <v>5</v>
      </c>
      <c r="L601" t="s">
        <v>189</v>
      </c>
      <c r="M601" t="s">
        <v>357</v>
      </c>
      <c r="N601" t="str">
        <f>O601&amp;P601</f>
        <v>Петров Владимир КирилловичВасильев Александр Павлович</v>
      </c>
      <c r="O601" t="s">
        <v>28</v>
      </c>
      <c r="P601" t="s">
        <v>291</v>
      </c>
      <c r="Q601" t="s">
        <v>290</v>
      </c>
    </row>
    <row r="602">
      <c r="D602" t="s">
        <v>15</v>
      </c>
      <c r="E602" t="s">
        <v>305</v>
      </c>
      <c r="F602" t="str">
        <f>VLOOKUP(D602&amp;E602,J:M,4,0)</f>
        <v>2024-08-05</v>
      </c>
      <c r="G602" t="str">
        <f>VLOOKUP(D602&amp;E602,N:Q,4,0)</f>
        <v>2024-08-05</v>
      </c>
      <c r="H602">
        <f>G602-F602</f>
        <v>0</v>
      </c>
      <c r="J602" t="str">
        <f>K602&amp;L602</f>
        <v>Орлов Павел ДенисовичКозлова София Олеговна</v>
      </c>
      <c r="K602" t="s">
        <v>43</v>
      </c>
      <c r="L602" t="s">
        <v>185</v>
      </c>
      <c r="M602" t="s">
        <v>358</v>
      </c>
      <c r="N602" t="str">
        <f>O602&amp;P602</f>
        <v>Белов Алексей КонстантиновичПавлов Дмитрий Ильич</v>
      </c>
      <c r="O602" t="s">
        <v>47</v>
      </c>
      <c r="P602" t="s">
        <v>292</v>
      </c>
      <c r="Q602" t="s">
        <v>290</v>
      </c>
    </row>
    <row r="603">
      <c r="D603" t="s">
        <v>15</v>
      </c>
      <c r="E603" t="s">
        <v>111</v>
      </c>
      <c r="F603" t="str">
        <f>VLOOKUP(D603&amp;E603,J:M,4,0)</f>
        <v>2023-10-06</v>
      </c>
      <c r="G603" t="str">
        <f>VLOOKUP(D603&amp;E603,N:Q,4,0)</f>
        <v>2023-10-06</v>
      </c>
      <c r="H603">
        <f>G603-F603</f>
        <v>0</v>
      </c>
      <c r="J603" t="str">
        <f>K603&amp;L603</f>
        <v>Семенова Ирина ВалерьевнаЛебедева Полина Никитична</v>
      </c>
      <c r="K603" t="s">
        <v>57</v>
      </c>
      <c r="L603" t="s">
        <v>273</v>
      </c>
      <c r="M603" t="s">
        <v>358</v>
      </c>
      <c r="N603" t="str">
        <f>O603&amp;P603</f>
        <v>Фролов Сергей ВикторовичВолкова Дарья Юрьевна</v>
      </c>
      <c r="O603" t="s">
        <v>5</v>
      </c>
      <c r="P603" t="s">
        <v>82</v>
      </c>
      <c r="Q603" t="s">
        <v>290</v>
      </c>
    </row>
    <row r="604">
      <c r="D604" t="s">
        <v>15</v>
      </c>
      <c r="E604" t="s">
        <v>117</v>
      </c>
      <c r="F604" t="str">
        <f>VLOOKUP(D604&amp;E604,J:M,4,0)</f>
        <v>2023-12-13</v>
      </c>
      <c r="G604" t="str">
        <f>VLOOKUP(D604&amp;E604,N:Q,4,0)</f>
        <v>2023-12-13</v>
      </c>
      <c r="H604">
        <f>G604-F604</f>
        <v>0</v>
      </c>
      <c r="J604" t="str">
        <f>K604&amp;L604</f>
        <v>Семенова Ирина ВалерьевнаКузнецова Екатерина Александровна</v>
      </c>
      <c r="K604" t="s">
        <v>57</v>
      </c>
      <c r="L604" t="s">
        <v>92</v>
      </c>
      <c r="M604" t="s">
        <v>358</v>
      </c>
      <c r="N604" t="str">
        <f>O604&amp;P604</f>
        <v>Новикова Ольга ПетровнаАлексеева Наталья Андреевна</v>
      </c>
      <c r="O604" t="s">
        <v>17</v>
      </c>
      <c r="P604" t="s">
        <v>42</v>
      </c>
      <c r="Q604" t="s">
        <v>289</v>
      </c>
    </row>
    <row r="605">
      <c r="D605" t="s">
        <v>15</v>
      </c>
      <c r="E605" t="s">
        <v>234</v>
      </c>
      <c r="F605" t="str">
        <f>VLOOKUP(D605&amp;E605,J:M,4,0)</f>
        <v>2024-02-05</v>
      </c>
      <c r="G605" t="str">
        <f>VLOOKUP(D605&amp;E605,N:Q,4,0)</f>
        <v>2024-02-05</v>
      </c>
      <c r="H605">
        <f>G605-F605</f>
        <v>0</v>
      </c>
      <c r="J605" t="str">
        <f>K605&amp;L605</f>
        <v>Новикова Ольга ПетровнаСеменов Михаил Никитич</v>
      </c>
      <c r="K605" t="s">
        <v>17</v>
      </c>
      <c r="L605" t="s">
        <v>172</v>
      </c>
      <c r="M605" t="s">
        <v>359</v>
      </c>
      <c r="N605" t="str">
        <f>O605&amp;P605</f>
        <v>Яковлев Артем ИгоревичМорозова Екатерина Олеговна</v>
      </c>
      <c r="O605" t="s">
        <v>21</v>
      </c>
      <c r="P605" t="s">
        <v>65</v>
      </c>
      <c r="Q605" t="s">
        <v>286</v>
      </c>
    </row>
    <row r="606">
      <c r="D606" t="s">
        <v>15</v>
      </c>
      <c r="E606" t="s">
        <v>160</v>
      </c>
      <c r="F606" t="str">
        <f>VLOOKUP(D606&amp;E606,J:M,4,0)</f>
        <v>2024-03-20</v>
      </c>
      <c r="G606" t="str">
        <f>VLOOKUP(D606&amp;E606,N:Q,4,0)</f>
        <v>2024-04-24</v>
      </c>
      <c r="H606">
        <f>G606-F606</f>
        <v>35</v>
      </c>
      <c r="J606" t="str">
        <f>K606&amp;L606</f>
        <v>Сидорова Елена ВасильевнаНовикова Ксения Алексеевна</v>
      </c>
      <c r="K606" t="s">
        <v>15</v>
      </c>
      <c r="L606" t="s">
        <v>147</v>
      </c>
      <c r="M606" t="s">
        <v>360</v>
      </c>
      <c r="N606" t="str">
        <f>O606&amp;P606</f>
        <v>Иванова Анна СергеевнаПопов Александр Владимирович</v>
      </c>
      <c r="O606" t="s">
        <v>11</v>
      </c>
      <c r="P606" t="s">
        <v>160</v>
      </c>
      <c r="Q606" t="s">
        <v>286</v>
      </c>
    </row>
    <row r="607">
      <c r="D607" t="s">
        <v>15</v>
      </c>
      <c r="E607" t="s">
        <v>124</v>
      </c>
      <c r="F607" t="str">
        <f>VLOOKUP(D607&amp;E607,J:M,4,0)</f>
        <v>2023-10-12</v>
      </c>
      <c r="G607" t="str">
        <f>VLOOKUP(D607&amp;E607,N:Q,4,0)</f>
        <v>2023-10-12</v>
      </c>
      <c r="H607">
        <f>G607-F607</f>
        <v>0</v>
      </c>
      <c r="J607" t="str">
        <f>K607&amp;L607</f>
        <v>Кузнецов Дмитрий ЛьвовичАлексеева Анна Олеговна</v>
      </c>
      <c r="K607" t="s">
        <v>8</v>
      </c>
      <c r="L607" t="s">
        <v>339</v>
      </c>
      <c r="M607" t="s">
        <v>360</v>
      </c>
      <c r="N607" t="str">
        <f>O607&amp;P607</f>
        <v>Петров Владимир КирилловичКузнецова Виктория Ивановна</v>
      </c>
      <c r="O607" t="s">
        <v>28</v>
      </c>
      <c r="P607" t="s">
        <v>287</v>
      </c>
      <c r="Q607" t="s">
        <v>286</v>
      </c>
    </row>
    <row r="608">
      <c r="D608" t="s">
        <v>15</v>
      </c>
      <c r="E608" t="s">
        <v>113</v>
      </c>
      <c r="F608" t="str">
        <f>VLOOKUP(D608&amp;E608,J:M,4,0)</f>
        <v>2024-03-12</v>
      </c>
      <c r="G608" t="str">
        <f>VLOOKUP(D608&amp;E608,N:Q,4,0)</f>
        <v>2024-03-12</v>
      </c>
      <c r="H608">
        <f>G608-F608</f>
        <v>0</v>
      </c>
      <c r="J608" t="str">
        <f>K608&amp;L608</f>
        <v>Новикова Ольга ПетровнаНиколаев Артур Артемович</v>
      </c>
      <c r="K608" t="s">
        <v>17</v>
      </c>
      <c r="L608" t="s">
        <v>151</v>
      </c>
      <c r="M608" t="s">
        <v>360</v>
      </c>
      <c r="N608" t="str">
        <f>O608&amp;P608</f>
        <v>Семенова Ирина ВалерьевнаНиколаева Александра Кирилловна</v>
      </c>
      <c r="O608" t="s">
        <v>57</v>
      </c>
      <c r="P608" t="s">
        <v>186</v>
      </c>
      <c r="Q608" t="s">
        <v>286</v>
      </c>
    </row>
    <row r="609">
      <c r="D609" t="s">
        <v>15</v>
      </c>
      <c r="E609" t="s">
        <v>69</v>
      </c>
      <c r="F609" t="str">
        <f>VLOOKUP(D609&amp;E609,J:M,4,0)</f>
        <v>2023-12-21</v>
      </c>
      <c r="G609" t="str">
        <f>VLOOKUP(D609&amp;E609,N:Q,4,0)</f>
        <v>2023-12-21</v>
      </c>
      <c r="H609">
        <f>G609-F609</f>
        <v>0</v>
      </c>
      <c r="J609" t="str">
        <f>K609&amp;L609</f>
        <v>Кузнецов Дмитрий ЛьвовичПопов Роман Сергеевич</v>
      </c>
      <c r="K609" t="s">
        <v>8</v>
      </c>
      <c r="L609" t="s">
        <v>106</v>
      </c>
      <c r="M609" t="s">
        <v>361</v>
      </c>
      <c r="N609" t="str">
        <f>O609&amp;P609</f>
        <v>Орлов Павел ДенисовичМорозов Матвей Романович</v>
      </c>
      <c r="O609" t="s">
        <v>43</v>
      </c>
      <c r="P609" t="s">
        <v>39</v>
      </c>
      <c r="Q609" t="s">
        <v>286</v>
      </c>
    </row>
    <row r="610">
      <c r="D610" t="s">
        <v>15</v>
      </c>
      <c r="E610" t="s">
        <v>288</v>
      </c>
      <c r="F610" t="str">
        <f>VLOOKUP(D610&amp;E610,J:M,4,0)</f>
        <v>2024-04-24</v>
      </c>
      <c r="G610" t="str">
        <f>VLOOKUP(D610&amp;E610,N:Q,4,0)</f>
        <v>2024-04-24</v>
      </c>
      <c r="H610">
        <f>G610-F610</f>
        <v>0</v>
      </c>
      <c r="J610" t="str">
        <f>K610&amp;L610</f>
        <v>Белов Алексей КонстантиновичСидорова Вероника Романовна</v>
      </c>
      <c r="K610" t="s">
        <v>47</v>
      </c>
      <c r="L610" t="s">
        <v>171</v>
      </c>
      <c r="M610" t="s">
        <v>361</v>
      </c>
      <c r="N610" t="str">
        <f>O610&amp;P610</f>
        <v>Семенова Ирина ВалерьевнаИванова Людмила Алексеевна</v>
      </c>
      <c r="O610" t="s">
        <v>57</v>
      </c>
      <c r="P610" t="s">
        <v>59</v>
      </c>
      <c r="Q610" t="s">
        <v>286</v>
      </c>
    </row>
    <row r="611">
      <c r="D611" t="s">
        <v>15</v>
      </c>
      <c r="E611" t="s">
        <v>172</v>
      </c>
      <c r="F611" t="str">
        <f>VLOOKUP(D611&amp;E611,J:M,4,0)</f>
        <v>2023-11-24</v>
      </c>
      <c r="G611" t="str">
        <f>VLOOKUP(D611&amp;E611,N:Q,4,0)</f>
        <v>2024-06-21</v>
      </c>
      <c r="H611">
        <f>G611-F611</f>
        <v>210</v>
      </c>
      <c r="J611" t="str">
        <f>K611&amp;L611</f>
        <v>Ткаченко Андрей ОлеговичСеменов Иван Дмитриевич</v>
      </c>
      <c r="K611" t="s">
        <v>24</v>
      </c>
      <c r="L611" t="s">
        <v>362</v>
      </c>
      <c r="M611" t="s">
        <v>361</v>
      </c>
      <c r="N611" t="str">
        <f>O611&amp;P611</f>
        <v>Сидорова Елена ВасильевнаКузнецова Виктория Ивановна</v>
      </c>
      <c r="O611" t="s">
        <v>15</v>
      </c>
      <c r="P611" t="s">
        <v>287</v>
      </c>
      <c r="Q611" t="s">
        <v>286</v>
      </c>
    </row>
    <row r="612">
      <c r="D612" t="s">
        <v>15</v>
      </c>
      <c r="E612" t="s">
        <v>308</v>
      </c>
      <c r="F612" t="str">
        <f>VLOOKUP(D612&amp;E612,J:M,4,0)</f>
        <v>2024-02-28</v>
      </c>
      <c r="G612" t="str">
        <f>VLOOKUP(D612&amp;E612,N:Q,4,0)</f>
        <v>2024-02-28</v>
      </c>
      <c r="H612">
        <f>G612-F612</f>
        <v>0</v>
      </c>
      <c r="J612" t="str">
        <f>K612&amp;L612</f>
        <v>Фролов Сергей ВикторовичСтепанова Валерия Романовна</v>
      </c>
      <c r="K612" t="s">
        <v>5</v>
      </c>
      <c r="L612" t="s">
        <v>99</v>
      </c>
      <c r="M612" t="s">
        <v>361</v>
      </c>
      <c r="N612" t="str">
        <f>O612&amp;P612</f>
        <v>Белов Алексей КонстантиновичПопова София Никитична</v>
      </c>
      <c r="O612" t="s">
        <v>47</v>
      </c>
      <c r="P612" t="s">
        <v>288</v>
      </c>
      <c r="Q612" t="s">
        <v>286</v>
      </c>
    </row>
    <row r="613">
      <c r="D613" t="s">
        <v>15</v>
      </c>
      <c r="E613" t="s">
        <v>64</v>
      </c>
      <c r="F613" t="str">
        <f>VLOOKUP(D613&amp;E613,J:M,4,0)</f>
        <v>2024-03-11</v>
      </c>
      <c r="G613" t="str">
        <f>VLOOKUP(D613&amp;E613,N:Q,4,0)</f>
        <v>2024-03-11</v>
      </c>
      <c r="H613">
        <f>G613-F613</f>
        <v>0</v>
      </c>
      <c r="J613" t="str">
        <f>K613&amp;L613</f>
        <v>Яковлев Артем ИгоревичФедорова Людмила Дмитриевна</v>
      </c>
      <c r="K613" t="s">
        <v>21</v>
      </c>
      <c r="L613" t="s">
        <v>215</v>
      </c>
      <c r="M613" t="s">
        <v>361</v>
      </c>
      <c r="N613" t="str">
        <f>O613&amp;P613</f>
        <v>Новикова Ольга ПетровнаПопова Полина Романовна</v>
      </c>
      <c r="O613" t="s">
        <v>17</v>
      </c>
      <c r="P613" t="s">
        <v>192</v>
      </c>
      <c r="Q613" t="s">
        <v>285</v>
      </c>
    </row>
    <row r="614">
      <c r="D614" t="s">
        <v>15</v>
      </c>
      <c r="E614" t="s">
        <v>128</v>
      </c>
      <c r="F614" t="str">
        <f>VLOOKUP(D614&amp;E614,J:M,4,0)</f>
        <v>2024-08-27</v>
      </c>
      <c r="G614" t="str">
        <f>VLOOKUP(D614&amp;E614,N:Q,4,0)</f>
        <v>2024-08-27</v>
      </c>
      <c r="H614">
        <f>G614-F614</f>
        <v>0</v>
      </c>
      <c r="J614" t="str">
        <f>K614&amp;L614</f>
        <v>Новикова Ольга ПетровнаФедорова Мария Ивановна</v>
      </c>
      <c r="K614" t="s">
        <v>17</v>
      </c>
      <c r="L614" t="s">
        <v>344</v>
      </c>
      <c r="M614" t="s">
        <v>361</v>
      </c>
      <c r="N614" t="str">
        <f>O614&amp;P614</f>
        <v>Иванова Анна СергеевнаНиколаев Артур Артемович</v>
      </c>
      <c r="O614" t="s">
        <v>11</v>
      </c>
      <c r="P614" t="s">
        <v>151</v>
      </c>
      <c r="Q614" t="s">
        <v>285</v>
      </c>
    </row>
    <row r="615">
      <c r="D615" t="s">
        <v>15</v>
      </c>
      <c r="E615" t="s">
        <v>257</v>
      </c>
      <c r="F615" t="str">
        <f>VLOOKUP(D615&amp;E615,J:M,4,0)</f>
        <v>2024-07-22</v>
      </c>
      <c r="G615" t="str">
        <f>VLOOKUP(D615&amp;E615,N:Q,4,0)</f>
        <v>2024-07-22</v>
      </c>
      <c r="H615">
        <f>G615-F615</f>
        <v>0</v>
      </c>
      <c r="J615" t="str">
        <f>K615&amp;L615</f>
        <v>Петров Владимир КирилловичВасильева Мария Ивановна</v>
      </c>
      <c r="K615" t="s">
        <v>28</v>
      </c>
      <c r="L615" t="s">
        <v>135</v>
      </c>
      <c r="M615" t="s">
        <v>361</v>
      </c>
      <c r="N615" t="str">
        <f>O615&amp;P615</f>
        <v>Сидорова Елена ВасильевнаНовиков Дмитрий Иванович</v>
      </c>
      <c r="O615" t="s">
        <v>15</v>
      </c>
      <c r="P615" t="s">
        <v>184</v>
      </c>
      <c r="Q615" t="s">
        <v>283</v>
      </c>
    </row>
    <row r="616">
      <c r="D616" t="s">
        <v>15</v>
      </c>
      <c r="E616" t="s">
        <v>177</v>
      </c>
      <c r="F616" t="str">
        <f>VLOOKUP(D616&amp;E616,J:M,4,0)</f>
        <v>2024-07-29</v>
      </c>
      <c r="G616" t="str">
        <f>VLOOKUP(D616&amp;E616,N:Q,4,0)</f>
        <v>2024-07-29</v>
      </c>
      <c r="H616">
        <f>G616-F616</f>
        <v>0</v>
      </c>
      <c r="J616" t="str">
        <f>K616&amp;L616</f>
        <v>Белов Алексей КонстантиновичВасильев Кирилл Иванович</v>
      </c>
      <c r="K616" t="s">
        <v>47</v>
      </c>
      <c r="L616" t="s">
        <v>284</v>
      </c>
      <c r="M616" t="s">
        <v>361</v>
      </c>
      <c r="N616" t="str">
        <f>O616&amp;P616</f>
        <v>Кузнецов Дмитрий ЛьвовичВасильев Кирилл Иванович</v>
      </c>
      <c r="O616" t="s">
        <v>8</v>
      </c>
      <c r="P616" t="s">
        <v>284</v>
      </c>
      <c r="Q616" t="s">
        <v>283</v>
      </c>
    </row>
    <row r="617">
      <c r="D617" t="s">
        <v>15</v>
      </c>
      <c r="E617" t="s">
        <v>255</v>
      </c>
      <c r="F617" t="str">
        <f>VLOOKUP(D617&amp;E617,J:M,4,0)</f>
        <v>2024-03-27</v>
      </c>
      <c r="G617" t="str">
        <f>VLOOKUP(D617&amp;E617,N:Q,4,0)</f>
        <v>2024-03-27</v>
      </c>
      <c r="H617">
        <f>G617-F617</f>
        <v>0</v>
      </c>
      <c r="J617" t="str">
        <f>K617&amp;L617</f>
        <v>Белов Алексей КонстантиновичФедорова Анна Кирилловна</v>
      </c>
      <c r="K617" t="s">
        <v>47</v>
      </c>
      <c r="L617" t="s">
        <v>363</v>
      </c>
      <c r="M617" t="s">
        <v>361</v>
      </c>
      <c r="N617" t="str">
        <f>O617&amp;P617</f>
        <v>Иванова Анна СергеевнаСмирнова Екатерина Егоровна</v>
      </c>
      <c r="O617" t="s">
        <v>11</v>
      </c>
      <c r="P617" t="s">
        <v>212</v>
      </c>
      <c r="Q617" t="s">
        <v>283</v>
      </c>
    </row>
    <row r="618">
      <c r="D618" t="s">
        <v>15</v>
      </c>
      <c r="E618" t="s">
        <v>60</v>
      </c>
      <c r="F618" t="str">
        <f>VLOOKUP(D618&amp;E618,J:M,4,0)</f>
        <v>2023-12-21</v>
      </c>
      <c r="G618" t="str">
        <f>VLOOKUP(D618&amp;E618,N:Q,4,0)</f>
        <v>2023-12-21</v>
      </c>
      <c r="H618">
        <f>G618-F618</f>
        <v>0</v>
      </c>
      <c r="J618" t="str">
        <f>K618&amp;L618</f>
        <v>Громова Мария ИльиничнаЕгоров Никита Станиславович</v>
      </c>
      <c r="K618" t="s">
        <v>13</v>
      </c>
      <c r="L618" t="s">
        <v>49</v>
      </c>
      <c r="M618" t="s">
        <v>361</v>
      </c>
      <c r="N618" t="str">
        <f>O618&amp;P618</f>
        <v>Белов Алексей КонстантиновичИванов Павел Павлович</v>
      </c>
      <c r="O618" t="s">
        <v>47</v>
      </c>
      <c r="P618" t="s">
        <v>80</v>
      </c>
      <c r="Q618" t="s">
        <v>283</v>
      </c>
    </row>
    <row r="619">
      <c r="D619" t="s">
        <v>15</v>
      </c>
      <c r="E619" t="s">
        <v>310</v>
      </c>
      <c r="F619" t="str">
        <f>VLOOKUP(D619&amp;E619,J:M,4,0)</f>
        <v>2024-04-30</v>
      </c>
      <c r="G619" t="str">
        <f>VLOOKUP(D619&amp;E619,N:Q,4,0)</f>
        <v>2024-04-30</v>
      </c>
      <c r="H619">
        <f>G619-F619</f>
        <v>0</v>
      </c>
      <c r="J619" t="str">
        <f>K619&amp;L619</f>
        <v>Петров Владимир КирилловичОрлова Людмила Артемовна</v>
      </c>
      <c r="K619" t="s">
        <v>28</v>
      </c>
      <c r="L619" t="s">
        <v>19</v>
      </c>
      <c r="M619" t="s">
        <v>364</v>
      </c>
      <c r="N619" t="str">
        <f>O619&amp;P619</f>
        <v>Белов Алексей КонстантиновичПавлова София Артемовна</v>
      </c>
      <c r="O619" t="s">
        <v>47</v>
      </c>
      <c r="P619" t="s">
        <v>111</v>
      </c>
      <c r="Q619" t="s">
        <v>283</v>
      </c>
    </row>
    <row r="620">
      <c r="D620" t="s">
        <v>15</v>
      </c>
      <c r="E620" t="s">
        <v>123</v>
      </c>
      <c r="F620" t="str">
        <f>VLOOKUP(D620&amp;E620,J:M,4,0)</f>
        <v>2023-11-10</v>
      </c>
      <c r="G620" t="str">
        <f>VLOOKUP(D620&amp;E620,N:Q,4,0)</f>
        <v>2024-02-26</v>
      </c>
      <c r="H620">
        <f>G620-F620</f>
        <v>108</v>
      </c>
      <c r="J620" t="str">
        <f>K620&amp;L620</f>
        <v>Яковлев Артем ИгоревичЕгоров Дмитрий Ильич</v>
      </c>
      <c r="K620" t="s">
        <v>21</v>
      </c>
      <c r="L620" t="s">
        <v>365</v>
      </c>
      <c r="M620" t="s">
        <v>364</v>
      </c>
      <c r="N620" t="str">
        <f>O620&amp;P620</f>
        <v>Кузнецов Дмитрий ЛьвовичАлексеева Екатерина Павловна</v>
      </c>
      <c r="O620" t="s">
        <v>8</v>
      </c>
      <c r="P620" t="s">
        <v>96</v>
      </c>
      <c r="Q620" t="s">
        <v>283</v>
      </c>
    </row>
    <row r="621">
      <c r="D621" t="s">
        <v>15</v>
      </c>
      <c r="E621" t="s">
        <v>144</v>
      </c>
      <c r="F621" t="str">
        <f>VLOOKUP(D621&amp;E621,J:M,4,0)</f>
        <v>2024-05-20</v>
      </c>
      <c r="G621" t="str">
        <f>VLOOKUP(D621&amp;E621,N:Q,4,0)</f>
        <v>2024-05-20</v>
      </c>
      <c r="H621">
        <f>G621-F621</f>
        <v>0</v>
      </c>
      <c r="J621" t="str">
        <f>K621&amp;L621</f>
        <v>Сидорова Елена ВасильевнаКозлов Артур Андреевич</v>
      </c>
      <c r="K621" t="s">
        <v>15</v>
      </c>
      <c r="L621" t="s">
        <v>98</v>
      </c>
      <c r="M621" t="s">
        <v>364</v>
      </c>
      <c r="N621" t="str">
        <f>O621&amp;P621</f>
        <v>Петров Владимир КирилловичОрлова Дарья Владимировна</v>
      </c>
      <c r="O621" t="s">
        <v>28</v>
      </c>
      <c r="P621" t="s">
        <v>87</v>
      </c>
      <c r="Q621" t="s">
        <v>282</v>
      </c>
    </row>
    <row r="622">
      <c r="D622" t="s">
        <v>15</v>
      </c>
      <c r="E622" t="s">
        <v>67</v>
      </c>
      <c r="F622" t="str">
        <f>VLOOKUP(D622&amp;E622,J:M,4,0)</f>
        <v>2023-12-22</v>
      </c>
      <c r="G622" t="str">
        <f>VLOOKUP(D622&amp;E622,N:Q,4,0)</f>
        <v>2023-12-22</v>
      </c>
      <c r="H622">
        <f>G622-F622</f>
        <v>0</v>
      </c>
      <c r="J622" t="str">
        <f>K622&amp;L622</f>
        <v>Иванова Анна СергеевнаВолков Владимир Геннадьевич</v>
      </c>
      <c r="K622" t="s">
        <v>11</v>
      </c>
      <c r="L622" t="s">
        <v>137</v>
      </c>
      <c r="M622" t="s">
        <v>366</v>
      </c>
      <c r="N622" t="str">
        <f>O622&amp;P622</f>
        <v>Семенова Ирина ВалерьевнаНовикова Ксения Алексеевна</v>
      </c>
      <c r="O622" t="s">
        <v>57</v>
      </c>
      <c r="P622" t="s">
        <v>147</v>
      </c>
      <c r="Q622" t="s">
        <v>282</v>
      </c>
    </row>
    <row r="623">
      <c r="D623" t="s">
        <v>15</v>
      </c>
      <c r="E623" t="s">
        <v>56</v>
      </c>
      <c r="F623" t="str">
        <f>VLOOKUP(D623&amp;E623,J:M,4,0)</f>
        <v>2023-09-18</v>
      </c>
      <c r="G623" t="str">
        <f>VLOOKUP(D623&amp;E623,N:Q,4,0)</f>
        <v>2023-09-18</v>
      </c>
      <c r="H623">
        <f>G623-F623</f>
        <v>0</v>
      </c>
      <c r="J623" t="str">
        <f>K623&amp;L623</f>
        <v>Иванова Анна СергеевнаЕгорова Ирина Кирилловна</v>
      </c>
      <c r="K623" t="s">
        <v>11</v>
      </c>
      <c r="L623" t="s">
        <v>140</v>
      </c>
      <c r="M623" t="s">
        <v>366</v>
      </c>
      <c r="N623" t="str">
        <f>O623&amp;P623</f>
        <v>Семенова Ирина ВалерьевнаСеменов Константин Артемович</v>
      </c>
      <c r="O623" t="s">
        <v>57</v>
      </c>
      <c r="P623" t="s">
        <v>102</v>
      </c>
      <c r="Q623" t="s">
        <v>281</v>
      </c>
    </row>
    <row r="624">
      <c r="D624" t="s">
        <v>15</v>
      </c>
      <c r="E624" t="s">
        <v>105</v>
      </c>
      <c r="F624" t="str">
        <f>VLOOKUP(D624&amp;E624,J:M,4,0)</f>
        <v>2023-10-03</v>
      </c>
      <c r="G624" t="str">
        <f>VLOOKUP(D624&amp;E624,N:Q,4,0)</f>
        <v>2023-10-03</v>
      </c>
      <c r="H624">
        <f>G624-F624</f>
        <v>0</v>
      </c>
      <c r="J624" t="str">
        <f>K624&amp;L624</f>
        <v>Петров Владимир КирилловичСтепанов Кирилл Павлович</v>
      </c>
      <c r="K624" t="s">
        <v>28</v>
      </c>
      <c r="L624" t="s">
        <v>123</v>
      </c>
      <c r="M624" t="s">
        <v>367</v>
      </c>
      <c r="N624" t="str">
        <f>O624&amp;P624</f>
        <v>Иванова Анна СергеевнаПавлова Виктория Викторовна</v>
      </c>
      <c r="O624" t="s">
        <v>11</v>
      </c>
      <c r="P624" t="s">
        <v>77</v>
      </c>
      <c r="Q624" t="s">
        <v>281</v>
      </c>
    </row>
    <row r="625">
      <c r="D625" t="s">
        <v>15</v>
      </c>
      <c r="E625" t="s">
        <v>178</v>
      </c>
      <c r="F625" t="str">
        <f>VLOOKUP(D625&amp;E625,J:M,4,0)</f>
        <v>2023-12-12</v>
      </c>
      <c r="G625" t="str">
        <f>VLOOKUP(D625&amp;E625,N:Q,4,0)</f>
        <v>2023-12-12</v>
      </c>
      <c r="H625">
        <f>G625-F625</f>
        <v>0</v>
      </c>
      <c r="J625" t="str">
        <f>K625&amp;L625</f>
        <v>Белов Алексей КонстантиновичАлексеева Ирина Андреевна</v>
      </c>
      <c r="K625" t="s">
        <v>47</v>
      </c>
      <c r="L625" t="s">
        <v>189</v>
      </c>
      <c r="M625" t="s">
        <v>367</v>
      </c>
      <c r="N625" t="str">
        <f>O625&amp;P625</f>
        <v>Сидорова Елена ВасильевнаВасильева Анна Ильинична</v>
      </c>
      <c r="O625" t="s">
        <v>15</v>
      </c>
      <c r="P625" t="s">
        <v>142</v>
      </c>
      <c r="Q625" t="s">
        <v>279</v>
      </c>
    </row>
    <row r="626">
      <c r="D626" t="s">
        <v>24</v>
      </c>
      <c r="E626" t="s">
        <v>70</v>
      </c>
      <c r="F626" t="str">
        <f>VLOOKUP(D626&amp;E626,J:M,4,0)</f>
        <v>2024-03-14</v>
      </c>
      <c r="G626" t="str">
        <f>VLOOKUP(D626&amp;E626,N:Q,4,0)</f>
        <v>2024-06-20</v>
      </c>
      <c r="H626">
        <f>G626-F626</f>
        <v>98</v>
      </c>
      <c r="J626" t="str">
        <f>K626&amp;L626</f>
        <v>Ткаченко Андрей ОлеговичВолкова Анна Кирилловна</v>
      </c>
      <c r="K626" t="s">
        <v>24</v>
      </c>
      <c r="L626" t="s">
        <v>223</v>
      </c>
      <c r="M626" t="s">
        <v>367</v>
      </c>
      <c r="N626" t="str">
        <f>O626&amp;P626</f>
        <v>Ткаченко Андрей ОлеговичСтепанов Кирилл Павлович</v>
      </c>
      <c r="O626" t="s">
        <v>24</v>
      </c>
      <c r="P626" t="s">
        <v>123</v>
      </c>
      <c r="Q626" t="s">
        <v>279</v>
      </c>
    </row>
    <row r="627">
      <c r="D627" t="s">
        <v>24</v>
      </c>
      <c r="E627" t="s">
        <v>42</v>
      </c>
      <c r="F627" t="str">
        <f>VLOOKUP(D627&amp;E627,J:M,4,0)</f>
        <v>2024-05-13</v>
      </c>
      <c r="G627" t="str">
        <f>VLOOKUP(D627&amp;E627,N:Q,4,0)</f>
        <v>2024-05-13</v>
      </c>
      <c r="H627">
        <f>G627-F627</f>
        <v>0</v>
      </c>
      <c r="J627" t="str">
        <f>K627&amp;L627</f>
        <v>Семенова Ирина ВалерьевнаПавлова Дарья Андреевна</v>
      </c>
      <c r="K627" t="s">
        <v>57</v>
      </c>
      <c r="L627" t="s">
        <v>78</v>
      </c>
      <c r="M627" t="s">
        <v>367</v>
      </c>
      <c r="N627" t="str">
        <f>O627&amp;P627</f>
        <v>Белов Алексей КонстантиновичНиколаева Александра Александровна</v>
      </c>
      <c r="O627" t="s">
        <v>47</v>
      </c>
      <c r="P627" t="s">
        <v>280</v>
      </c>
      <c r="Q627" t="s">
        <v>279</v>
      </c>
    </row>
    <row r="628">
      <c r="D628" t="s">
        <v>24</v>
      </c>
      <c r="E628" t="s">
        <v>81</v>
      </c>
      <c r="F628" t="str">
        <f>VLOOKUP(D628&amp;E628,J:M,4,0)</f>
        <v>2024-07-30</v>
      </c>
      <c r="G628" t="str">
        <f>VLOOKUP(D628&amp;E628,N:Q,4,0)</f>
        <v>2024-07-30</v>
      </c>
      <c r="H628">
        <f>G628-F628</f>
        <v>0</v>
      </c>
      <c r="J628" t="str">
        <f>K628&amp;L628</f>
        <v>Белов Алексей КонстантиновичЕгоров Владимир Артемович</v>
      </c>
      <c r="K628" t="s">
        <v>47</v>
      </c>
      <c r="L628" t="s">
        <v>26</v>
      </c>
      <c r="M628" t="s">
        <v>368</v>
      </c>
      <c r="N628" t="str">
        <f>O628&amp;P628</f>
        <v>Новикова Ольга ПетровнаНиколаева Алиса Ивановна</v>
      </c>
      <c r="O628" t="s">
        <v>17</v>
      </c>
      <c r="P628" t="s">
        <v>119</v>
      </c>
      <c r="Q628" t="s">
        <v>279</v>
      </c>
    </row>
    <row r="629">
      <c r="D629" t="s">
        <v>24</v>
      </c>
      <c r="E629" t="s">
        <v>223</v>
      </c>
      <c r="F629" t="str">
        <f>VLOOKUP(D629&amp;E629,J:M,4,0)</f>
        <v>2024-04-18</v>
      </c>
      <c r="G629" t="str">
        <f>VLOOKUP(D629&amp;E629,N:Q,4,0)</f>
        <v>2024-04-18</v>
      </c>
      <c r="H629">
        <f>G629-F629</f>
        <v>0</v>
      </c>
      <c r="J629" t="str">
        <f>K629&amp;L629</f>
        <v>Сидорова Елена ВасильевнаНовикова Людмила Павловна</v>
      </c>
      <c r="K629" t="s">
        <v>15</v>
      </c>
      <c r="L629" t="s">
        <v>116</v>
      </c>
      <c r="M629" t="s">
        <v>368</v>
      </c>
      <c r="N629" t="str">
        <f>O629&amp;P629</f>
        <v>Орлов Павел ДенисовичНиколаева Алиса Ивановна</v>
      </c>
      <c r="O629" t="s">
        <v>43</v>
      </c>
      <c r="P629" t="s">
        <v>119</v>
      </c>
      <c r="Q629" t="s">
        <v>279</v>
      </c>
    </row>
    <row r="630">
      <c r="D630" t="s">
        <v>24</v>
      </c>
      <c r="E630" t="s">
        <v>188</v>
      </c>
      <c r="F630" t="str">
        <f>VLOOKUP(D630&amp;E630,J:M,4,0)</f>
        <v>2023-11-14</v>
      </c>
      <c r="G630" t="str">
        <f>VLOOKUP(D630&amp;E630,N:Q,4,0)</f>
        <v>2023-11-14</v>
      </c>
      <c r="H630">
        <f>G630-F630</f>
        <v>0</v>
      </c>
      <c r="J630" t="str">
        <f>K630&amp;L630</f>
        <v>Новикова Ольга ПетровнаСеменова Анна Андреевна</v>
      </c>
      <c r="K630" t="s">
        <v>17</v>
      </c>
      <c r="L630" t="s">
        <v>148</v>
      </c>
      <c r="M630" t="s">
        <v>368</v>
      </c>
      <c r="N630" t="str">
        <f>O630&amp;P630</f>
        <v>Семенова Ирина ВалерьевнаВасильева Анна Ильинична</v>
      </c>
      <c r="O630" t="s">
        <v>57</v>
      </c>
      <c r="P630" t="s">
        <v>142</v>
      </c>
      <c r="Q630" t="s">
        <v>279</v>
      </c>
    </row>
    <row r="631">
      <c r="D631" t="s">
        <v>24</v>
      </c>
      <c r="E631" t="s">
        <v>26</v>
      </c>
      <c r="F631" t="str">
        <f>VLOOKUP(D631&amp;E631,J:M,4,0)</f>
        <v>2023-12-04</v>
      </c>
      <c r="G631" t="str">
        <f>VLOOKUP(D631&amp;E631,N:Q,4,0)</f>
        <v>2023-12-04</v>
      </c>
      <c r="H631">
        <f>G631-F631</f>
        <v>0</v>
      </c>
      <c r="J631" t="str">
        <f>K631&amp;L631</f>
        <v>Ткаченко Андрей ОлеговичФедоров Дмитрий Сергеевич</v>
      </c>
      <c r="K631" t="s">
        <v>24</v>
      </c>
      <c r="L631" t="s">
        <v>56</v>
      </c>
      <c r="M631" t="s">
        <v>368</v>
      </c>
      <c r="N631" t="str">
        <f>O631&amp;P631</f>
        <v>Кузнецов Дмитрий ЛьвовичЕгорова Ольга Юрьевна</v>
      </c>
      <c r="O631" t="s">
        <v>8</v>
      </c>
      <c r="P631" t="s">
        <v>83</v>
      </c>
      <c r="Q631" t="s">
        <v>279</v>
      </c>
    </row>
    <row r="632">
      <c r="D632" t="s">
        <v>24</v>
      </c>
      <c r="E632" t="s">
        <v>49</v>
      </c>
      <c r="F632" t="str">
        <f>VLOOKUP(D632&amp;E632,J:M,4,0)</f>
        <v>2024-02-05</v>
      </c>
      <c r="G632" t="str">
        <f>VLOOKUP(D632&amp;E632,N:Q,4,0)</f>
        <v>2024-02-05</v>
      </c>
      <c r="H632">
        <f>G632-F632</f>
        <v>0</v>
      </c>
      <c r="J632" t="str">
        <f>K632&amp;L632</f>
        <v>Белов Алексей КонстантиновичВолков Константин Александрович</v>
      </c>
      <c r="K632" t="s">
        <v>47</v>
      </c>
      <c r="L632" t="s">
        <v>256</v>
      </c>
      <c r="M632" t="s">
        <v>369</v>
      </c>
      <c r="N632" t="str">
        <f>O632&amp;P632</f>
        <v>Сидорова Елена ВасильевнаВолков Владимир Геннадьевич</v>
      </c>
      <c r="O632" t="s">
        <v>15</v>
      </c>
      <c r="P632" t="s">
        <v>137</v>
      </c>
      <c r="Q632" t="s">
        <v>279</v>
      </c>
    </row>
    <row r="633">
      <c r="D633" t="s">
        <v>24</v>
      </c>
      <c r="E633" t="s">
        <v>83</v>
      </c>
      <c r="F633" t="str">
        <f>VLOOKUP(D633&amp;E633,J:M,4,0)</f>
        <v>2023-11-27</v>
      </c>
      <c r="G633" t="str">
        <f>VLOOKUP(D633&amp;E633,N:Q,4,0)</f>
        <v>2023-11-27</v>
      </c>
      <c r="H633">
        <f>G633-F633</f>
        <v>0</v>
      </c>
      <c r="J633" t="str">
        <f>K633&amp;L633</f>
        <v>Громова Мария ИльиничнаСеменов Константин Артемович</v>
      </c>
      <c r="K633" t="s">
        <v>13</v>
      </c>
      <c r="L633" t="s">
        <v>102</v>
      </c>
      <c r="M633" t="s">
        <v>369</v>
      </c>
      <c r="N633" t="str">
        <f>O633&amp;P633</f>
        <v>Орлов Павел ДенисовичАлексеева София Андреевна</v>
      </c>
      <c r="O633" t="s">
        <v>43</v>
      </c>
      <c r="P633" t="s">
        <v>276</v>
      </c>
      <c r="Q633" t="s">
        <v>277</v>
      </c>
    </row>
    <row r="634">
      <c r="D634" t="s">
        <v>24</v>
      </c>
      <c r="E634" t="s">
        <v>198</v>
      </c>
      <c r="F634" t="str">
        <f>VLOOKUP(D634&amp;E634,J:M,4,0)</f>
        <v>2023-11-20</v>
      </c>
      <c r="G634" t="str">
        <f>VLOOKUP(D634&amp;E634,N:Q,4,0)</f>
        <v>2023-11-20</v>
      </c>
      <c r="H634">
        <f>G634-F634</f>
        <v>0</v>
      </c>
      <c r="J634" t="str">
        <f>K634&amp;L634</f>
        <v>Петров Владимир КирилловичСтепанов Георгий Иванович</v>
      </c>
      <c r="K634" t="s">
        <v>28</v>
      </c>
      <c r="L634" t="s">
        <v>44</v>
      </c>
      <c r="M634" t="s">
        <v>369</v>
      </c>
      <c r="N634" t="str">
        <f>O634&amp;P634</f>
        <v>Иванова Анна СергеевнаПавлов Илья Артемович</v>
      </c>
      <c r="O634" t="s">
        <v>11</v>
      </c>
      <c r="P634" t="s">
        <v>158</v>
      </c>
      <c r="Q634" t="s">
        <v>277</v>
      </c>
    </row>
    <row r="635">
      <c r="D635" t="s">
        <v>24</v>
      </c>
      <c r="E635" t="s">
        <v>250</v>
      </c>
      <c r="F635" t="str">
        <f>VLOOKUP(D635&amp;E635,J:M,4,0)</f>
        <v>2024-04-08</v>
      </c>
      <c r="G635" t="str">
        <f>VLOOKUP(D635&amp;E635,N:Q,4,0)</f>
        <v>2024-04-08</v>
      </c>
      <c r="H635">
        <f>G635-F635</f>
        <v>0</v>
      </c>
      <c r="J635" t="str">
        <f>K635&amp;L635</f>
        <v>Орлов Павел ДенисовичПетров Андрей Алексеевич</v>
      </c>
      <c r="K635" t="s">
        <v>43</v>
      </c>
      <c r="L635" t="s">
        <v>58</v>
      </c>
      <c r="M635" t="s">
        <v>369</v>
      </c>
      <c r="N635" t="str">
        <f>O635&amp;P635</f>
        <v>Сидорова Елена ВасильевнаИванов Матвей Юрьевич</v>
      </c>
      <c r="O635" t="s">
        <v>15</v>
      </c>
      <c r="P635" t="s">
        <v>16</v>
      </c>
      <c r="Q635" t="s">
        <v>277</v>
      </c>
    </row>
    <row r="636">
      <c r="D636" t="s">
        <v>24</v>
      </c>
      <c r="E636" t="s">
        <v>118</v>
      </c>
      <c r="F636" t="str">
        <f>VLOOKUP(D636&amp;E636,J:M,4,0)</f>
        <v>2024-04-24</v>
      </c>
      <c r="G636" t="str">
        <f>VLOOKUP(D636&amp;E636,N:Q,4,0)</f>
        <v>2024-04-24</v>
      </c>
      <c r="H636">
        <f>G636-F636</f>
        <v>0</v>
      </c>
      <c r="J636" t="str">
        <f>K636&amp;L636</f>
        <v>Белов Алексей КонстантиновичФедоров Георгий Егорович</v>
      </c>
      <c r="K636" t="s">
        <v>47</v>
      </c>
      <c r="L636" t="s">
        <v>370</v>
      </c>
      <c r="M636" t="s">
        <v>369</v>
      </c>
      <c r="N636" t="str">
        <f>O636&amp;P636</f>
        <v>Кузнецов Дмитрий ЛьвовичКузнецова Вероника Геннадьевна</v>
      </c>
      <c r="O636" t="s">
        <v>8</v>
      </c>
      <c r="P636" t="s">
        <v>278</v>
      </c>
      <c r="Q636" t="s">
        <v>277</v>
      </c>
    </row>
    <row r="637">
      <c r="D637" t="s">
        <v>24</v>
      </c>
      <c r="E637" t="s">
        <v>265</v>
      </c>
      <c r="F637" t="str">
        <f>VLOOKUP(D637&amp;E637,J:M,4,0)</f>
        <v>2024-04-01</v>
      </c>
      <c r="G637" t="str">
        <f>VLOOKUP(D637&amp;E637,N:Q,4,0)</f>
        <v>2024-04-08</v>
      </c>
      <c r="H637">
        <f>G637-F637</f>
        <v>7</v>
      </c>
      <c r="J637" t="str">
        <f>K637&amp;L637</f>
        <v>Кузнецов Дмитрий ЛьвовичВолкова Мария Ильинична</v>
      </c>
      <c r="K637" t="s">
        <v>8</v>
      </c>
      <c r="L637" t="s">
        <v>95</v>
      </c>
      <c r="M637" t="s">
        <v>369</v>
      </c>
      <c r="N637" t="str">
        <f>O637&amp;P637</f>
        <v>Кузнецов Дмитрий ЛьвовичКозлова София Олеговна</v>
      </c>
      <c r="O637" t="s">
        <v>8</v>
      </c>
      <c r="P637" t="s">
        <v>185</v>
      </c>
      <c r="Q637" t="s">
        <v>275</v>
      </c>
    </row>
    <row r="638">
      <c r="D638" t="s">
        <v>24</v>
      </c>
      <c r="E638" t="s">
        <v>115</v>
      </c>
      <c r="F638" t="str">
        <f>VLOOKUP(D638&amp;E638,J:M,4,0)</f>
        <v>2024-07-01</v>
      </c>
      <c r="G638" t="str">
        <f>VLOOKUP(D638&amp;E638,N:Q,4,0)</f>
        <v>2024-07-01</v>
      </c>
      <c r="H638">
        <f>G638-F638</f>
        <v>0</v>
      </c>
      <c r="J638" t="str">
        <f>K638&amp;L638</f>
        <v>Фролов Сергей ВикторовичПавлов Андрей Викторович</v>
      </c>
      <c r="K638" t="s">
        <v>5</v>
      </c>
      <c r="L638" t="s">
        <v>131</v>
      </c>
      <c r="M638" t="s">
        <v>369</v>
      </c>
      <c r="N638" t="str">
        <f>O638&amp;P638</f>
        <v>Кузнецов Дмитрий ЛьвовичСеменов Константин Артемович</v>
      </c>
      <c r="O638" t="s">
        <v>8</v>
      </c>
      <c r="P638" t="s">
        <v>102</v>
      </c>
      <c r="Q638" t="s">
        <v>275</v>
      </c>
    </row>
    <row r="639">
      <c r="D639" t="s">
        <v>24</v>
      </c>
      <c r="E639" t="s">
        <v>165</v>
      </c>
      <c r="F639" t="str">
        <f>VLOOKUP(D639&amp;E639,J:M,4,0)</f>
        <v>2024-02-09</v>
      </c>
      <c r="G639" t="str">
        <f>VLOOKUP(D639&amp;E639,N:Q,4,0)</f>
        <v>2024-02-09</v>
      </c>
      <c r="H639">
        <f>G639-F639</f>
        <v>0</v>
      </c>
      <c r="J639" t="str">
        <f>K639&amp;L639</f>
        <v>Орлов Павел ДенисовичИванов Кирилл Кириллович</v>
      </c>
      <c r="K639" t="s">
        <v>43</v>
      </c>
      <c r="L639" t="s">
        <v>250</v>
      </c>
      <c r="M639" t="s">
        <v>369</v>
      </c>
      <c r="N639" t="str">
        <f>O639&amp;P639</f>
        <v>Семенова Ирина ВалерьевнаЛебедева Полина Никитична</v>
      </c>
      <c r="O639" t="s">
        <v>57</v>
      </c>
      <c r="P639" t="s">
        <v>273</v>
      </c>
      <c r="Q639" t="s">
        <v>274</v>
      </c>
    </row>
    <row r="640">
      <c r="D640" t="s">
        <v>24</v>
      </c>
      <c r="E640" t="s">
        <v>162</v>
      </c>
      <c r="F640" t="str">
        <f>VLOOKUP(D640&amp;E640,J:M,4,0)</f>
        <v>2023-10-30</v>
      </c>
      <c r="G640" t="str">
        <f>VLOOKUP(D640&amp;E640,N:Q,4,0)</f>
        <v>2023-10-30</v>
      </c>
      <c r="H640">
        <f>G640-F640</f>
        <v>0</v>
      </c>
      <c r="J640" t="str">
        <f>K640&amp;L640</f>
        <v>Белов Алексей КонстантиновичВолкова Анна Кирилловна</v>
      </c>
      <c r="K640" t="s">
        <v>47</v>
      </c>
      <c r="L640" t="s">
        <v>223</v>
      </c>
      <c r="M640" t="s">
        <v>369</v>
      </c>
      <c r="N640" t="str">
        <f>O640&amp;P640</f>
        <v>Новикова Ольга ПетровнаНиколаева Екатерина Никитична</v>
      </c>
      <c r="O640" t="s">
        <v>17</v>
      </c>
      <c r="P640" t="s">
        <v>270</v>
      </c>
      <c r="Q640" t="s">
        <v>271</v>
      </c>
    </row>
    <row r="641">
      <c r="D641" t="s">
        <v>24</v>
      </c>
      <c r="E641" t="s">
        <v>129</v>
      </c>
      <c r="F641" t="str">
        <f>VLOOKUP(D641&amp;E641,J:M,4,0)</f>
        <v>2024-02-15</v>
      </c>
      <c r="G641" t="str">
        <f>VLOOKUP(D641&amp;E641,N:Q,4,0)</f>
        <v>2024-02-15</v>
      </c>
      <c r="H641">
        <f>G641-F641</f>
        <v>0</v>
      </c>
      <c r="J641" t="str">
        <f>K641&amp;L641</f>
        <v>Громова Мария ИльиничнаВолкова Ирина Никитична</v>
      </c>
      <c r="K641" t="s">
        <v>13</v>
      </c>
      <c r="L641" t="s">
        <v>161</v>
      </c>
      <c r="M641" t="s">
        <v>371</v>
      </c>
      <c r="N641" t="str">
        <f>O641&amp;P641</f>
        <v>Петров Владимир КирилловичЕгоров Андрей Дмитриевич</v>
      </c>
      <c r="O641" t="s">
        <v>28</v>
      </c>
      <c r="P641" t="s">
        <v>272</v>
      </c>
      <c r="Q641" t="s">
        <v>271</v>
      </c>
    </row>
    <row r="642">
      <c r="D642" t="s">
        <v>24</v>
      </c>
      <c r="E642" t="s">
        <v>75</v>
      </c>
      <c r="F642" t="str">
        <f>VLOOKUP(D642&amp;E642,J:M,4,0)</f>
        <v>2023-09-25</v>
      </c>
      <c r="G642" t="str">
        <f>VLOOKUP(D642&amp;E642,N:Q,4,0)</f>
        <v>2023-09-25</v>
      </c>
      <c r="H642">
        <f>G642-F642</f>
        <v>0</v>
      </c>
      <c r="J642" t="str">
        <f>K642&amp;L642</f>
        <v>Белов Алексей КонстантиновичЕгорова Татьяна Ильинична</v>
      </c>
      <c r="K642" t="s">
        <v>47</v>
      </c>
      <c r="L642" t="s">
        <v>12</v>
      </c>
      <c r="M642" t="s">
        <v>371</v>
      </c>
      <c r="N642" t="str">
        <f>O642&amp;P642</f>
        <v>Белов Алексей КонстантиновичСтепанова Ирина Артемовна</v>
      </c>
      <c r="O642" t="s">
        <v>47</v>
      </c>
      <c r="P642" t="s">
        <v>45</v>
      </c>
      <c r="Q642" t="s">
        <v>271</v>
      </c>
    </row>
    <row r="643">
      <c r="D643" t="s">
        <v>24</v>
      </c>
      <c r="E643" t="s">
        <v>132</v>
      </c>
      <c r="F643" t="str">
        <f>VLOOKUP(D643&amp;E643,J:M,4,0)</f>
        <v>2023-11-06</v>
      </c>
      <c r="G643" t="str">
        <f>VLOOKUP(D643&amp;E643,N:Q,4,0)</f>
        <v>2023-11-06</v>
      </c>
      <c r="H643">
        <f>G643-F643</f>
        <v>0</v>
      </c>
      <c r="J643" t="str">
        <f>K643&amp;L643</f>
        <v>Иванова Анна СергеевнаНиколаева Елена Геннадьевна</v>
      </c>
      <c r="K643" t="s">
        <v>11</v>
      </c>
      <c r="L643" t="s">
        <v>73</v>
      </c>
      <c r="M643" t="s">
        <v>371</v>
      </c>
      <c r="N643" t="str">
        <f>O643&amp;P643</f>
        <v>Кузнецов Дмитрий ЛьвовичСидорова София Дмитриевна</v>
      </c>
      <c r="O643" t="s">
        <v>8</v>
      </c>
      <c r="P643" t="s">
        <v>254</v>
      </c>
      <c r="Q643" t="s">
        <v>269</v>
      </c>
    </row>
    <row r="644">
      <c r="D644" t="s">
        <v>24</v>
      </c>
      <c r="E644" t="s">
        <v>68</v>
      </c>
      <c r="F644" t="str">
        <f>VLOOKUP(D644&amp;E644,J:M,4,0)</f>
        <v>2023-09-29</v>
      </c>
      <c r="G644" t="str">
        <f>VLOOKUP(D644&amp;E644,N:Q,4,0)</f>
        <v>2023-09-29</v>
      </c>
      <c r="H644">
        <f>G644-F644</f>
        <v>0</v>
      </c>
      <c r="J644" t="str">
        <f>K644&amp;L644</f>
        <v>Яковлев Артем ИгоревичЕгорова Валерия Сергеевна</v>
      </c>
      <c r="K644" t="s">
        <v>21</v>
      </c>
      <c r="L644" t="s">
        <v>85</v>
      </c>
      <c r="M644" t="s">
        <v>372</v>
      </c>
      <c r="N644" t="str">
        <f>O644&amp;P644</f>
        <v>Белов Алексей КонстантиновичЕгорова Ольга Юрьевна</v>
      </c>
      <c r="O644" t="s">
        <v>47</v>
      </c>
      <c r="P644" t="s">
        <v>83</v>
      </c>
      <c r="Q644" t="s">
        <v>269</v>
      </c>
    </row>
    <row r="645">
      <c r="D645" t="s">
        <v>24</v>
      </c>
      <c r="E645" t="s">
        <v>209</v>
      </c>
      <c r="F645" t="str">
        <f>VLOOKUP(D645&amp;E645,J:M,4,0)</f>
        <v>2023-11-27</v>
      </c>
      <c r="G645" t="str">
        <f>VLOOKUP(D645&amp;E645,N:Q,4,0)</f>
        <v>2024-02-12</v>
      </c>
      <c r="H645">
        <f>G645-F645</f>
        <v>77</v>
      </c>
      <c r="J645" t="str">
        <f>K645&amp;L645</f>
        <v>Белов Алексей КонстантиновичНиколаева Александра Кирилловна</v>
      </c>
      <c r="K645" t="s">
        <v>47</v>
      </c>
      <c r="L645" t="s">
        <v>186</v>
      </c>
      <c r="M645" t="s">
        <v>372</v>
      </c>
      <c r="N645" t="str">
        <f>O645&amp;P645</f>
        <v>Ткаченко Андрей ОлеговичНиколаев Артем Александрович</v>
      </c>
      <c r="O645" t="s">
        <v>24</v>
      </c>
      <c r="P645" t="s">
        <v>248</v>
      </c>
      <c r="Q645" t="s">
        <v>269</v>
      </c>
    </row>
    <row r="646">
      <c r="D646" t="s">
        <v>24</v>
      </c>
      <c r="E646" t="s">
        <v>108</v>
      </c>
      <c r="F646" t="str">
        <f>VLOOKUP(D646&amp;E646,J:M,4,0)</f>
        <v>2023-11-24</v>
      </c>
      <c r="G646" t="str">
        <f>VLOOKUP(D646&amp;E646,N:Q,4,0)</f>
        <v>2024-05-27</v>
      </c>
      <c r="H646">
        <f>G646-F646</f>
        <v>185</v>
      </c>
      <c r="J646" t="str">
        <f>K646&amp;L646</f>
        <v>Ткаченко Андрей ОлеговичИванова Елена Алексеевна</v>
      </c>
      <c r="K646" t="s">
        <v>24</v>
      </c>
      <c r="L646" t="s">
        <v>118</v>
      </c>
      <c r="M646" t="s">
        <v>372</v>
      </c>
      <c r="N646" t="str">
        <f>O646&amp;P646</f>
        <v>Белов Алексей КонстантиновичПавлова Валерия Станиславовна</v>
      </c>
      <c r="O646" t="s">
        <v>47</v>
      </c>
      <c r="P646" t="s">
        <v>239</v>
      </c>
      <c r="Q646" t="s">
        <v>269</v>
      </c>
    </row>
    <row r="647">
      <c r="D647" t="s">
        <v>24</v>
      </c>
      <c r="E647" t="s">
        <v>163</v>
      </c>
      <c r="F647" t="str">
        <f>VLOOKUP(D647&amp;E647,J:M,4,0)</f>
        <v>2024-03-04</v>
      </c>
      <c r="G647" t="str">
        <f>VLOOKUP(D647&amp;E647,N:Q,4,0)</f>
        <v>2024-03-04</v>
      </c>
      <c r="H647">
        <f>G647-F647</f>
        <v>0</v>
      </c>
      <c r="J647" t="str">
        <f>K647&amp;L647</f>
        <v>Сидорова Елена ВасильевнаПопова София Никитична</v>
      </c>
      <c r="K647" t="s">
        <v>15</v>
      </c>
      <c r="L647" t="s">
        <v>288</v>
      </c>
      <c r="M647" t="s">
        <v>372</v>
      </c>
      <c r="N647" t="str">
        <f>O647&amp;P647</f>
        <v>Новикова Ольга ПетровнаПетров Андрей Алексеевич</v>
      </c>
      <c r="O647" t="s">
        <v>17</v>
      </c>
      <c r="P647" t="s">
        <v>58</v>
      </c>
      <c r="Q647" t="s">
        <v>269</v>
      </c>
    </row>
    <row r="648">
      <c r="D648" t="s">
        <v>24</v>
      </c>
      <c r="E648" t="s">
        <v>248</v>
      </c>
      <c r="F648" t="str">
        <f>VLOOKUP(D648&amp;E648,J:M,4,0)</f>
        <v>2024-01-08</v>
      </c>
      <c r="G648" t="str">
        <f>VLOOKUP(D648&amp;E648,N:Q,4,0)</f>
        <v>2024-01-08</v>
      </c>
      <c r="H648">
        <f>G648-F648</f>
        <v>0</v>
      </c>
      <c r="J648" t="str">
        <f>K648&amp;L648</f>
        <v>Сидорова Елена ВасильевнаПопов Александр Владимирович</v>
      </c>
      <c r="K648" t="s">
        <v>15</v>
      </c>
      <c r="L648" t="s">
        <v>160</v>
      </c>
      <c r="M648" t="s">
        <v>372</v>
      </c>
      <c r="N648" t="str">
        <f>O648&amp;P648</f>
        <v>Орлов Павел ДенисовичФедоров Алексей Павлович</v>
      </c>
      <c r="O648" t="s">
        <v>43</v>
      </c>
      <c r="P648" t="s">
        <v>174</v>
      </c>
      <c r="Q648" t="s">
        <v>269</v>
      </c>
    </row>
    <row r="649">
      <c r="D649" t="s">
        <v>24</v>
      </c>
      <c r="E649" t="s">
        <v>151</v>
      </c>
      <c r="F649" t="str">
        <f>VLOOKUP(D649&amp;E649,J:M,4,0)</f>
        <v>2023-12-04</v>
      </c>
      <c r="G649" t="str">
        <f>VLOOKUP(D649&amp;E649,N:Q,4,0)</f>
        <v>2023-12-04</v>
      </c>
      <c r="H649">
        <f>G649-F649</f>
        <v>0</v>
      </c>
      <c r="J649" t="str">
        <f>K649&amp;L649</f>
        <v>Семенова Ирина ВалерьевнаМорозова Светлана Сергеевна</v>
      </c>
      <c r="K649" t="s">
        <v>57</v>
      </c>
      <c r="L649" t="s">
        <v>108</v>
      </c>
      <c r="M649" t="s">
        <v>373</v>
      </c>
      <c r="N649" t="str">
        <f>O649&amp;P649</f>
        <v>Сидорова Елена ВасильевнаКузнецова Екатерина Александровна</v>
      </c>
      <c r="O649" t="s">
        <v>15</v>
      </c>
      <c r="P649" t="s">
        <v>92</v>
      </c>
      <c r="Q649" t="s">
        <v>269</v>
      </c>
    </row>
    <row r="650">
      <c r="D650" t="s">
        <v>24</v>
      </c>
      <c r="E650" t="s">
        <v>91</v>
      </c>
      <c r="F650" t="str">
        <f>VLOOKUP(D650&amp;E650,J:M,4,0)</f>
        <v>2023-09-29</v>
      </c>
      <c r="G650" t="str">
        <f>VLOOKUP(D650&amp;E650,N:Q,4,0)</f>
        <v>2023-09-29</v>
      </c>
      <c r="H650">
        <f>G650-F650</f>
        <v>0</v>
      </c>
      <c r="J650" t="str">
        <f>K650&amp;L650</f>
        <v>Громова Мария ИльиничнаСеменов Михаил Никитич</v>
      </c>
      <c r="K650" t="s">
        <v>13</v>
      </c>
      <c r="L650" t="s">
        <v>172</v>
      </c>
      <c r="M650" t="s">
        <v>373</v>
      </c>
      <c r="N650" t="str">
        <f>O650&amp;P650</f>
        <v>Белов Алексей КонстантиновичМорозова Светлана Сергеевна</v>
      </c>
      <c r="O650" t="s">
        <v>47</v>
      </c>
      <c r="P650" t="s">
        <v>108</v>
      </c>
      <c r="Q650" t="s">
        <v>269</v>
      </c>
    </row>
    <row r="651">
      <c r="D651" t="s">
        <v>24</v>
      </c>
      <c r="E651" t="s">
        <v>37</v>
      </c>
      <c r="F651" t="str">
        <f>VLOOKUP(D651&amp;E651,J:M,4,0)</f>
        <v>2024-06-21</v>
      </c>
      <c r="G651" t="str">
        <f>VLOOKUP(D651&amp;E651,N:Q,4,0)</f>
        <v>2024-06-21</v>
      </c>
      <c r="H651">
        <f>G651-F651</f>
        <v>0</v>
      </c>
      <c r="J651" t="str">
        <f>K651&amp;L651</f>
        <v>Фролов Сергей ВикторовичСмирнов Сергей Андреевич</v>
      </c>
      <c r="K651" t="s">
        <v>5</v>
      </c>
      <c r="L651" t="s">
        <v>374</v>
      </c>
      <c r="M651" t="s">
        <v>373</v>
      </c>
      <c r="N651" t="str">
        <f>O651&amp;P651</f>
        <v>Орлов Павел ДенисовичКозлов Артур Андреевич</v>
      </c>
      <c r="O651" t="s">
        <v>43</v>
      </c>
      <c r="P651" t="s">
        <v>98</v>
      </c>
      <c r="Q651" t="s">
        <v>268</v>
      </c>
    </row>
    <row r="652">
      <c r="D652" t="s">
        <v>24</v>
      </c>
      <c r="E652" t="s">
        <v>270</v>
      </c>
      <c r="F652" t="str">
        <f>VLOOKUP(D652&amp;E652,J:M,4,0)</f>
        <v>2024-06-13</v>
      </c>
      <c r="G652" t="str">
        <f>VLOOKUP(D652&amp;E652,N:Q,4,0)</f>
        <v>2024-08-05</v>
      </c>
      <c r="H652">
        <f>G652-F652</f>
        <v>53</v>
      </c>
      <c r="J652" t="str">
        <f>K652&amp;L652</f>
        <v>Иванова Анна СергеевнаСтепанова Анна Олеговна</v>
      </c>
      <c r="K652" t="s">
        <v>11</v>
      </c>
      <c r="L652" t="s">
        <v>263</v>
      </c>
      <c r="M652" t="s">
        <v>375</v>
      </c>
      <c r="N652" t="str">
        <f>O652&amp;P652</f>
        <v>Громова Мария ИльиничнаСмирнова Екатерина Егоровна</v>
      </c>
      <c r="O652" t="s">
        <v>13</v>
      </c>
      <c r="P652" t="s">
        <v>212</v>
      </c>
      <c r="Q652" t="s">
        <v>266</v>
      </c>
    </row>
    <row r="653">
      <c r="D653" t="s">
        <v>24</v>
      </c>
      <c r="E653" t="s">
        <v>184</v>
      </c>
      <c r="F653" t="str">
        <f>VLOOKUP(D653&amp;E653,J:M,4,0)</f>
        <v>2024-06-07</v>
      </c>
      <c r="G653" t="str">
        <f>VLOOKUP(D653&amp;E653,N:Q,4,0)</f>
        <v>2024-06-07</v>
      </c>
      <c r="H653">
        <f>G653-F653</f>
        <v>0</v>
      </c>
      <c r="J653" t="str">
        <f>K653&amp;L653</f>
        <v>Сидорова Елена ВасильевнаМорозов Никита Ильич</v>
      </c>
      <c r="K653" t="s">
        <v>15</v>
      </c>
      <c r="L653" t="s">
        <v>138</v>
      </c>
      <c r="M653" t="s">
        <v>375</v>
      </c>
      <c r="N653" t="str">
        <f>O653&amp;P653</f>
        <v>Громова Мария ИльиничнаАлексеев Иван Иванович</v>
      </c>
      <c r="O653" t="s">
        <v>13</v>
      </c>
      <c r="P653" t="s">
        <v>70</v>
      </c>
      <c r="Q653" t="s">
        <v>266</v>
      </c>
    </row>
    <row r="654">
      <c r="D654" t="s">
        <v>24</v>
      </c>
      <c r="E654" t="s">
        <v>35</v>
      </c>
      <c r="F654" t="str">
        <f>VLOOKUP(D654&amp;E654,J:M,4,0)</f>
        <v>2023-09-08</v>
      </c>
      <c r="G654" t="str">
        <f>VLOOKUP(D654&amp;E654,N:Q,4,0)</f>
        <v>2024-03-18</v>
      </c>
      <c r="H654">
        <f>G654-F654</f>
        <v>192</v>
      </c>
      <c r="J654" t="str">
        <f>K654&amp;L654</f>
        <v>Фролов Сергей ВикторовичМорозова Екатерина Олеговна</v>
      </c>
      <c r="K654" t="s">
        <v>5</v>
      </c>
      <c r="L654" t="s">
        <v>65</v>
      </c>
      <c r="M654" t="s">
        <v>375</v>
      </c>
      <c r="N654" t="str">
        <f>O654&amp;P654</f>
        <v>Новикова Ольга ПетровнаНиколаев Владимир Геннадьевич</v>
      </c>
      <c r="O654" t="s">
        <v>17</v>
      </c>
      <c r="P654" t="s">
        <v>267</v>
      </c>
      <c r="Q654" t="s">
        <v>266</v>
      </c>
    </row>
    <row r="655">
      <c r="D655" t="s">
        <v>24</v>
      </c>
      <c r="E655" t="s">
        <v>154</v>
      </c>
      <c r="F655" t="str">
        <f>VLOOKUP(D655&amp;E655,J:M,4,0)</f>
        <v>2023-10-25</v>
      </c>
      <c r="G655" t="str">
        <f>VLOOKUP(D655&amp;E655,N:Q,4,0)</f>
        <v>2023-10-25</v>
      </c>
      <c r="H655">
        <f>G655-F655</f>
        <v>0</v>
      </c>
      <c r="J655" t="str">
        <f>K655&amp;L655</f>
        <v>Новикова Ольга ПетровнаСтепанова Людмила Никитична</v>
      </c>
      <c r="K655" t="s">
        <v>17</v>
      </c>
      <c r="L655" t="s">
        <v>153</v>
      </c>
      <c r="M655" t="s">
        <v>375</v>
      </c>
      <c r="N655" t="str">
        <f>O655&amp;P655</f>
        <v>Кузнецов Дмитрий ЛьвовичПопова Полина Романовна</v>
      </c>
      <c r="O655" t="s">
        <v>8</v>
      </c>
      <c r="P655" t="s">
        <v>192</v>
      </c>
      <c r="Q655" t="s">
        <v>264</v>
      </c>
    </row>
    <row r="656">
      <c r="D656" t="s">
        <v>24</v>
      </c>
      <c r="E656" t="s">
        <v>87</v>
      </c>
      <c r="F656" t="str">
        <f>VLOOKUP(D656&amp;E656,J:M,4,0)</f>
        <v>2023-10-16</v>
      </c>
      <c r="G656" t="str">
        <f>VLOOKUP(D656&amp;E656,N:Q,4,0)</f>
        <v>2023-10-16</v>
      </c>
      <c r="H656">
        <f>G656-F656</f>
        <v>0</v>
      </c>
      <c r="J656" t="str">
        <f>K656&amp;L656</f>
        <v>Семенова Ирина ВалерьевнаНиколаева Дарья Алексеевна</v>
      </c>
      <c r="K656" t="s">
        <v>57</v>
      </c>
      <c r="L656" t="s">
        <v>252</v>
      </c>
      <c r="M656" t="s">
        <v>375</v>
      </c>
      <c r="N656" t="str">
        <f>O656&amp;P656</f>
        <v>Иванова Анна СергеевнаИванова Ксения Александровна</v>
      </c>
      <c r="O656" t="s">
        <v>11</v>
      </c>
      <c r="P656" t="s">
        <v>265</v>
      </c>
      <c r="Q656" t="s">
        <v>264</v>
      </c>
    </row>
    <row r="657">
      <c r="D657" t="s">
        <v>24</v>
      </c>
      <c r="E657" t="s">
        <v>41</v>
      </c>
      <c r="F657" t="str">
        <f>VLOOKUP(D657&amp;E657,J:M,4,0)</f>
        <v>2023-11-09</v>
      </c>
      <c r="G657" t="str">
        <f>VLOOKUP(D657&amp;E657,N:Q,4,0)</f>
        <v>2023-11-09</v>
      </c>
      <c r="H657">
        <f>G657-F657</f>
        <v>0</v>
      </c>
      <c r="J657" t="str">
        <f>K657&amp;L657</f>
        <v>Ткаченко Андрей ОлеговичПетров Егор Викторович</v>
      </c>
      <c r="K657" t="s">
        <v>24</v>
      </c>
      <c r="L657" t="s">
        <v>117</v>
      </c>
      <c r="M657" t="s">
        <v>376</v>
      </c>
      <c r="N657" t="str">
        <f>O657&amp;P657</f>
        <v>Орлов Павел ДенисовичВолкова Мария Егоровна</v>
      </c>
      <c r="O657" t="s">
        <v>43</v>
      </c>
      <c r="P657" t="s">
        <v>196</v>
      </c>
      <c r="Q657" t="s">
        <v>264</v>
      </c>
    </row>
    <row r="658">
      <c r="D658" t="s">
        <v>24</v>
      </c>
      <c r="E658" t="s">
        <v>19</v>
      </c>
      <c r="F658" t="str">
        <f>VLOOKUP(D658&amp;E658,J:M,4,0)</f>
        <v>2024-08-26</v>
      </c>
      <c r="G658" t="str">
        <f>VLOOKUP(D658&amp;E658,N:Q,4,0)</f>
        <v>2024-08-26</v>
      </c>
      <c r="H658">
        <f>G658-F658</f>
        <v>0</v>
      </c>
      <c r="J658" t="str">
        <f>K658&amp;L658</f>
        <v>Кузнецов Дмитрий ЛьвовичМорозова Екатерина Ивановна</v>
      </c>
      <c r="K658" t="s">
        <v>8</v>
      </c>
      <c r="L658" t="s">
        <v>207</v>
      </c>
      <c r="M658" t="s">
        <v>376</v>
      </c>
      <c r="N658" t="str">
        <f>O658&amp;P658</f>
        <v>Кузнецов Дмитрий ЛьвовичИванов Георгий Иванович</v>
      </c>
      <c r="O658" t="s">
        <v>8</v>
      </c>
      <c r="P658" t="s">
        <v>240</v>
      </c>
      <c r="Q658" t="s">
        <v>262</v>
      </c>
    </row>
    <row r="659">
      <c r="D659" t="s">
        <v>24</v>
      </c>
      <c r="E659" t="s">
        <v>25</v>
      </c>
      <c r="F659" t="str">
        <f>VLOOKUP(D659&amp;E659,J:M,4,0)</f>
        <v>2023-09-05</v>
      </c>
      <c r="G659" t="str">
        <f>VLOOKUP(D659&amp;E659,N:Q,4,0)</f>
        <v>2023-09-05</v>
      </c>
      <c r="H659">
        <f>G659-F659</f>
        <v>0</v>
      </c>
      <c r="J659" t="str">
        <f>K659&amp;L659</f>
        <v>Иванова Анна СергеевнаПетров Артем Иванович</v>
      </c>
      <c r="K659" t="s">
        <v>11</v>
      </c>
      <c r="L659" t="s">
        <v>100</v>
      </c>
      <c r="M659" t="s">
        <v>376</v>
      </c>
      <c r="N659" t="str">
        <f>O659&amp;P659</f>
        <v>Новикова Ольга ПетровнаИванов Павел Сергеевич</v>
      </c>
      <c r="O659" t="s">
        <v>17</v>
      </c>
      <c r="P659" t="s">
        <v>103</v>
      </c>
      <c r="Q659" t="s">
        <v>262</v>
      </c>
    </row>
    <row r="660">
      <c r="D660" t="s">
        <v>24</v>
      </c>
      <c r="E660" t="s">
        <v>383</v>
      </c>
      <c r="F660" t="str">
        <f>VLOOKUP(D660&amp;E660,J:M,4,0)</f>
        <v>2024-07-22</v>
      </c>
      <c r="G660" t="str">
        <f>VLOOKUP(D660&amp;E660,N:Q,4,0)</f>
        <v>2024-07-22</v>
      </c>
      <c r="H660">
        <f>G660-F660</f>
        <v>0</v>
      </c>
      <c r="J660" t="str">
        <f>K660&amp;L660</f>
        <v>Петров Владимир КирилловичФедоров Алексей Павлович</v>
      </c>
      <c r="K660" t="s">
        <v>28</v>
      </c>
      <c r="L660" t="s">
        <v>174</v>
      </c>
      <c r="M660" t="s">
        <v>376</v>
      </c>
      <c r="N660" t="str">
        <f>O660&amp;P660</f>
        <v>Фролов Сергей ВикторовичСтепанова Анна Олеговна</v>
      </c>
      <c r="O660" t="s">
        <v>5</v>
      </c>
      <c r="P660" t="s">
        <v>263</v>
      </c>
      <c r="Q660" t="s">
        <v>262</v>
      </c>
    </row>
    <row r="661">
      <c r="D661" t="s">
        <v>24</v>
      </c>
      <c r="E661" t="s">
        <v>305</v>
      </c>
      <c r="F661" t="str">
        <f>VLOOKUP(D661&amp;E661,J:M,4,0)</f>
        <v>2024-05-27</v>
      </c>
      <c r="G661" t="str">
        <f>VLOOKUP(D661&amp;E661,N:Q,4,0)</f>
        <v>2024-05-27</v>
      </c>
      <c r="H661">
        <f>G661-F661</f>
        <v>0</v>
      </c>
      <c r="J661" t="str">
        <f>K661&amp;L661</f>
        <v>Яковлев Артем ИгоревичНовикова Ксения Алексеевна</v>
      </c>
      <c r="K661" t="s">
        <v>21</v>
      </c>
      <c r="L661" t="s">
        <v>147</v>
      </c>
      <c r="M661" t="s">
        <v>376</v>
      </c>
      <c r="N661" t="str">
        <f>O661&amp;P661</f>
        <v>Громова Мария ИльиничнаПавлова София Артемовна</v>
      </c>
      <c r="O661" t="s">
        <v>13</v>
      </c>
      <c r="P661" t="s">
        <v>111</v>
      </c>
      <c r="Q661" t="s">
        <v>262</v>
      </c>
    </row>
    <row r="662">
      <c r="D662" t="s">
        <v>24</v>
      </c>
      <c r="E662" t="s">
        <v>111</v>
      </c>
      <c r="F662" t="str">
        <f>VLOOKUP(D662&amp;E662,J:M,4,0)</f>
        <v>2023-11-10</v>
      </c>
      <c r="G662" t="str">
        <f>VLOOKUP(D662&amp;E662,N:Q,4,0)</f>
        <v>2023-11-10</v>
      </c>
      <c r="H662">
        <f>G662-F662</f>
        <v>0</v>
      </c>
      <c r="J662" t="str">
        <f>K662&amp;L662</f>
        <v>Сидорова Елена ВасильевнаНиколаев Артем Александрович</v>
      </c>
      <c r="K662" t="s">
        <v>15</v>
      </c>
      <c r="L662" t="s">
        <v>248</v>
      </c>
      <c r="M662" t="s">
        <v>376</v>
      </c>
      <c r="N662" t="str">
        <f>O662&amp;P662</f>
        <v>Яковлев Артем ИгоревичСтепанов Георгий Иванович</v>
      </c>
      <c r="O662" t="s">
        <v>21</v>
      </c>
      <c r="P662" t="s">
        <v>44</v>
      </c>
      <c r="Q662" t="s">
        <v>262</v>
      </c>
    </row>
    <row r="663">
      <c r="D663" t="s">
        <v>24</v>
      </c>
      <c r="E663" t="s">
        <v>100</v>
      </c>
      <c r="F663" t="str">
        <f>VLOOKUP(D663&amp;E663,J:M,4,0)</f>
        <v>2023-10-02</v>
      </c>
      <c r="G663" t="str">
        <f>VLOOKUP(D663&amp;E663,N:Q,4,0)</f>
        <v>2023-10-02</v>
      </c>
      <c r="H663">
        <f>G663-F663</f>
        <v>0</v>
      </c>
      <c r="J663" t="str">
        <f>K663&amp;L663</f>
        <v>Семенова Ирина ВалерьевнаФедоров Алексей Павлович</v>
      </c>
      <c r="K663" t="s">
        <v>57</v>
      </c>
      <c r="L663" t="s">
        <v>174</v>
      </c>
      <c r="M663" t="s">
        <v>376</v>
      </c>
      <c r="N663" t="str">
        <f>O663&amp;P663</f>
        <v>Иванова Анна СергеевнаКозлова Полина Викторовна</v>
      </c>
      <c r="O663" t="s">
        <v>11</v>
      </c>
      <c r="P663" t="s">
        <v>217</v>
      </c>
      <c r="Q663" t="s">
        <v>262</v>
      </c>
    </row>
    <row r="664">
      <c r="D664" t="s">
        <v>24</v>
      </c>
      <c r="E664" t="s">
        <v>117</v>
      </c>
      <c r="F664" t="str">
        <f>VLOOKUP(D664&amp;E664,J:M,4,0)</f>
        <v>2024-04-29</v>
      </c>
      <c r="G664" t="str">
        <f>VLOOKUP(D664&amp;E664,N:Q,4,0)</f>
        <v>2024-04-29</v>
      </c>
      <c r="H664">
        <f>G664-F664</f>
        <v>0</v>
      </c>
      <c r="J664" t="str">
        <f>K664&amp;L664</f>
        <v>Яковлев Артем ИгоревичСтепанова Валерия Романовна</v>
      </c>
      <c r="K664" t="s">
        <v>21</v>
      </c>
      <c r="L664" t="s">
        <v>99</v>
      </c>
      <c r="M664" t="s">
        <v>376</v>
      </c>
      <c r="N664" t="str">
        <f>O664&amp;P664</f>
        <v>Новикова Ольга ПетровнаСмирнова Алиса Артемовна</v>
      </c>
      <c r="O664" t="s">
        <v>17</v>
      </c>
      <c r="P664" t="s">
        <v>31</v>
      </c>
      <c r="Q664" t="s">
        <v>261</v>
      </c>
    </row>
    <row r="665">
      <c r="D665" t="s">
        <v>24</v>
      </c>
      <c r="E665" t="s">
        <v>149</v>
      </c>
      <c r="F665" t="str">
        <f>VLOOKUP(D665&amp;E665,J:M,4,0)</f>
        <v>2023-11-06</v>
      </c>
      <c r="G665" t="str">
        <f>VLOOKUP(D665&amp;E665,N:Q,4,0)</f>
        <v>2023-11-06</v>
      </c>
      <c r="H665">
        <f>G665-F665</f>
        <v>0</v>
      </c>
      <c r="J665" t="str">
        <f>K665&amp;L665</f>
        <v>Орлов Павел ДенисовичЛебедев Дмитрий Олегович</v>
      </c>
      <c r="K665" t="s">
        <v>43</v>
      </c>
      <c r="L665" t="s">
        <v>75</v>
      </c>
      <c r="M665" t="s">
        <v>376</v>
      </c>
      <c r="N665" t="str">
        <f>O665&amp;P665</f>
        <v>Фролов Сергей ВикторовичИванов Андрей Владимирович</v>
      </c>
      <c r="O665" t="s">
        <v>5</v>
      </c>
      <c r="P665" t="s">
        <v>198</v>
      </c>
      <c r="Q665" t="s">
        <v>261</v>
      </c>
    </row>
    <row r="666">
      <c r="D666" t="s">
        <v>24</v>
      </c>
      <c r="E666" t="s">
        <v>211</v>
      </c>
      <c r="F666" t="str">
        <f>VLOOKUP(D666&amp;E666,J:M,4,0)</f>
        <v>2024-01-01</v>
      </c>
      <c r="G666" t="str">
        <f>VLOOKUP(D666&amp;E666,N:Q,4,0)</f>
        <v>2024-01-01</v>
      </c>
      <c r="H666">
        <f>G666-F666</f>
        <v>0</v>
      </c>
      <c r="J666" t="str">
        <f>K666&amp;L666</f>
        <v>Иванова Анна СергеевнаСеменов Иван Александрович</v>
      </c>
      <c r="K666" t="s">
        <v>11</v>
      </c>
      <c r="L666" t="s">
        <v>258</v>
      </c>
      <c r="M666" t="s">
        <v>377</v>
      </c>
      <c r="N666" t="str">
        <f>O666&amp;P666</f>
        <v>Громова Мария ИльиничнаИванов Павел Сергеевич</v>
      </c>
      <c r="O666" t="s">
        <v>13</v>
      </c>
      <c r="P666" t="s">
        <v>103</v>
      </c>
      <c r="Q666" t="s">
        <v>261</v>
      </c>
    </row>
    <row r="667">
      <c r="D667" t="s">
        <v>24</v>
      </c>
      <c r="E667" t="s">
        <v>160</v>
      </c>
      <c r="F667" t="str">
        <f>VLOOKUP(D667&amp;E667,J:M,4,0)</f>
        <v>2023-12-13</v>
      </c>
      <c r="G667" t="str">
        <f>VLOOKUP(D667&amp;E667,N:Q,4,0)</f>
        <v>2024-03-04</v>
      </c>
      <c r="H667">
        <f>G667-F667</f>
        <v>82</v>
      </c>
      <c r="J667" t="str">
        <f>K667&amp;L667</f>
        <v>Сидорова Елена ВасильевнаИванов Павел Сергеевич</v>
      </c>
      <c r="K667" t="s">
        <v>15</v>
      </c>
      <c r="L667" t="s">
        <v>103</v>
      </c>
      <c r="M667" t="s">
        <v>377</v>
      </c>
      <c r="N667" t="str">
        <f>O667&amp;P667</f>
        <v>Фролов Сергей ВикторовичНиколаева Дарья Алексеевна</v>
      </c>
      <c r="O667" t="s">
        <v>5</v>
      </c>
      <c r="P667" t="s">
        <v>252</v>
      </c>
      <c r="Q667" t="s">
        <v>261</v>
      </c>
    </row>
    <row r="668">
      <c r="D668" t="s">
        <v>24</v>
      </c>
      <c r="E668" t="s">
        <v>113</v>
      </c>
      <c r="F668" t="str">
        <f>VLOOKUP(D668&amp;E668,J:M,4,0)</f>
        <v>2023-11-13</v>
      </c>
      <c r="G668" t="str">
        <f>VLOOKUP(D668&amp;E668,N:Q,4,0)</f>
        <v>2023-11-13</v>
      </c>
      <c r="H668">
        <f>G668-F668</f>
        <v>0</v>
      </c>
      <c r="J668" t="str">
        <f>K668&amp;L668</f>
        <v>Яковлев Артем ИгоревичСеменов Сергей Викторович</v>
      </c>
      <c r="K668" t="s">
        <v>21</v>
      </c>
      <c r="L668" t="s">
        <v>30</v>
      </c>
      <c r="M668" t="s">
        <v>377</v>
      </c>
      <c r="N668" t="str">
        <f>O668&amp;P668</f>
        <v>Яковлев Артем ИгоревичПопов Матвей Александрович</v>
      </c>
      <c r="O668" t="s">
        <v>21</v>
      </c>
      <c r="P668" t="s">
        <v>181</v>
      </c>
      <c r="Q668" t="s">
        <v>261</v>
      </c>
    </row>
    <row r="669">
      <c r="D669" t="s">
        <v>24</v>
      </c>
      <c r="E669" t="s">
        <v>192</v>
      </c>
      <c r="F669" t="str">
        <f>VLOOKUP(D669&amp;E669,J:M,4,0)</f>
        <v>2024-06-24</v>
      </c>
      <c r="G669" t="str">
        <f>VLOOKUP(D669&amp;E669,N:Q,4,0)</f>
        <v>2024-06-24</v>
      </c>
      <c r="H669">
        <f>G669-F669</f>
        <v>0</v>
      </c>
      <c r="J669" t="str">
        <f>K669&amp;L669</f>
        <v>Кузнецов Дмитрий ЛьвовичВасильева Юлия Геннадьевна</v>
      </c>
      <c r="K669" t="s">
        <v>8</v>
      </c>
      <c r="L669" t="s">
        <v>48</v>
      </c>
      <c r="M669" t="s">
        <v>377</v>
      </c>
      <c r="N669" t="str">
        <f>O669&amp;P669</f>
        <v>Семенова Ирина ВалерьевнаМорозов Никита Ильич</v>
      </c>
      <c r="O669" t="s">
        <v>57</v>
      </c>
      <c r="P669" t="s">
        <v>138</v>
      </c>
      <c r="Q669" t="s">
        <v>261</v>
      </c>
    </row>
    <row r="670">
      <c r="D670" t="s">
        <v>24</v>
      </c>
      <c r="E670" t="s">
        <v>362</v>
      </c>
      <c r="F670" t="str">
        <f>VLOOKUP(D670&amp;E670,J:M,4,0)</f>
        <v>2024-04-15</v>
      </c>
      <c r="G670" t="str">
        <f>VLOOKUP(D670&amp;E670,N:Q,4,0)</f>
        <v>2024-04-15</v>
      </c>
      <c r="H670">
        <f>G670-F670</f>
        <v>0</v>
      </c>
      <c r="J670" t="str">
        <f>K670&amp;L670</f>
        <v>Сидорова Елена ВасильевнаСтепанов Андрей Алексеевич</v>
      </c>
      <c r="K670" t="s">
        <v>15</v>
      </c>
      <c r="L670" t="s">
        <v>310</v>
      </c>
      <c r="M670" t="s">
        <v>377</v>
      </c>
      <c r="N670" t="str">
        <f>O670&amp;P670</f>
        <v>Громова Мария ИльиничнаСтепанова Валерия Романовна</v>
      </c>
      <c r="O670" t="s">
        <v>13</v>
      </c>
      <c r="P670" t="s">
        <v>99</v>
      </c>
      <c r="Q670" t="s">
        <v>261</v>
      </c>
    </row>
    <row r="671">
      <c r="D671" t="s">
        <v>24</v>
      </c>
      <c r="E671" t="s">
        <v>172</v>
      </c>
      <c r="F671" t="str">
        <f>VLOOKUP(D671&amp;E671,J:M,4,0)</f>
        <v>2024-05-30</v>
      </c>
      <c r="G671" t="str">
        <f>VLOOKUP(D671&amp;E671,N:Q,4,0)</f>
        <v>2024-05-30</v>
      </c>
      <c r="H671">
        <f>G671-F671</f>
        <v>0</v>
      </c>
      <c r="J671" t="str">
        <f>K671&amp;L671</f>
        <v>Петров Владимир КирилловичСмирнова Валерия Викторовна</v>
      </c>
      <c r="K671" t="s">
        <v>28</v>
      </c>
      <c r="L671" t="s">
        <v>63</v>
      </c>
      <c r="M671" t="s">
        <v>377</v>
      </c>
      <c r="N671" t="str">
        <f>O671&amp;P671</f>
        <v>Ткаченко Андрей ОлеговичПетров Павел Михайлович</v>
      </c>
      <c r="O671" t="s">
        <v>24</v>
      </c>
      <c r="P671" t="s">
        <v>211</v>
      </c>
      <c r="Q671" t="s">
        <v>261</v>
      </c>
    </row>
    <row r="672">
      <c r="D672" t="s">
        <v>24</v>
      </c>
      <c r="E672" t="s">
        <v>14</v>
      </c>
      <c r="F672" t="str">
        <f>VLOOKUP(D672&amp;E672,J:M,4,0)</f>
        <v>2023-12-29</v>
      </c>
      <c r="G672" t="str">
        <f>VLOOKUP(D672&amp;E672,N:Q,4,0)</f>
        <v>2023-12-29</v>
      </c>
      <c r="H672">
        <f>G672-F672</f>
        <v>0</v>
      </c>
      <c r="J672" t="str">
        <f>K672&amp;L672</f>
        <v>Фролов Сергей ВикторовичСтепанов Кирилл Павлович</v>
      </c>
      <c r="K672" t="s">
        <v>5</v>
      </c>
      <c r="L672" t="s">
        <v>123</v>
      </c>
      <c r="M672" t="s">
        <v>378</v>
      </c>
      <c r="N672" t="str">
        <f>O672&amp;P672</f>
        <v>Кузнецов Дмитрий ЛьвовичМорозова Татьяна Кирилловна</v>
      </c>
      <c r="O672" t="s">
        <v>8</v>
      </c>
      <c r="P672" t="s">
        <v>218</v>
      </c>
      <c r="Q672" t="s">
        <v>260</v>
      </c>
    </row>
    <row r="673">
      <c r="D673" t="s">
        <v>24</v>
      </c>
      <c r="E673" t="s">
        <v>50</v>
      </c>
      <c r="F673" t="str">
        <f>VLOOKUP(D673&amp;E673,J:M,4,0)</f>
        <v>2024-01-29</v>
      </c>
      <c r="G673" t="str">
        <f>VLOOKUP(D673&amp;E673,N:Q,4,0)</f>
        <v>2024-01-29</v>
      </c>
      <c r="H673">
        <f>G673-F673</f>
        <v>0</v>
      </c>
      <c r="J673" t="str">
        <f>K673&amp;L673</f>
        <v>Иванова Анна СергеевнаВасильев Александр Павлович</v>
      </c>
      <c r="K673" t="s">
        <v>11</v>
      </c>
      <c r="L673" t="s">
        <v>291</v>
      </c>
      <c r="M673" t="s">
        <v>378</v>
      </c>
      <c r="N673" t="str">
        <f>O673&amp;P673</f>
        <v>Новикова Ольга ПетровнаОрлов Дмитрий Иванович</v>
      </c>
      <c r="O673" t="s">
        <v>17</v>
      </c>
      <c r="P673" t="s">
        <v>170</v>
      </c>
      <c r="Q673" t="s">
        <v>260</v>
      </c>
    </row>
    <row r="674">
      <c r="D674" t="s">
        <v>24</v>
      </c>
      <c r="E674" t="s">
        <v>64</v>
      </c>
      <c r="F674" t="str">
        <f>VLOOKUP(D674&amp;E674,J:M,4,0)</f>
        <v>2023-09-19</v>
      </c>
      <c r="G674" t="str">
        <f>VLOOKUP(D674&amp;E674,N:Q,4,0)</f>
        <v>2023-09-19</v>
      </c>
      <c r="H674">
        <f>G674-F674</f>
        <v>0</v>
      </c>
      <c r="J674" t="str">
        <f>K674&amp;L674</f>
        <v>Семенова Ирина ВалерьевнаИванова Елена Алексеевна</v>
      </c>
      <c r="K674" t="s">
        <v>57</v>
      </c>
      <c r="L674" t="s">
        <v>118</v>
      </c>
      <c r="M674" t="s">
        <v>378</v>
      </c>
      <c r="N674" t="str">
        <f>O674&amp;P674</f>
        <v>Ткаченко Андрей ОлеговичСидоров Алексей Кириллович</v>
      </c>
      <c r="O674" t="s">
        <v>24</v>
      </c>
      <c r="P674" t="s">
        <v>14</v>
      </c>
      <c r="Q674" t="s">
        <v>260</v>
      </c>
    </row>
    <row r="675">
      <c r="D675" t="s">
        <v>24</v>
      </c>
      <c r="E675" t="s">
        <v>128</v>
      </c>
      <c r="F675" t="str">
        <f>VLOOKUP(D675&amp;E675,J:M,4,0)</f>
        <v>2023-10-16</v>
      </c>
      <c r="G675" t="str">
        <f>VLOOKUP(D675&amp;E675,N:Q,4,0)</f>
        <v>2023-11-27</v>
      </c>
      <c r="H675">
        <f>G675-F675</f>
        <v>42</v>
      </c>
      <c r="J675" t="str">
        <f>K675&amp;L675</f>
        <v>Громова Мария ИльиничнаПавлова Валерия Станиславовна</v>
      </c>
      <c r="K675" t="s">
        <v>13</v>
      </c>
      <c r="L675" t="s">
        <v>239</v>
      </c>
      <c r="M675" t="s">
        <v>379</v>
      </c>
      <c r="N675" t="str">
        <f>O675&amp;P675</f>
        <v>Орлов Павел ДенисовичСеменов Иван Александрович</v>
      </c>
      <c r="O675" t="s">
        <v>43</v>
      </c>
      <c r="P675" t="s">
        <v>258</v>
      </c>
      <c r="Q675" t="s">
        <v>259</v>
      </c>
    </row>
    <row r="676">
      <c r="D676" t="s">
        <v>24</v>
      </c>
      <c r="E676" t="s">
        <v>257</v>
      </c>
      <c r="F676" t="str">
        <f>VLOOKUP(D676&amp;E676,J:M,4,0)</f>
        <v>2024-08-23</v>
      </c>
      <c r="G676" t="str">
        <f>VLOOKUP(D676&amp;E676,N:Q,4,0)</f>
        <v>2024-08-30</v>
      </c>
      <c r="H676">
        <f>G676-F676</f>
        <v>7</v>
      </c>
      <c r="J676" t="str">
        <f>K676&amp;L676</f>
        <v>Белов Алексей КонстантиновичИванова Ксения Александровна</v>
      </c>
      <c r="K676" t="s">
        <v>47</v>
      </c>
      <c r="L676" t="s">
        <v>265</v>
      </c>
      <c r="M676" t="s">
        <v>380</v>
      </c>
      <c r="N676" t="str">
        <f>O676&amp;P676</f>
        <v>Громова Мария ИльиничнаНиколаева Дарья Алексеевна</v>
      </c>
      <c r="O676" t="s">
        <v>13</v>
      </c>
      <c r="P676" t="s">
        <v>252</v>
      </c>
      <c r="Q676" t="s">
        <v>253</v>
      </c>
    </row>
    <row r="677">
      <c r="D677" t="s">
        <v>24</v>
      </c>
      <c r="E677" t="s">
        <v>316</v>
      </c>
      <c r="F677" t="str">
        <f>VLOOKUP(D677&amp;E677,J:M,4,0)</f>
        <v>2024-02-19</v>
      </c>
      <c r="G677" t="str">
        <f>VLOOKUP(D677&amp;E677,N:Q,4,0)</f>
        <v>2024-08-30</v>
      </c>
      <c r="H677">
        <f>G677-F677</f>
        <v>193</v>
      </c>
      <c r="J677" t="str">
        <f>K677&amp;L677</f>
        <v>Белов Алексей КонстантиновичКозлова София Олеговна</v>
      </c>
      <c r="K677" t="s">
        <v>47</v>
      </c>
      <c r="L677" t="s">
        <v>185</v>
      </c>
      <c r="M677" t="s">
        <v>380</v>
      </c>
      <c r="N677" t="str">
        <f>O677&amp;P677</f>
        <v>Семенова Ирина ВалерьевнаСидорова София Дмитриевна</v>
      </c>
      <c r="O677" t="s">
        <v>57</v>
      </c>
      <c r="P677" t="s">
        <v>254</v>
      </c>
      <c r="Q677" t="s">
        <v>253</v>
      </c>
    </row>
    <row r="678">
      <c r="D678" t="s">
        <v>24</v>
      </c>
      <c r="E678" t="s">
        <v>403</v>
      </c>
      <c r="F678" t="str">
        <f>VLOOKUP(D678&amp;E678,J:M,4,0)</f>
        <v>2024-06-03</v>
      </c>
      <c r="G678" t="str">
        <f>VLOOKUP(D678&amp;E678,N:Q,4,0)</f>
        <v>2024-06-03</v>
      </c>
      <c r="H678">
        <f>G678-F678</f>
        <v>0</v>
      </c>
      <c r="J678" t="str">
        <f>K678&amp;L678</f>
        <v>Семенова Ирина ВалерьевнаКозлова София Олеговна</v>
      </c>
      <c r="K678" t="s">
        <v>57</v>
      </c>
      <c r="L678" t="s">
        <v>185</v>
      </c>
      <c r="M678" t="s">
        <v>381</v>
      </c>
      <c r="N678" t="str">
        <f>O678&amp;P678</f>
        <v>Громова Мария ИльиничнаПопов Роман Сергеевич</v>
      </c>
      <c r="O678" t="s">
        <v>13</v>
      </c>
      <c r="P678" t="s">
        <v>106</v>
      </c>
      <c r="Q678" t="s">
        <v>253</v>
      </c>
    </row>
    <row r="679">
      <c r="D679" t="s">
        <v>24</v>
      </c>
      <c r="E679" t="s">
        <v>327</v>
      </c>
      <c r="F679" t="str">
        <f>VLOOKUP(D679&amp;E679,J:M,4,0)</f>
        <v>2024-03-01</v>
      </c>
      <c r="G679" t="str">
        <f>VLOOKUP(D679&amp;E679,N:Q,4,0)</f>
        <v>2024-03-01</v>
      </c>
      <c r="H679">
        <f>G679-F679</f>
        <v>0</v>
      </c>
      <c r="J679" t="str">
        <f>K679&amp;L679</f>
        <v>Белов Алексей КонстантиновичКузнецова Екатерина Александровна</v>
      </c>
      <c r="K679" t="s">
        <v>47</v>
      </c>
      <c r="L679" t="s">
        <v>92</v>
      </c>
      <c r="M679" t="s">
        <v>381</v>
      </c>
      <c r="N679" t="str">
        <f>O679&amp;P679</f>
        <v>Иванова Анна СергеевнаСмирнова Мария Владимировна</v>
      </c>
      <c r="O679" t="s">
        <v>11</v>
      </c>
      <c r="P679" t="s">
        <v>255</v>
      </c>
      <c r="Q679" t="s">
        <v>253</v>
      </c>
    </row>
    <row r="680">
      <c r="D680" t="s">
        <v>24</v>
      </c>
      <c r="E680" t="s">
        <v>310</v>
      </c>
      <c r="F680" t="str">
        <f>VLOOKUP(D680&amp;E680,J:M,4,0)</f>
        <v>2024-02-12</v>
      </c>
      <c r="G680" t="str">
        <f>VLOOKUP(D680&amp;E680,N:Q,4,0)</f>
        <v>2024-02-12</v>
      </c>
      <c r="H680">
        <f>G680-F680</f>
        <v>0</v>
      </c>
      <c r="J680" t="str">
        <f>K680&amp;L680</f>
        <v>Новикова Ольга ПетровнаПавлова Анна Ивановна</v>
      </c>
      <c r="K680" t="s">
        <v>17</v>
      </c>
      <c r="L680" t="s">
        <v>101</v>
      </c>
      <c r="M680" t="s">
        <v>381</v>
      </c>
      <c r="N680" t="str">
        <f>O680&amp;P680</f>
        <v>Орлов Павел ДенисовичПопов Александр Владимирович</v>
      </c>
      <c r="O680" t="s">
        <v>43</v>
      </c>
      <c r="P680" t="s">
        <v>160</v>
      </c>
      <c r="Q680" t="s">
        <v>253</v>
      </c>
    </row>
    <row r="681">
      <c r="D681" t="s">
        <v>24</v>
      </c>
      <c r="E681" t="s">
        <v>302</v>
      </c>
      <c r="F681" t="str">
        <f>VLOOKUP(D681&amp;E681,J:M,4,0)</f>
        <v>2024-08-06</v>
      </c>
      <c r="G681" t="str">
        <f>VLOOKUP(D681&amp;E681,N:Q,4,0)</f>
        <v>2024-08-06</v>
      </c>
      <c r="H681">
        <f>G681-F681</f>
        <v>0</v>
      </c>
      <c r="J681" t="str">
        <f>K681&amp;L681</f>
        <v>Семенова Ирина ВалерьевнаСмирнов Дмитрий Павлович</v>
      </c>
      <c r="K681" t="s">
        <v>57</v>
      </c>
      <c r="L681" t="s">
        <v>382</v>
      </c>
      <c r="M681" t="s">
        <v>381</v>
      </c>
      <c r="N681" t="str">
        <f>O681&amp;P681</f>
        <v>Фролов Сергей ВикторовичВолков Константин Александрович</v>
      </c>
      <c r="O681" t="s">
        <v>5</v>
      </c>
      <c r="P681" t="s">
        <v>256</v>
      </c>
      <c r="Q681" t="s">
        <v>253</v>
      </c>
    </row>
    <row r="682">
      <c r="D682" t="s">
        <v>24</v>
      </c>
      <c r="E682" t="s">
        <v>123</v>
      </c>
      <c r="F682" t="str">
        <f>VLOOKUP(D682&amp;E682,J:M,4,0)</f>
        <v>2024-01-15</v>
      </c>
      <c r="G682" t="str">
        <f>VLOOKUP(D682&amp;E682,N:Q,4,0)</f>
        <v>2024-01-15</v>
      </c>
      <c r="H682">
        <f>G682-F682</f>
        <v>0</v>
      </c>
      <c r="J682" t="str">
        <f>K682&amp;L682</f>
        <v>Иванова Анна СергеевнаФедорова Екатерина Михайловна</v>
      </c>
      <c r="K682" t="s">
        <v>11</v>
      </c>
      <c r="L682" t="s">
        <v>204</v>
      </c>
      <c r="M682" t="s">
        <v>381</v>
      </c>
      <c r="N682" t="str">
        <f>O682&amp;P682</f>
        <v>Кузнецов Дмитрий ЛьвовичСидорова Екатерина Романовна</v>
      </c>
      <c r="O682" t="s">
        <v>8</v>
      </c>
      <c r="P682" t="s">
        <v>257</v>
      </c>
      <c r="Q682" t="s">
        <v>253</v>
      </c>
    </row>
    <row r="683">
      <c r="D683" t="s">
        <v>24</v>
      </c>
      <c r="E683" t="s">
        <v>144</v>
      </c>
      <c r="F683" t="str">
        <f>VLOOKUP(D683&amp;E683,J:M,4,0)</f>
        <v>2023-10-23</v>
      </c>
      <c r="G683" t="str">
        <f>VLOOKUP(D683&amp;E683,N:Q,4,0)</f>
        <v>2023-10-23</v>
      </c>
      <c r="H683">
        <f>G683-F683</f>
        <v>0</v>
      </c>
      <c r="J683" t="str">
        <f>K683&amp;L683</f>
        <v>Новикова Ольга ПетровнаВолков Владимир Геннадьевич</v>
      </c>
      <c r="K683" t="s">
        <v>17</v>
      </c>
      <c r="L683" t="s">
        <v>137</v>
      </c>
      <c r="M683" t="s">
        <v>381</v>
      </c>
      <c r="N683" t="str">
        <f>O683&amp;P683</f>
        <v>Новикова Ольга ПетровнаМорозова Светлана Сергеевна</v>
      </c>
      <c r="O683" t="s">
        <v>17</v>
      </c>
      <c r="P683" t="s">
        <v>108</v>
      </c>
      <c r="Q683" t="s">
        <v>251</v>
      </c>
    </row>
    <row r="684">
      <c r="D684" t="s">
        <v>24</v>
      </c>
      <c r="E684" t="s">
        <v>67</v>
      </c>
      <c r="F684" t="str">
        <f>VLOOKUP(D684&amp;E684,J:M,4,0)</f>
        <v>2024-01-24</v>
      </c>
      <c r="G684" t="str">
        <f>VLOOKUP(D684&amp;E684,N:Q,4,0)</f>
        <v>2024-01-24</v>
      </c>
      <c r="H684">
        <f>G684-F684</f>
        <v>0</v>
      </c>
      <c r="J684" t="str">
        <f>K684&amp;L684</f>
        <v>Фролов Сергей ВикторовичЛебедев Владимир Ильич</v>
      </c>
      <c r="K684" t="s">
        <v>5</v>
      </c>
      <c r="L684" t="s">
        <v>237</v>
      </c>
      <c r="M684" t="s">
        <v>381</v>
      </c>
      <c r="N684" t="str">
        <f>O684&amp;P684</f>
        <v>Яковлев Артем ИгоревичПопов Матвей Викторович</v>
      </c>
      <c r="O684" t="s">
        <v>21</v>
      </c>
      <c r="P684" t="s">
        <v>113</v>
      </c>
      <c r="Q684" t="s">
        <v>251</v>
      </c>
    </row>
    <row r="685">
      <c r="D685" t="s">
        <v>24</v>
      </c>
      <c r="E685" t="s">
        <v>99</v>
      </c>
      <c r="F685" t="str">
        <f>VLOOKUP(D685&amp;E685,J:M,4,0)</f>
        <v>2023-10-02</v>
      </c>
      <c r="G685" t="str">
        <f>VLOOKUP(D685&amp;E685,N:Q,4,0)</f>
        <v>2023-10-02</v>
      </c>
      <c r="H685">
        <f>G685-F685</f>
        <v>0</v>
      </c>
      <c r="J685" t="str">
        <f>K685&amp;L685</f>
        <v>Сидорова Елена ВасильевнаПавлов Максим Владимирович</v>
      </c>
      <c r="K685" t="s">
        <v>15</v>
      </c>
      <c r="L685" t="s">
        <v>383</v>
      </c>
      <c r="M685" t="s">
        <v>384</v>
      </c>
      <c r="N685" t="str">
        <f>O685&amp;P685</f>
        <v>Новикова Ольга ПетровнаИванов Павел Сергеевич</v>
      </c>
      <c r="O685" t="s">
        <v>17</v>
      </c>
      <c r="P685" t="s">
        <v>103</v>
      </c>
      <c r="Q685" t="s">
        <v>249</v>
      </c>
    </row>
    <row r="686">
      <c r="D686" t="s">
        <v>24</v>
      </c>
      <c r="E686" t="s">
        <v>153</v>
      </c>
      <c r="F686" t="str">
        <f>VLOOKUP(D686&amp;E686,J:M,4,0)</f>
        <v>2024-06-03</v>
      </c>
      <c r="G686" t="str">
        <f>VLOOKUP(D686&amp;E686,N:Q,4,0)</f>
        <v>2024-06-03</v>
      </c>
      <c r="H686">
        <f>G686-F686</f>
        <v>0</v>
      </c>
      <c r="J686" t="str">
        <f>K686&amp;L686</f>
        <v>Орлов Павел ДенисовичМорозова Екатерина Ивановна</v>
      </c>
      <c r="K686" t="s">
        <v>43</v>
      </c>
      <c r="L686" t="s">
        <v>207</v>
      </c>
      <c r="M686" t="s">
        <v>384</v>
      </c>
      <c r="N686" t="str">
        <f>O686&amp;P686</f>
        <v>Кузнецов Дмитрий ЛьвовичИванов Кирилл Кириллович</v>
      </c>
      <c r="O686" t="s">
        <v>8</v>
      </c>
      <c r="P686" t="s">
        <v>250</v>
      </c>
      <c r="Q686" t="s">
        <v>249</v>
      </c>
    </row>
    <row r="687">
      <c r="D687" t="s">
        <v>24</v>
      </c>
      <c r="E687" t="s">
        <v>93</v>
      </c>
      <c r="F687" t="str">
        <f>VLOOKUP(D687&amp;E687,J:M,4,0)</f>
        <v>2024-02-07</v>
      </c>
      <c r="G687" t="str">
        <f>VLOOKUP(D687&amp;E687,N:Q,4,0)</f>
        <v>2024-02-07</v>
      </c>
      <c r="H687">
        <f>G687-F687</f>
        <v>0</v>
      </c>
      <c r="J687" t="str">
        <f>K687&amp;L687</f>
        <v>Фролов Сергей ВикторовичФедоров Максим Дмитриевич</v>
      </c>
      <c r="K687" t="s">
        <v>5</v>
      </c>
      <c r="L687" t="s">
        <v>105</v>
      </c>
      <c r="M687" t="s">
        <v>384</v>
      </c>
      <c r="N687" t="str">
        <f>O687&amp;P687</f>
        <v>Орлов Павел ДенисовичНовикова Анна Ильинична</v>
      </c>
      <c r="O687" t="s">
        <v>43</v>
      </c>
      <c r="P687" t="s">
        <v>35</v>
      </c>
      <c r="Q687" t="s">
        <v>249</v>
      </c>
    </row>
    <row r="688">
      <c r="D688" t="s">
        <v>24</v>
      </c>
      <c r="E688" t="s">
        <v>174</v>
      </c>
      <c r="F688" t="str">
        <f>VLOOKUP(D688&amp;E688,J:M,4,0)</f>
        <v>2024-02-06</v>
      </c>
      <c r="G688" t="str">
        <f>VLOOKUP(D688&amp;E688,N:Q,4,0)</f>
        <v>2024-06-17</v>
      </c>
      <c r="H688">
        <f>G688-F688</f>
        <v>132</v>
      </c>
      <c r="J688" t="str">
        <f>K688&amp;L688</f>
        <v>Новикова Ольга ПетровнаСеменов Сергей Викторович</v>
      </c>
      <c r="K688" t="s">
        <v>17</v>
      </c>
      <c r="L688" t="s">
        <v>30</v>
      </c>
      <c r="M688" t="s">
        <v>384</v>
      </c>
      <c r="N688" t="str">
        <f>O688&amp;P688</f>
        <v>Иванова Анна СергеевнаНиколаева Алиса Ивановна</v>
      </c>
      <c r="O688" t="s">
        <v>11</v>
      </c>
      <c r="P688" t="s">
        <v>119</v>
      </c>
      <c r="Q688" t="s">
        <v>249</v>
      </c>
    </row>
    <row r="689">
      <c r="D689" t="s">
        <v>24</v>
      </c>
      <c r="E689" t="s">
        <v>56</v>
      </c>
      <c r="F689" t="str">
        <f>VLOOKUP(D689&amp;E689,J:M,4,0)</f>
        <v>2024-04-19</v>
      </c>
      <c r="G689" t="str">
        <f>VLOOKUP(D689&amp;E689,N:Q,4,0)</f>
        <v>2024-04-19</v>
      </c>
      <c r="H689">
        <f>G689-F689</f>
        <v>0</v>
      </c>
      <c r="J689" t="str">
        <f>K689&amp;L689</f>
        <v>Петров Владимир КирилловичНовиков Илья Геннадьевич</v>
      </c>
      <c r="K689" t="s">
        <v>28</v>
      </c>
      <c r="L689" t="s">
        <v>241</v>
      </c>
      <c r="M689" t="s">
        <v>385</v>
      </c>
      <c r="N689" t="str">
        <f>O689&amp;P689</f>
        <v>Орлов Павел ДенисовичКозлов Дмитрий Сергеевич</v>
      </c>
      <c r="O689" t="s">
        <v>43</v>
      </c>
      <c r="P689" t="s">
        <v>222</v>
      </c>
      <c r="Q689" t="s">
        <v>249</v>
      </c>
    </row>
    <row r="690">
      <c r="D690" t="s">
        <v>24</v>
      </c>
      <c r="E690" t="s">
        <v>178</v>
      </c>
      <c r="F690" t="str">
        <f>VLOOKUP(D690&amp;E690,J:M,4,0)</f>
        <v>2023-11-09</v>
      </c>
      <c r="G690" t="str">
        <f>VLOOKUP(D690&amp;E690,N:Q,4,0)</f>
        <v>2023-11-09</v>
      </c>
      <c r="H690">
        <f>G690-F690</f>
        <v>0</v>
      </c>
      <c r="J690" t="str">
        <f>K690&amp;L690</f>
        <v>Орлов Павел ДенисовичЕгорова Татьяна Ильинична</v>
      </c>
      <c r="K690" t="s">
        <v>43</v>
      </c>
      <c r="L690" t="s">
        <v>12</v>
      </c>
      <c r="M690" t="s">
        <v>385</v>
      </c>
      <c r="N690" t="str">
        <f>O690&amp;P690</f>
        <v>Белов Алексей КонстантиновичВолков Константин Дмитриевич</v>
      </c>
      <c r="O690" t="s">
        <v>47</v>
      </c>
      <c r="P690" t="s">
        <v>79</v>
      </c>
      <c r="Q690" t="s">
        <v>249</v>
      </c>
    </row>
    <row r="691">
      <c r="D691" t="s">
        <v>24</v>
      </c>
      <c r="E691" t="s">
        <v>157</v>
      </c>
      <c r="F691" t="str">
        <f>VLOOKUP(D691&amp;E691,J:M,4,0)</f>
        <v>2023-10-27</v>
      </c>
      <c r="G691" t="str">
        <f>VLOOKUP(D691&amp;E691,N:Q,4,0)</f>
        <v>2024-08-15</v>
      </c>
      <c r="H691">
        <f>G691-F691</f>
        <v>293</v>
      </c>
      <c r="J691" t="str">
        <f>K691&amp;L691</f>
        <v>Кузнецов Дмитрий ЛьвовичИванова Людмила Алексеевна</v>
      </c>
      <c r="K691" t="s">
        <v>8</v>
      </c>
      <c r="L691" t="s">
        <v>59</v>
      </c>
      <c r="M691" t="s">
        <v>385</v>
      </c>
      <c r="N691" t="str">
        <f>O691&amp;P691</f>
        <v>Сидорова Елена ВасильевнаСтепанова Алиса Станиславовна</v>
      </c>
      <c r="O691" t="s">
        <v>15</v>
      </c>
      <c r="P691" t="s">
        <v>67</v>
      </c>
      <c r="Q691" t="s">
        <v>247</v>
      </c>
    </row>
    <row r="692">
      <c r="D692" t="s">
        <v>24</v>
      </c>
      <c r="E692" t="s">
        <v>204</v>
      </c>
      <c r="F692" t="str">
        <f>VLOOKUP(D692&amp;E692,J:M,4,0)</f>
        <v>2024-03-14</v>
      </c>
      <c r="G692" t="str">
        <f>VLOOKUP(D692&amp;E692,N:Q,4,0)</f>
        <v>2024-03-14</v>
      </c>
      <c r="H692">
        <f>G692-F692</f>
        <v>0</v>
      </c>
      <c r="J692" t="str">
        <f>K692&amp;L692</f>
        <v>Кузнецов Дмитрий ЛьвовичВолков Константин Дмитриевич</v>
      </c>
      <c r="K692" t="s">
        <v>8</v>
      </c>
      <c r="L692" t="s">
        <v>79</v>
      </c>
      <c r="M692" t="s">
        <v>386</v>
      </c>
      <c r="N692" t="str">
        <f>O692&amp;P692</f>
        <v>Белов Алексей КонстантиновичПетров Артем Иванович</v>
      </c>
      <c r="O692" t="s">
        <v>47</v>
      </c>
      <c r="P692" t="s">
        <v>100</v>
      </c>
      <c r="Q692" t="s">
        <v>247</v>
      </c>
    </row>
    <row r="693">
      <c r="D693" t="s">
        <v>24</v>
      </c>
      <c r="E693" t="s">
        <v>215</v>
      </c>
      <c r="F693" t="str">
        <f>VLOOKUP(D693&amp;E693,J:M,4,0)</f>
        <v>2024-07-15</v>
      </c>
      <c r="G693" t="str">
        <f>VLOOKUP(D693&amp;E693,N:Q,4,0)</f>
        <v>2024-07-15</v>
      </c>
      <c r="H693">
        <f>G693-F693</f>
        <v>0</v>
      </c>
      <c r="J693" t="str">
        <f>K693&amp;L693</f>
        <v>Орлов Павел ДенисовичНиколаев Владимир Егорович</v>
      </c>
      <c r="K693" t="s">
        <v>43</v>
      </c>
      <c r="L693" t="s">
        <v>190</v>
      </c>
      <c r="M693" t="s">
        <v>386</v>
      </c>
      <c r="N693" t="str">
        <f>O693&amp;P693</f>
        <v>Петров Владимир КирилловичНиколаев Артем Александрович</v>
      </c>
      <c r="O693" t="s">
        <v>28</v>
      </c>
      <c r="P693" t="s">
        <v>248</v>
      </c>
      <c r="Q693" t="s">
        <v>247</v>
      </c>
    </row>
    <row r="694">
      <c r="D694" t="s">
        <v>5</v>
      </c>
      <c r="E694" t="s">
        <v>96</v>
      </c>
      <c r="F694" t="str">
        <f>VLOOKUP(D694&amp;E694,J:M,4,0)</f>
        <v>2023-10-10</v>
      </c>
      <c r="G694" t="str">
        <f>VLOOKUP(D694&amp;E694,N:Q,4,0)</f>
        <v>2023-10-10</v>
      </c>
      <c r="H694">
        <f>G694-F694</f>
        <v>0</v>
      </c>
      <c r="J694" t="str">
        <f>K694&amp;L694</f>
        <v>Фролов Сергей ВикторовичКузнецова Дарья Ильинична</v>
      </c>
      <c r="K694" t="s">
        <v>5</v>
      </c>
      <c r="L694" t="s">
        <v>214</v>
      </c>
      <c r="M694" t="s">
        <v>387</v>
      </c>
      <c r="N694" t="str">
        <f>O694&amp;P694</f>
        <v>Сидорова Елена ВасильевнаПопова Светлана Дмитриевна</v>
      </c>
      <c r="O694" t="s">
        <v>15</v>
      </c>
      <c r="P694" t="s">
        <v>69</v>
      </c>
      <c r="Q694" t="s">
        <v>245</v>
      </c>
    </row>
    <row r="695">
      <c r="D695" t="s">
        <v>5</v>
      </c>
      <c r="E695" t="s">
        <v>189</v>
      </c>
      <c r="F695" t="str">
        <f>VLOOKUP(D695&amp;E695,J:M,4,0)</f>
        <v>2024-03-27</v>
      </c>
      <c r="G695" t="str">
        <f>VLOOKUP(D695&amp;E695,N:Q,4,0)</f>
        <v>2024-06-03</v>
      </c>
      <c r="H695">
        <f>G695-F695</f>
        <v>68</v>
      </c>
      <c r="J695" t="str">
        <f>K695&amp;L695</f>
        <v>Фролов Сергей ВикторовичСеменов Михаил Никитич</v>
      </c>
      <c r="K695" t="s">
        <v>5</v>
      </c>
      <c r="L695" t="s">
        <v>172</v>
      </c>
      <c r="M695" t="s">
        <v>387</v>
      </c>
      <c r="N695" t="str">
        <f>O695&amp;P695</f>
        <v>Сидорова Елена ВасильевнаСтепанов Алексей Михайлович</v>
      </c>
      <c r="O695" t="s">
        <v>15</v>
      </c>
      <c r="P695" t="s">
        <v>60</v>
      </c>
      <c r="Q695" t="s">
        <v>245</v>
      </c>
    </row>
    <row r="696">
      <c r="D696" t="s">
        <v>5</v>
      </c>
      <c r="E696" t="s">
        <v>42</v>
      </c>
      <c r="F696" t="str">
        <f>VLOOKUP(D696&amp;E696,J:M,4,0)</f>
        <v>2023-11-03</v>
      </c>
      <c r="G696" t="str">
        <f>VLOOKUP(D696&amp;E696,N:Q,4,0)</f>
        <v>2023-11-03</v>
      </c>
      <c r="H696">
        <f>G696-F696</f>
        <v>0</v>
      </c>
      <c r="J696" t="str">
        <f>K696&amp;L696</f>
        <v>Орлов Павел ДенисовичКузнецов Дмитрий Андреевич</v>
      </c>
      <c r="K696" t="s">
        <v>43</v>
      </c>
      <c r="L696" t="s">
        <v>22</v>
      </c>
      <c r="M696" t="s">
        <v>387</v>
      </c>
      <c r="N696" t="str">
        <f>O696&amp;P696</f>
        <v>Белов Алексей КонстантиновичФедорова Людмила Дмитриевна</v>
      </c>
      <c r="O696" t="s">
        <v>47</v>
      </c>
      <c r="P696" t="s">
        <v>215</v>
      </c>
      <c r="Q696" t="s">
        <v>245</v>
      </c>
    </row>
    <row r="697">
      <c r="D697" t="s">
        <v>5</v>
      </c>
      <c r="E697" t="s">
        <v>291</v>
      </c>
      <c r="F697" t="str">
        <f>VLOOKUP(D697&amp;E697,J:M,4,0)</f>
        <v>2024-08-12</v>
      </c>
      <c r="G697" t="str">
        <f>VLOOKUP(D697&amp;E697,N:Q,4,0)</f>
        <v>2024-08-12</v>
      </c>
      <c r="H697">
        <f>G697-F697</f>
        <v>0</v>
      </c>
      <c r="J697" t="str">
        <f>K697&amp;L697</f>
        <v>Семенова Ирина ВалерьевнаВолкова Ирина Никитична</v>
      </c>
      <c r="K697" t="s">
        <v>57</v>
      </c>
      <c r="L697" t="s">
        <v>161</v>
      </c>
      <c r="M697" t="s">
        <v>388</v>
      </c>
      <c r="N697" t="str">
        <f>O697&amp;P697</f>
        <v>Сидорова Елена ВасильевнаОрлова Вероника Сергеевна</v>
      </c>
      <c r="O697" t="s">
        <v>15</v>
      </c>
      <c r="P697" t="s">
        <v>246</v>
      </c>
      <c r="Q697" t="s">
        <v>245</v>
      </c>
    </row>
    <row r="698">
      <c r="D698" t="s">
        <v>5</v>
      </c>
      <c r="E698" t="s">
        <v>146</v>
      </c>
      <c r="F698" t="str">
        <f>VLOOKUP(D698&amp;E698,J:M,4,0)</f>
        <v>2024-06-17</v>
      </c>
      <c r="G698" t="str">
        <f>VLOOKUP(D698&amp;E698,N:Q,4,0)</f>
        <v>2024-06-17</v>
      </c>
      <c r="H698">
        <f>G698-F698</f>
        <v>0</v>
      </c>
      <c r="J698" t="str">
        <f>K698&amp;L698</f>
        <v>Петров Владимир КирилловичФедоров Дмитрий Сергеевич</v>
      </c>
      <c r="K698" t="s">
        <v>28</v>
      </c>
      <c r="L698" t="s">
        <v>56</v>
      </c>
      <c r="M698" t="s">
        <v>388</v>
      </c>
      <c r="N698" t="str">
        <f>O698&amp;P698</f>
        <v>Иванова Анна СергеевнаКозлова Полина Викторовна</v>
      </c>
      <c r="O698" t="s">
        <v>11</v>
      </c>
      <c r="P698" t="s">
        <v>217</v>
      </c>
      <c r="Q698" t="s">
        <v>245</v>
      </c>
    </row>
    <row r="699">
      <c r="D699" t="s">
        <v>5</v>
      </c>
      <c r="E699" t="s">
        <v>137</v>
      </c>
      <c r="F699" t="str">
        <f>VLOOKUP(D699&amp;E699,J:M,4,0)</f>
        <v>2023-10-18</v>
      </c>
      <c r="G699" t="str">
        <f>VLOOKUP(D699&amp;E699,N:Q,4,0)</f>
        <v>2023-10-18</v>
      </c>
      <c r="H699">
        <f>G699-F699</f>
        <v>0</v>
      </c>
      <c r="J699" t="str">
        <f>K699&amp;L699</f>
        <v>Громова Мария ИльиничнаНовикова Ксения Алексеевна</v>
      </c>
      <c r="K699" t="s">
        <v>13</v>
      </c>
      <c r="L699" t="s">
        <v>147</v>
      </c>
      <c r="M699" t="s">
        <v>388</v>
      </c>
      <c r="N699" t="str">
        <f>O699&amp;P699</f>
        <v>Иванова Анна СергеевнаПопова Вероника Ивановна</v>
      </c>
      <c r="O699" t="s">
        <v>11</v>
      </c>
      <c r="P699" t="s">
        <v>243</v>
      </c>
      <c r="Q699" t="s">
        <v>244</v>
      </c>
    </row>
    <row r="700">
      <c r="D700" t="s">
        <v>5</v>
      </c>
      <c r="E700" t="s">
        <v>256</v>
      </c>
      <c r="F700" t="str">
        <f>VLOOKUP(D700&amp;E700,J:M,4,0)</f>
        <v>2023-12-27</v>
      </c>
      <c r="G700" t="str">
        <f>VLOOKUP(D700&amp;E700,N:Q,4,0)</f>
        <v>2023-12-27</v>
      </c>
      <c r="H700">
        <f>G700-F700</f>
        <v>0</v>
      </c>
      <c r="J700" t="str">
        <f>K700&amp;L700</f>
        <v>Ткаченко Андрей ОлеговичАлексеева Наталья Андреевна</v>
      </c>
      <c r="K700" t="s">
        <v>24</v>
      </c>
      <c r="L700" t="s">
        <v>42</v>
      </c>
      <c r="M700" t="s">
        <v>388</v>
      </c>
      <c r="N700" t="str">
        <f>O700&amp;P700</f>
        <v>Семенова Ирина ВалерьевнаАлексеева Наталья Андреевна</v>
      </c>
      <c r="O700" t="s">
        <v>57</v>
      </c>
      <c r="P700" t="s">
        <v>42</v>
      </c>
      <c r="Q700" t="s">
        <v>244</v>
      </c>
    </row>
    <row r="701">
      <c r="D701" t="s">
        <v>5</v>
      </c>
      <c r="E701" t="s">
        <v>321</v>
      </c>
      <c r="F701" t="str">
        <f>VLOOKUP(D701&amp;E701,J:M,4,0)</f>
        <v>2024-06-12</v>
      </c>
      <c r="G701" t="str">
        <f>VLOOKUP(D701&amp;E701,N:Q,4,0)</f>
        <v>2024-06-12</v>
      </c>
      <c r="H701">
        <f>G701-F701</f>
        <v>0</v>
      </c>
      <c r="J701" t="str">
        <f>K701&amp;L701</f>
        <v>Кузнецов Дмитрий ЛьвовичСтепанов Кирилл Павлович</v>
      </c>
      <c r="K701" t="s">
        <v>8</v>
      </c>
      <c r="L701" t="s">
        <v>123</v>
      </c>
      <c r="M701" t="s">
        <v>388</v>
      </c>
      <c r="N701" t="str">
        <f>O701&amp;P701</f>
        <v>Сидорова Елена ВасильевнаИванова Валерия Алексеевна</v>
      </c>
      <c r="O701" t="s">
        <v>15</v>
      </c>
      <c r="P701" t="s">
        <v>38</v>
      </c>
      <c r="Q701" t="s">
        <v>242</v>
      </c>
    </row>
    <row r="702">
      <c r="D702" t="s">
        <v>5</v>
      </c>
      <c r="E702" t="s">
        <v>82</v>
      </c>
      <c r="F702" t="str">
        <f>VLOOKUP(D702&amp;E702,J:M,4,0)</f>
        <v>2023-09-25</v>
      </c>
      <c r="G702" t="str">
        <f>VLOOKUP(D702&amp;E702,N:Q,4,0)</f>
        <v>2024-01-24</v>
      </c>
      <c r="H702">
        <f>G702-F702</f>
        <v>121</v>
      </c>
      <c r="J702" t="str">
        <f>K702&amp;L702</f>
        <v>Новикова Ольга ПетровнаКузнецова Екатерина Александровна</v>
      </c>
      <c r="K702" t="s">
        <v>17</v>
      </c>
      <c r="L702" t="s">
        <v>92</v>
      </c>
      <c r="M702" t="s">
        <v>388</v>
      </c>
      <c r="N702" t="str">
        <f>O702&amp;P702</f>
        <v>Иванова Анна СергеевнаВасильева Юлия Геннадьевна</v>
      </c>
      <c r="O702" t="s">
        <v>11</v>
      </c>
      <c r="P702" t="s">
        <v>48</v>
      </c>
      <c r="Q702" t="s">
        <v>242</v>
      </c>
    </row>
    <row r="703">
      <c r="D703" t="s">
        <v>5</v>
      </c>
      <c r="E703" t="s">
        <v>49</v>
      </c>
      <c r="F703" t="str">
        <f>VLOOKUP(D703&amp;E703,J:M,4,0)</f>
        <v>2023-12-11</v>
      </c>
      <c r="G703" t="str">
        <f>VLOOKUP(D703&amp;E703,N:Q,4,0)</f>
        <v>2023-12-11</v>
      </c>
      <c r="H703">
        <f>G703-F703</f>
        <v>0</v>
      </c>
      <c r="J703" t="str">
        <f>K703&amp;L703</f>
        <v>Иванова Анна СергеевнаИванов Павел Павлович</v>
      </c>
      <c r="K703" t="s">
        <v>11</v>
      </c>
      <c r="L703" t="s">
        <v>80</v>
      </c>
      <c r="M703" t="s">
        <v>388</v>
      </c>
      <c r="N703" t="str">
        <f>O703&amp;P703</f>
        <v>Семенова Ирина ВалерьевнаЛебедев Владимир Ильич</v>
      </c>
      <c r="O703" t="s">
        <v>57</v>
      </c>
      <c r="P703" t="s">
        <v>237</v>
      </c>
      <c r="Q703" t="s">
        <v>238</v>
      </c>
    </row>
    <row r="704">
      <c r="D704" t="s">
        <v>5</v>
      </c>
      <c r="E704" t="s">
        <v>85</v>
      </c>
      <c r="F704" t="str">
        <f>VLOOKUP(D704&amp;E704,J:M,4,0)</f>
        <v>2024-05-20</v>
      </c>
      <c r="G704" t="str">
        <f>VLOOKUP(D704&amp;E704,N:Q,4,0)</f>
        <v>2024-05-20</v>
      </c>
      <c r="H704">
        <f>G704-F704</f>
        <v>0</v>
      </c>
      <c r="J704" t="str">
        <f>K704&amp;L704</f>
        <v>Иванова Анна СергеевнаОрлова Анна Владимировна</v>
      </c>
      <c r="K704" t="s">
        <v>11</v>
      </c>
      <c r="L704" t="s">
        <v>6</v>
      </c>
      <c r="M704" t="s">
        <v>388</v>
      </c>
      <c r="N704" t="str">
        <f>O704&amp;P704</f>
        <v>Белов Алексей КонстантиновичПавлова Валерия Станиславовна</v>
      </c>
      <c r="O704" t="s">
        <v>47</v>
      </c>
      <c r="P704" t="s">
        <v>239</v>
      </c>
      <c r="Q704" t="s">
        <v>238</v>
      </c>
    </row>
    <row r="705">
      <c r="D705" t="s">
        <v>5</v>
      </c>
      <c r="E705" t="s">
        <v>198</v>
      </c>
      <c r="F705" t="str">
        <f>VLOOKUP(D705&amp;E705,J:M,4,0)</f>
        <v>2023-11-27</v>
      </c>
      <c r="G705" t="str">
        <f>VLOOKUP(D705&amp;E705,N:Q,4,0)</f>
        <v>2024-01-01</v>
      </c>
      <c r="H705">
        <f>G705-F705</f>
        <v>35</v>
      </c>
      <c r="J705" t="str">
        <f>K705&amp;L705</f>
        <v>Петров Владимир КирилловичСидорова Екатерина Романовна</v>
      </c>
      <c r="K705" t="s">
        <v>28</v>
      </c>
      <c r="L705" t="s">
        <v>257</v>
      </c>
      <c r="M705" t="s">
        <v>388</v>
      </c>
      <c r="N705" t="str">
        <f>O705&amp;P705</f>
        <v>Орлов Павел ДенисовичПетров Павел Михайлович</v>
      </c>
      <c r="O705" t="s">
        <v>43</v>
      </c>
      <c r="P705" t="s">
        <v>211</v>
      </c>
      <c r="Q705" t="s">
        <v>238</v>
      </c>
    </row>
    <row r="706">
      <c r="D706" t="s">
        <v>5</v>
      </c>
      <c r="E706" t="s">
        <v>71</v>
      </c>
      <c r="F706" t="str">
        <f>VLOOKUP(D706&amp;E706,J:M,4,0)</f>
        <v>2023-09-21</v>
      </c>
      <c r="G706" t="str">
        <f>VLOOKUP(D706&amp;E706,N:Q,4,0)</f>
        <v>2023-09-21</v>
      </c>
      <c r="H706">
        <f>G706-F706</f>
        <v>0</v>
      </c>
      <c r="J706" t="str">
        <f>K706&amp;L706</f>
        <v>Белов Алексей КонстантиновичВасильев Александр Павлович</v>
      </c>
      <c r="K706" t="s">
        <v>47</v>
      </c>
      <c r="L706" t="s">
        <v>291</v>
      </c>
      <c r="M706" t="s">
        <v>389</v>
      </c>
      <c r="N706" t="str">
        <f>O706&amp;P706</f>
        <v>Громова Мария ИльиничнаВолкова Ирина Никитична</v>
      </c>
      <c r="O706" t="s">
        <v>13</v>
      </c>
      <c r="P706" t="s">
        <v>161</v>
      </c>
      <c r="Q706" t="s">
        <v>238</v>
      </c>
    </row>
    <row r="707">
      <c r="D707" t="s">
        <v>5</v>
      </c>
      <c r="E707" t="s">
        <v>103</v>
      </c>
      <c r="F707" t="str">
        <f>VLOOKUP(D707&amp;E707,J:M,4,0)</f>
        <v>2023-10-03</v>
      </c>
      <c r="G707" t="str">
        <f>VLOOKUP(D707&amp;E707,N:Q,4,0)</f>
        <v>2023-11-09</v>
      </c>
      <c r="H707">
        <f>G707-F707</f>
        <v>37</v>
      </c>
      <c r="J707" t="str">
        <f>K707&amp;L707</f>
        <v>Семенова Ирина ВалерьевнаВолкова Мария Егоровна</v>
      </c>
      <c r="K707" t="s">
        <v>57</v>
      </c>
      <c r="L707" t="s">
        <v>196</v>
      </c>
      <c r="M707" t="s">
        <v>389</v>
      </c>
      <c r="N707" t="str">
        <f>O707&amp;P707</f>
        <v>Петров Владимир КирилловичЕгоров Никита Станиславович</v>
      </c>
      <c r="O707" t="s">
        <v>28</v>
      </c>
      <c r="P707" t="s">
        <v>49</v>
      </c>
      <c r="Q707" t="s">
        <v>238</v>
      </c>
    </row>
    <row r="708">
      <c r="D708" t="s">
        <v>5</v>
      </c>
      <c r="E708" t="s">
        <v>9</v>
      </c>
      <c r="F708" t="str">
        <f>VLOOKUP(D708&amp;E708,J:M,4,0)</f>
        <v>2023-12-18</v>
      </c>
      <c r="G708" t="str">
        <f>VLOOKUP(D708&amp;E708,N:Q,4,0)</f>
        <v>2024-06-24</v>
      </c>
      <c r="H708">
        <f>G708-F708</f>
        <v>189</v>
      </c>
      <c r="J708" t="str">
        <f>K708&amp;L708</f>
        <v>Кузнецов Дмитрий ЛьвовичСидорова Екатерина Романовна</v>
      </c>
      <c r="K708" t="s">
        <v>8</v>
      </c>
      <c r="L708" t="s">
        <v>257</v>
      </c>
      <c r="M708" t="s">
        <v>390</v>
      </c>
      <c r="N708" t="str">
        <f>O708&amp;P708</f>
        <v>Новикова Ольга ПетровнаСтепанова Валерия Романовна</v>
      </c>
      <c r="O708" t="s">
        <v>17</v>
      </c>
      <c r="P708" t="s">
        <v>99</v>
      </c>
      <c r="Q708" t="s">
        <v>238</v>
      </c>
    </row>
    <row r="709">
      <c r="D709" t="s">
        <v>5</v>
      </c>
      <c r="E709" t="s">
        <v>265</v>
      </c>
      <c r="F709" t="str">
        <f>VLOOKUP(D709&amp;E709,J:M,4,0)</f>
        <v>2024-06-10</v>
      </c>
      <c r="G709" t="str">
        <f>VLOOKUP(D709&amp;E709,N:Q,4,0)</f>
        <v>2024-06-10</v>
      </c>
      <c r="H709">
        <f>G709-F709</f>
        <v>0</v>
      </c>
      <c r="J709" t="str">
        <f>K709&amp;L709</f>
        <v>Орлов Павел ДенисовичНиколаев Георгий Ильич</v>
      </c>
      <c r="K709" t="s">
        <v>43</v>
      </c>
      <c r="L709" t="s">
        <v>91</v>
      </c>
      <c r="M709" t="s">
        <v>390</v>
      </c>
      <c r="N709" t="str">
        <f>O709&amp;P709</f>
        <v>Петров Владимир КирилловичИванов Георгий Иванович</v>
      </c>
      <c r="O709" t="s">
        <v>28</v>
      </c>
      <c r="P709" t="s">
        <v>240</v>
      </c>
      <c r="Q709" t="s">
        <v>238</v>
      </c>
    </row>
    <row r="710">
      <c r="D710" t="s">
        <v>5</v>
      </c>
      <c r="E710" t="s">
        <v>315</v>
      </c>
      <c r="F710" t="str">
        <f>VLOOKUP(D710&amp;E710,J:M,4,0)</f>
        <v>2024-06-25</v>
      </c>
      <c r="G710" t="str">
        <f>VLOOKUP(D710&amp;E710,N:Q,4,0)</f>
        <v>2024-06-25</v>
      </c>
      <c r="H710">
        <f>G710-F710</f>
        <v>0</v>
      </c>
      <c r="J710" t="str">
        <f>K710&amp;L710</f>
        <v>Громова Мария ИльиничнаВасильев Александр Павлович</v>
      </c>
      <c r="K710" t="s">
        <v>13</v>
      </c>
      <c r="L710" t="s">
        <v>291</v>
      </c>
      <c r="M710" t="s">
        <v>390</v>
      </c>
      <c r="N710" t="str">
        <f>O710&amp;P710</f>
        <v>Орлов Павел ДенисовичПопова Ксения Никитична</v>
      </c>
      <c r="O710" t="s">
        <v>43</v>
      </c>
      <c r="P710" t="s">
        <v>20</v>
      </c>
      <c r="Q710" t="s">
        <v>238</v>
      </c>
    </row>
    <row r="711">
      <c r="D711" t="s">
        <v>5</v>
      </c>
      <c r="E711" t="s">
        <v>98</v>
      </c>
      <c r="F711" t="str">
        <f>VLOOKUP(D711&amp;E711,J:M,4,0)</f>
        <v>2024-03-28</v>
      </c>
      <c r="G711" t="str">
        <f>VLOOKUP(D711&amp;E711,N:Q,4,0)</f>
        <v>2024-03-28</v>
      </c>
      <c r="H711">
        <f>G711-F711</f>
        <v>0</v>
      </c>
      <c r="J711" t="str">
        <f>K711&amp;L711</f>
        <v>Кузнецов Дмитрий ЛьвовичСтепанов Егор Геннадьевич</v>
      </c>
      <c r="K711" t="s">
        <v>8</v>
      </c>
      <c r="L711" t="s">
        <v>302</v>
      </c>
      <c r="M711" t="s">
        <v>391</v>
      </c>
      <c r="N711" t="str">
        <f>O711&amp;P711</f>
        <v>Фролов Сергей ВикторовичИванова Анна Геннадьевна</v>
      </c>
      <c r="O711" t="s">
        <v>5</v>
      </c>
      <c r="P711" t="s">
        <v>9</v>
      </c>
      <c r="Q711" t="s">
        <v>238</v>
      </c>
    </row>
    <row r="712">
      <c r="D712" t="s">
        <v>5</v>
      </c>
      <c r="E712" t="s">
        <v>217</v>
      </c>
      <c r="F712" t="str">
        <f>VLOOKUP(D712&amp;E712,J:M,4,0)</f>
        <v>2023-12-13</v>
      </c>
      <c r="G712" t="str">
        <f>VLOOKUP(D712&amp;E712,N:Q,4,0)</f>
        <v>2024-08-06</v>
      </c>
      <c r="H712">
        <f>G712-F712</f>
        <v>237</v>
      </c>
      <c r="J712" t="str">
        <f>K712&amp;L712</f>
        <v>Сидорова Елена ВасильевнаКузнецова Ольга Геннадьевна</v>
      </c>
      <c r="K712" t="s">
        <v>15</v>
      </c>
      <c r="L712" t="s">
        <v>61</v>
      </c>
      <c r="M712" t="s">
        <v>391</v>
      </c>
      <c r="N712" t="str">
        <f>O712&amp;P712</f>
        <v>Яковлев Артем ИгоревичСтепанов Георгий Иванович</v>
      </c>
      <c r="O712" t="s">
        <v>21</v>
      </c>
      <c r="P712" t="s">
        <v>44</v>
      </c>
      <c r="Q712" t="s">
        <v>238</v>
      </c>
    </row>
    <row r="713">
      <c r="D713" t="s">
        <v>5</v>
      </c>
      <c r="E713" t="s">
        <v>214</v>
      </c>
      <c r="F713" t="str">
        <f>VLOOKUP(D713&amp;E713,J:M,4,0)</f>
        <v>2024-05-10</v>
      </c>
      <c r="G713" t="str">
        <f>VLOOKUP(D713&amp;E713,N:Q,4,0)</f>
        <v>2024-05-10</v>
      </c>
      <c r="H713">
        <f>G713-F713</f>
        <v>0</v>
      </c>
      <c r="J713" t="str">
        <f>K713&amp;L713</f>
        <v>Сидорова Елена ВасильевнаСтепанов Матвей Михайлович</v>
      </c>
      <c r="K713" t="s">
        <v>15</v>
      </c>
      <c r="L713" t="s">
        <v>144</v>
      </c>
      <c r="M713" t="s">
        <v>392</v>
      </c>
      <c r="N713" t="str">
        <f>O713&amp;P713</f>
        <v>Громова Мария ИльиничнаСтепанов Георгий Иванович</v>
      </c>
      <c r="O713" t="s">
        <v>13</v>
      </c>
      <c r="P713" t="s">
        <v>44</v>
      </c>
      <c r="Q713" t="s">
        <v>238</v>
      </c>
    </row>
    <row r="714">
      <c r="D714" t="s">
        <v>5</v>
      </c>
      <c r="E714" t="s">
        <v>92</v>
      </c>
      <c r="F714" t="str">
        <f>VLOOKUP(D714&amp;E714,J:M,4,0)</f>
        <v>2024-04-05</v>
      </c>
      <c r="G714" t="str">
        <f>VLOOKUP(D714&amp;E714,N:Q,4,0)</f>
        <v>2024-04-05</v>
      </c>
      <c r="H714">
        <f>G714-F714</f>
        <v>0</v>
      </c>
      <c r="J714" t="str">
        <f>K714&amp;L714</f>
        <v>Фролов Сергей ВикторовичСтепанова Людмила Никитична</v>
      </c>
      <c r="K714" t="s">
        <v>5</v>
      </c>
      <c r="L714" t="s">
        <v>153</v>
      </c>
      <c r="M714" t="s">
        <v>392</v>
      </c>
      <c r="N714" t="str">
        <f>O714&amp;P714</f>
        <v>Сидорова Елена ВасильевнаНовиков Илья Геннадьевич</v>
      </c>
      <c r="O714" t="s">
        <v>15</v>
      </c>
      <c r="P714" t="s">
        <v>241</v>
      </c>
      <c r="Q714" t="s">
        <v>238</v>
      </c>
    </row>
    <row r="715">
      <c r="D715" t="s">
        <v>5</v>
      </c>
      <c r="E715" t="s">
        <v>55</v>
      </c>
      <c r="F715" t="str">
        <f>VLOOKUP(D715&amp;E715,J:M,4,0)</f>
        <v>2024-02-19</v>
      </c>
      <c r="G715" t="str">
        <f>VLOOKUP(D715&amp;E715,N:Q,4,0)</f>
        <v>2024-06-10</v>
      </c>
      <c r="H715">
        <f>G715-F715</f>
        <v>112</v>
      </c>
      <c r="J715" t="str">
        <f>K715&amp;L715</f>
        <v>Громова Мария ИльиничнаВасильев Кирилл Иванович</v>
      </c>
      <c r="K715" t="s">
        <v>13</v>
      </c>
      <c r="L715" t="s">
        <v>284</v>
      </c>
      <c r="M715" t="s">
        <v>392</v>
      </c>
      <c r="N715" t="str">
        <f>O715&amp;P715</f>
        <v>Кузнецов Дмитрий ЛьвовичКозлов Дмитрий Сергеевич</v>
      </c>
      <c r="O715" t="s">
        <v>8</v>
      </c>
      <c r="P715" t="s">
        <v>222</v>
      </c>
      <c r="Q715" t="s">
        <v>236</v>
      </c>
    </row>
    <row r="716">
      <c r="D716" t="s">
        <v>5</v>
      </c>
      <c r="E716" t="s">
        <v>237</v>
      </c>
      <c r="F716" t="str">
        <f>VLOOKUP(D716&amp;E716,J:M,4,0)</f>
        <v>2024-05-06</v>
      </c>
      <c r="G716" t="str">
        <f>VLOOKUP(D716&amp;E716,N:Q,4,0)</f>
        <v>2024-05-06</v>
      </c>
      <c r="H716">
        <f>G716-F716</f>
        <v>0</v>
      </c>
      <c r="J716" t="str">
        <f>K716&amp;L716</f>
        <v>Семенова Ирина ВалерьевнаСмирнов Дмитрий Павлович</v>
      </c>
      <c r="K716" t="s">
        <v>57</v>
      </c>
      <c r="L716" t="s">
        <v>382</v>
      </c>
      <c r="M716" t="s">
        <v>392</v>
      </c>
      <c r="N716" t="str">
        <f>O716&amp;P716</f>
        <v>Иванова Анна СергеевнаСмирнова Ксения Андреевна</v>
      </c>
      <c r="O716" t="s">
        <v>11</v>
      </c>
      <c r="P716" t="s">
        <v>197</v>
      </c>
      <c r="Q716" t="s">
        <v>236</v>
      </c>
    </row>
    <row r="717">
      <c r="D717" t="s">
        <v>5</v>
      </c>
      <c r="E717" t="s">
        <v>132</v>
      </c>
      <c r="F717" t="str">
        <f>VLOOKUP(D717&amp;E717,J:M,4,0)</f>
        <v>2023-10-16</v>
      </c>
      <c r="G717" t="str">
        <f>VLOOKUP(D717&amp;E717,N:Q,4,0)</f>
        <v>2023-10-16</v>
      </c>
      <c r="H717">
        <f>G717-F717</f>
        <v>0</v>
      </c>
      <c r="J717" t="str">
        <f>K717&amp;L717</f>
        <v>Семенова Ирина ВалерьевнаСтепанов Кирилл Павлович</v>
      </c>
      <c r="K717" t="s">
        <v>57</v>
      </c>
      <c r="L717" t="s">
        <v>123</v>
      </c>
      <c r="M717" t="s">
        <v>392</v>
      </c>
      <c r="N717" t="str">
        <f>O717&amp;P717</f>
        <v>Кузнецов Дмитрий ЛьвовичПавлова Виктория Викторовна</v>
      </c>
      <c r="O717" t="s">
        <v>8</v>
      </c>
      <c r="P717" t="s">
        <v>77</v>
      </c>
      <c r="Q717" t="s">
        <v>236</v>
      </c>
    </row>
    <row r="718">
      <c r="D718" t="s">
        <v>5</v>
      </c>
      <c r="E718" t="s">
        <v>273</v>
      </c>
      <c r="F718" t="str">
        <f>VLOOKUP(D718&amp;E718,J:M,4,0)</f>
        <v>2024-03-13</v>
      </c>
      <c r="G718" t="str">
        <f>VLOOKUP(D718&amp;E718,N:Q,4,0)</f>
        <v>2024-03-13</v>
      </c>
      <c r="H718">
        <f>G718-F718</f>
        <v>0</v>
      </c>
      <c r="J718" t="str">
        <f>K718&amp;L718</f>
        <v>Кузнецов Дмитрий ЛьвовичКозлова София Олеговна</v>
      </c>
      <c r="K718" t="s">
        <v>8</v>
      </c>
      <c r="L718" t="s">
        <v>185</v>
      </c>
      <c r="M718" t="s">
        <v>392</v>
      </c>
      <c r="N718" t="str">
        <f>O718&amp;P718</f>
        <v>Кузнецов Дмитрий ЛьвовичПетрова Татьяна Дмитриевна</v>
      </c>
      <c r="O718" t="s">
        <v>8</v>
      </c>
      <c r="P718" t="s">
        <v>234</v>
      </c>
      <c r="Q718" t="s">
        <v>235</v>
      </c>
    </row>
    <row r="719">
      <c r="D719" t="s">
        <v>5</v>
      </c>
      <c r="E719" t="s">
        <v>342</v>
      </c>
      <c r="F719" t="str">
        <f>VLOOKUP(D719&amp;E719,J:M,4,0)</f>
        <v>2024-03-21</v>
      </c>
      <c r="G719" t="str">
        <f>VLOOKUP(D719&amp;E719,N:Q,4,0)</f>
        <v>2024-03-21</v>
      </c>
      <c r="H719">
        <f>G719-F719</f>
        <v>0</v>
      </c>
      <c r="J719" t="str">
        <f>K719&amp;L719</f>
        <v>Орлов Павел ДенисовичСидорова Екатерина Романовна</v>
      </c>
      <c r="K719" t="s">
        <v>43</v>
      </c>
      <c r="L719" t="s">
        <v>257</v>
      </c>
      <c r="M719" t="s">
        <v>392</v>
      </c>
      <c r="N719" t="str">
        <f>O719&amp;P719</f>
        <v>Орлов Павел ДенисовичПетров Сергей Александрович</v>
      </c>
      <c r="O719" t="s">
        <v>43</v>
      </c>
      <c r="P719" t="s">
        <v>89</v>
      </c>
      <c r="Q719" t="s">
        <v>235</v>
      </c>
    </row>
    <row r="720">
      <c r="D720" t="s">
        <v>5</v>
      </c>
      <c r="E720" t="s">
        <v>39</v>
      </c>
      <c r="F720" t="str">
        <f>VLOOKUP(D720&amp;E720,J:M,4,0)</f>
        <v>2024-07-10</v>
      </c>
      <c r="G720" t="str">
        <f>VLOOKUP(D720&amp;E720,N:Q,4,0)</f>
        <v>2024-07-10</v>
      </c>
      <c r="H720">
        <f>G720-F720</f>
        <v>0</v>
      </c>
      <c r="J720" t="str">
        <f>K720&amp;L720</f>
        <v>Громова Мария ИльиничнаСтепанов Андрей Алексеевич</v>
      </c>
      <c r="K720" t="s">
        <v>13</v>
      </c>
      <c r="L720" t="s">
        <v>310</v>
      </c>
      <c r="M720" t="s">
        <v>392</v>
      </c>
      <c r="N720" t="str">
        <f>O720&amp;P720</f>
        <v>Фролов Сергей ВикторовичКозлова Полина Викторовна</v>
      </c>
      <c r="O720" t="s">
        <v>5</v>
      </c>
      <c r="P720" t="s">
        <v>217</v>
      </c>
      <c r="Q720" t="s">
        <v>233</v>
      </c>
    </row>
    <row r="721">
      <c r="D721" t="s">
        <v>5</v>
      </c>
      <c r="E721" t="s">
        <v>68</v>
      </c>
      <c r="F721" t="str">
        <f>VLOOKUP(D721&amp;E721,J:M,4,0)</f>
        <v>2024-06-24</v>
      </c>
      <c r="G721" t="str">
        <f>VLOOKUP(D721&amp;E721,N:Q,4,0)</f>
        <v>2024-06-24</v>
      </c>
      <c r="H721">
        <f>G721-F721</f>
        <v>0</v>
      </c>
      <c r="J721" t="str">
        <f>K721&amp;L721</f>
        <v>Белов Алексей КонстантиновичВолкова Мария Ильинична</v>
      </c>
      <c r="K721" t="s">
        <v>47</v>
      </c>
      <c r="L721" t="s">
        <v>95</v>
      </c>
      <c r="M721" t="s">
        <v>392</v>
      </c>
      <c r="N721" t="str">
        <f>O721&amp;P721</f>
        <v>Ткаченко Андрей ОлеговичПопов Александр Владимирович</v>
      </c>
      <c r="O721" t="s">
        <v>24</v>
      </c>
      <c r="P721" t="s">
        <v>160</v>
      </c>
      <c r="Q721" t="s">
        <v>233</v>
      </c>
    </row>
    <row r="722">
      <c r="D722" t="s">
        <v>5</v>
      </c>
      <c r="E722" t="s">
        <v>65</v>
      </c>
      <c r="F722" t="str">
        <f>VLOOKUP(D722&amp;E722,J:M,4,0)</f>
        <v>2024-04-26</v>
      </c>
      <c r="G722" t="str">
        <f>VLOOKUP(D722&amp;E722,N:Q,4,0)</f>
        <v>2024-06-03</v>
      </c>
      <c r="H722">
        <f>G722-F722</f>
        <v>38</v>
      </c>
      <c r="J722" t="str">
        <f>K722&amp;L722</f>
        <v>Фролов Сергей ВикторовичЕгорова Валерия Сергеевна</v>
      </c>
      <c r="K722" t="s">
        <v>5</v>
      </c>
      <c r="L722" t="s">
        <v>85</v>
      </c>
      <c r="M722" t="s">
        <v>392</v>
      </c>
      <c r="N722" t="str">
        <f>O722&amp;P722</f>
        <v>Сидорова Елена ВасильевнаПетров Егор Викторович</v>
      </c>
      <c r="O722" t="s">
        <v>15</v>
      </c>
      <c r="P722" t="s">
        <v>117</v>
      </c>
      <c r="Q722" t="s">
        <v>233</v>
      </c>
    </row>
    <row r="723">
      <c r="D723" t="s">
        <v>5</v>
      </c>
      <c r="E723" t="s">
        <v>151</v>
      </c>
      <c r="F723" t="str">
        <f>VLOOKUP(D723&amp;E723,J:M,4,0)</f>
        <v>2024-02-16</v>
      </c>
      <c r="G723" t="str">
        <f>VLOOKUP(D723&amp;E723,N:Q,4,0)</f>
        <v>2024-02-16</v>
      </c>
      <c r="H723">
        <f>G723-F723</f>
        <v>0</v>
      </c>
      <c r="J723" t="str">
        <f>K723&amp;L723</f>
        <v>Семенова Ирина ВалерьевнаОрлова Вероника Сергеевна</v>
      </c>
      <c r="K723" t="s">
        <v>57</v>
      </c>
      <c r="L723" t="s">
        <v>246</v>
      </c>
      <c r="M723" t="s">
        <v>393</v>
      </c>
      <c r="N723" t="str">
        <f>O723&amp;P723</f>
        <v>Сидорова Елена ВасильевнаФедоров Роман Геннадьевич</v>
      </c>
      <c r="O723" t="s">
        <v>15</v>
      </c>
      <c r="P723" t="s">
        <v>178</v>
      </c>
      <c r="Q723" t="s">
        <v>232</v>
      </c>
    </row>
    <row r="724">
      <c r="D724" t="s">
        <v>5</v>
      </c>
      <c r="E724" t="s">
        <v>190</v>
      </c>
      <c r="F724" t="str">
        <f>VLOOKUP(D724&amp;E724,J:M,4,0)</f>
        <v>2023-11-21</v>
      </c>
      <c r="G724" t="str">
        <f>VLOOKUP(D724&amp;E724,N:Q,4,0)</f>
        <v>2024-01-31</v>
      </c>
      <c r="H724">
        <f>G724-F724</f>
        <v>71</v>
      </c>
      <c r="J724" t="str">
        <f>K724&amp;L724</f>
        <v>Белов Алексей КонстантиновичНовикова Ксения Алексеевна</v>
      </c>
      <c r="K724" t="s">
        <v>47</v>
      </c>
      <c r="L724" t="s">
        <v>147</v>
      </c>
      <c r="M724" t="s">
        <v>393</v>
      </c>
      <c r="N724" t="str">
        <f>O724&amp;P724</f>
        <v>Семенова Ирина ВалерьевнаИванов Никита Павлович</v>
      </c>
      <c r="O724" t="s">
        <v>57</v>
      </c>
      <c r="P724" t="s">
        <v>71</v>
      </c>
      <c r="Q724" t="s">
        <v>232</v>
      </c>
    </row>
    <row r="725">
      <c r="D725" t="s">
        <v>5</v>
      </c>
      <c r="E725" t="s">
        <v>186</v>
      </c>
      <c r="F725" t="str">
        <f>VLOOKUP(D725&amp;E725,J:M,4,0)</f>
        <v>2023-11-13</v>
      </c>
      <c r="G725" t="str">
        <f>VLOOKUP(D725&amp;E725,N:Q,4,0)</f>
        <v>2024-02-09</v>
      </c>
      <c r="H725">
        <f>G725-F725</f>
        <v>88</v>
      </c>
      <c r="J725" t="str">
        <f>K725&amp;L725</f>
        <v>Новикова Ольга ПетровнаПавлова Валерия Станиславовна</v>
      </c>
      <c r="K725" t="s">
        <v>17</v>
      </c>
      <c r="L725" t="s">
        <v>239</v>
      </c>
      <c r="M725" t="s">
        <v>394</v>
      </c>
      <c r="N725" t="str">
        <f>O725&amp;P725</f>
        <v>Белов Алексей КонстантиновичМорозова Наталья Алексеевна</v>
      </c>
      <c r="O725" t="s">
        <v>47</v>
      </c>
      <c r="P725" t="s">
        <v>209</v>
      </c>
      <c r="Q725" t="s">
        <v>232</v>
      </c>
    </row>
    <row r="726">
      <c r="D726" t="s">
        <v>5</v>
      </c>
      <c r="E726" t="s">
        <v>168</v>
      </c>
      <c r="F726" t="str">
        <f>VLOOKUP(D726&amp;E726,J:M,4,0)</f>
        <v>2023-12-11</v>
      </c>
      <c r="G726" t="str">
        <f>VLOOKUP(D726&amp;E726,N:Q,4,0)</f>
        <v>2023-12-11</v>
      </c>
      <c r="H726">
        <f>G726-F726</f>
        <v>0</v>
      </c>
      <c r="J726" t="str">
        <f>K726&amp;L726</f>
        <v>Кузнецов Дмитрий ЛьвовичПавлова Валерия Станиславовна</v>
      </c>
      <c r="K726" t="s">
        <v>8</v>
      </c>
      <c r="L726" t="s">
        <v>239</v>
      </c>
      <c r="M726" t="s">
        <v>395</v>
      </c>
      <c r="N726" t="str">
        <f>O726&amp;P726</f>
        <v>Фролов Сергей ВикторовичНиколаева Алиса Романовна</v>
      </c>
      <c r="O726" t="s">
        <v>5</v>
      </c>
      <c r="P726" t="s">
        <v>168</v>
      </c>
      <c r="Q726" t="s">
        <v>230</v>
      </c>
    </row>
    <row r="727">
      <c r="D727" t="s">
        <v>5</v>
      </c>
      <c r="E727" t="s">
        <v>252</v>
      </c>
      <c r="F727" t="str">
        <f>VLOOKUP(D727&amp;E727,J:M,4,0)</f>
        <v>2024-01-01</v>
      </c>
      <c r="G727" t="str">
        <f>VLOOKUP(D727&amp;E727,N:Q,4,0)</f>
        <v>2024-01-01</v>
      </c>
      <c r="H727">
        <f>G727-F727</f>
        <v>0</v>
      </c>
      <c r="J727" t="str">
        <f>K727&amp;L727</f>
        <v>Иванова Анна СергеевнаИванов Никита Павлович</v>
      </c>
      <c r="K727" t="s">
        <v>11</v>
      </c>
      <c r="L727" t="s">
        <v>71</v>
      </c>
      <c r="M727" t="s">
        <v>395</v>
      </c>
      <c r="N727" t="str">
        <f>O727&amp;P727</f>
        <v>Кузнецов Дмитрий ЛьвовичСидоров Алексей Кириллович</v>
      </c>
      <c r="O727" t="s">
        <v>8</v>
      </c>
      <c r="P727" t="s">
        <v>14</v>
      </c>
      <c r="Q727" t="s">
        <v>230</v>
      </c>
    </row>
    <row r="728">
      <c r="D728" t="s">
        <v>5</v>
      </c>
      <c r="E728" t="s">
        <v>227</v>
      </c>
      <c r="F728" t="str">
        <f>VLOOKUP(D728&amp;E728,J:M,4,0)</f>
        <v>2024-07-02</v>
      </c>
      <c r="G728" t="str">
        <f>VLOOKUP(D728&amp;E728,N:Q,4,0)</f>
        <v>2024-07-02</v>
      </c>
      <c r="H728">
        <f>G728-F728</f>
        <v>0</v>
      </c>
      <c r="J728" t="str">
        <f>K728&amp;L728</f>
        <v>Иванова Анна СергеевнаМорозова Татьяна Кирилловна</v>
      </c>
      <c r="K728" t="s">
        <v>11</v>
      </c>
      <c r="L728" t="s">
        <v>218</v>
      </c>
      <c r="M728" t="s">
        <v>395</v>
      </c>
      <c r="N728" t="str">
        <f>O728&amp;P728</f>
        <v>Сидорова Елена ВасильевнаВасильева Ирина Артемовна</v>
      </c>
      <c r="O728" t="s">
        <v>15</v>
      </c>
      <c r="P728" t="s">
        <v>231</v>
      </c>
      <c r="Q728" t="s">
        <v>230</v>
      </c>
    </row>
    <row r="729">
      <c r="D729" t="s">
        <v>5</v>
      </c>
      <c r="E729" t="s">
        <v>270</v>
      </c>
      <c r="F729" t="str">
        <f>VLOOKUP(D729&amp;E729,J:M,4,0)</f>
        <v>2024-01-30</v>
      </c>
      <c r="G729" t="str">
        <f>VLOOKUP(D729&amp;E729,N:Q,4,0)</f>
        <v>2024-01-30</v>
      </c>
      <c r="H729">
        <f>G729-F729</f>
        <v>0</v>
      </c>
      <c r="J729" t="str">
        <f>K729&amp;L729</f>
        <v>Белов Алексей КонстантиновичПавлов Илья Артемович</v>
      </c>
      <c r="K729" t="s">
        <v>47</v>
      </c>
      <c r="L729" t="s">
        <v>158</v>
      </c>
      <c r="M729" t="s">
        <v>396</v>
      </c>
      <c r="N729" t="str">
        <f>O729&amp;P729</f>
        <v>Яковлев Артем ИгоревичСидоров Алексей Кириллович</v>
      </c>
      <c r="O729" t="s">
        <v>21</v>
      </c>
      <c r="P729" t="s">
        <v>14</v>
      </c>
      <c r="Q729" t="s">
        <v>230</v>
      </c>
    </row>
    <row r="730">
      <c r="D730" t="s">
        <v>5</v>
      </c>
      <c r="E730" t="s">
        <v>73</v>
      </c>
      <c r="F730" t="str">
        <f>VLOOKUP(D730&amp;E730,J:M,4,0)</f>
        <v>2023-09-22</v>
      </c>
      <c r="G730" t="str">
        <f>VLOOKUP(D730&amp;E730,N:Q,4,0)</f>
        <v>2023-09-22</v>
      </c>
      <c r="H730">
        <f>G730-F730</f>
        <v>0</v>
      </c>
      <c r="J730" t="str">
        <f>K730&amp;L730</f>
        <v>Иванова Анна СергеевнаПетров Михаил Егорович</v>
      </c>
      <c r="K730" t="s">
        <v>11</v>
      </c>
      <c r="L730" t="s">
        <v>149</v>
      </c>
      <c r="M730" t="s">
        <v>396</v>
      </c>
      <c r="N730" t="str">
        <f>O730&amp;P730</f>
        <v>Орлов Павел ДенисовичМорозова Светлана Сергеевна</v>
      </c>
      <c r="O730" t="s">
        <v>43</v>
      </c>
      <c r="P730" t="s">
        <v>108</v>
      </c>
      <c r="Q730" t="s">
        <v>230</v>
      </c>
    </row>
    <row r="731">
      <c r="D731" t="s">
        <v>5</v>
      </c>
      <c r="E731" t="s">
        <v>184</v>
      </c>
      <c r="F731" t="str">
        <f>VLOOKUP(D731&amp;E731,J:M,4,0)</f>
        <v>2023-11-13</v>
      </c>
      <c r="G731" t="str">
        <f>VLOOKUP(D731&amp;E731,N:Q,4,0)</f>
        <v>2023-11-13</v>
      </c>
      <c r="H731">
        <f>G731-F731</f>
        <v>0</v>
      </c>
      <c r="J731" t="str">
        <f>K731&amp;L731</f>
        <v>Петров Владимир КирилловичМорозов Матвей Романович</v>
      </c>
      <c r="K731" t="s">
        <v>28</v>
      </c>
      <c r="L731" t="s">
        <v>39</v>
      </c>
      <c r="M731" t="s">
        <v>397</v>
      </c>
      <c r="N731" t="str">
        <f>O731&amp;P731</f>
        <v>Белов Алексей КонстантиновичСидоров Сергей Егорович</v>
      </c>
      <c r="O731" t="s">
        <v>47</v>
      </c>
      <c r="P731" t="s">
        <v>128</v>
      </c>
      <c r="Q731" t="s">
        <v>230</v>
      </c>
    </row>
    <row r="732">
      <c r="D732" t="s">
        <v>5</v>
      </c>
      <c r="E732" t="s">
        <v>35</v>
      </c>
      <c r="F732" t="str">
        <f>VLOOKUP(D732&amp;E732,J:M,4,0)</f>
        <v>2024-04-01</v>
      </c>
      <c r="G732" t="str">
        <f>VLOOKUP(D732&amp;E732,N:Q,4,0)</f>
        <v>2024-04-01</v>
      </c>
      <c r="H732">
        <f>G732-F732</f>
        <v>0</v>
      </c>
      <c r="J732" t="str">
        <f>K732&amp;L732</f>
        <v>Кузнецов Дмитрий ЛьвовичСеменов Алексей Михайлович</v>
      </c>
      <c r="K732" t="s">
        <v>8</v>
      </c>
      <c r="L732" t="s">
        <v>299</v>
      </c>
      <c r="M732" t="s">
        <v>397</v>
      </c>
      <c r="N732" t="str">
        <f>O732&amp;P732</f>
        <v>Фролов Сергей ВикторовичЕгоров Никита Станиславович</v>
      </c>
      <c r="O732" t="s">
        <v>5</v>
      </c>
      <c r="P732" t="s">
        <v>49</v>
      </c>
      <c r="Q732" t="s">
        <v>230</v>
      </c>
    </row>
    <row r="733">
      <c r="D733" t="s">
        <v>5</v>
      </c>
      <c r="E733" t="s">
        <v>147</v>
      </c>
      <c r="F733" t="str">
        <f>VLOOKUP(D733&amp;E733,J:M,4,0)</f>
        <v>2024-06-11</v>
      </c>
      <c r="G733" t="str">
        <f>VLOOKUP(D733&amp;E733,N:Q,4,0)</f>
        <v>2024-06-11</v>
      </c>
      <c r="H733">
        <f>G733-F733</f>
        <v>0</v>
      </c>
      <c r="J733" t="str">
        <f>K733&amp;L733</f>
        <v>Кузнецов Дмитрий ЛьвовичСеменов Михаил Никитич</v>
      </c>
      <c r="K733" t="s">
        <v>8</v>
      </c>
      <c r="L733" t="s">
        <v>172</v>
      </c>
      <c r="M733" t="s">
        <v>397</v>
      </c>
      <c r="N733" t="str">
        <f>O733&amp;P733</f>
        <v>Сидорова Елена ВасильевнаПавлова Виктория Викторовна</v>
      </c>
      <c r="O733" t="s">
        <v>15</v>
      </c>
      <c r="P733" t="s">
        <v>77</v>
      </c>
      <c r="Q733" t="s">
        <v>229</v>
      </c>
    </row>
    <row r="734">
      <c r="D734" t="s">
        <v>5</v>
      </c>
      <c r="E734" t="s">
        <v>116</v>
      </c>
      <c r="F734" t="str">
        <f>VLOOKUP(D734&amp;E734,J:M,4,0)</f>
        <v>2024-03-22</v>
      </c>
      <c r="G734" t="str">
        <f>VLOOKUP(D734&amp;E734,N:Q,4,0)</f>
        <v>2024-03-22</v>
      </c>
      <c r="H734">
        <f>G734-F734</f>
        <v>0</v>
      </c>
      <c r="J734" t="str">
        <f>K734&amp;L734</f>
        <v>Новикова Ольга ПетровнаНовиков Дмитрий Иванович</v>
      </c>
      <c r="K734" t="s">
        <v>17</v>
      </c>
      <c r="L734" t="s">
        <v>184</v>
      </c>
      <c r="M734" t="s">
        <v>397</v>
      </c>
      <c r="N734" t="str">
        <f>O734&amp;P734</f>
        <v>Петров Владимир КирилловичНиколаева Дарья Юрьевна</v>
      </c>
      <c r="O734" t="s">
        <v>28</v>
      </c>
      <c r="P734" t="s">
        <v>227</v>
      </c>
      <c r="Q734" t="s">
        <v>228</v>
      </c>
    </row>
    <row r="735">
      <c r="D735" t="s">
        <v>5</v>
      </c>
      <c r="E735" t="s">
        <v>170</v>
      </c>
      <c r="F735" t="str">
        <f>VLOOKUP(D735&amp;E735,J:M,4,0)</f>
        <v>2024-03-15</v>
      </c>
      <c r="G735" t="str">
        <f>VLOOKUP(D735&amp;E735,N:Q,4,0)</f>
        <v>2024-03-15</v>
      </c>
      <c r="H735">
        <f>G735-F735</f>
        <v>0</v>
      </c>
      <c r="J735" t="str">
        <f>K735&amp;L735</f>
        <v>Новикова Ольга ПетровнаИванова София Геннадьевна</v>
      </c>
      <c r="K735" t="s">
        <v>17</v>
      </c>
      <c r="L735" t="s">
        <v>121</v>
      </c>
      <c r="M735" t="s">
        <v>397</v>
      </c>
      <c r="N735" t="str">
        <f>O735&amp;P735</f>
        <v>Сидорова Елена ВасильевнаНиколаева Наталья Сергеевна</v>
      </c>
      <c r="O735" t="s">
        <v>15</v>
      </c>
      <c r="P735" t="s">
        <v>225</v>
      </c>
      <c r="Q735" t="s">
        <v>226</v>
      </c>
    </row>
    <row r="736">
      <c r="D736" t="s">
        <v>5</v>
      </c>
      <c r="E736" t="s">
        <v>6</v>
      </c>
      <c r="F736" t="str">
        <f>VLOOKUP(D736&amp;E736,J:M,4,0)</f>
        <v>2023-09-01</v>
      </c>
      <c r="G736" t="str">
        <f>VLOOKUP(D736&amp;E736,N:Q,4,0)</f>
        <v>2023-09-01</v>
      </c>
      <c r="H736">
        <f>G736-F736</f>
        <v>0</v>
      </c>
      <c r="J736" t="str">
        <f>K736&amp;L736</f>
        <v>Ткаченко Андрей ОлеговичПавлова Елена Викторовна</v>
      </c>
      <c r="K736" t="s">
        <v>24</v>
      </c>
      <c r="L736" t="s">
        <v>305</v>
      </c>
      <c r="M736" t="s">
        <v>397</v>
      </c>
      <c r="N736" t="str">
        <f>O736&amp;P736</f>
        <v>Громова Мария ИльиничнаВолкова Анна Кирилловна</v>
      </c>
      <c r="O736" t="s">
        <v>13</v>
      </c>
      <c r="P736" t="s">
        <v>223</v>
      </c>
      <c r="Q736" t="s">
        <v>224</v>
      </c>
    </row>
    <row r="737">
      <c r="D737" t="s">
        <v>5</v>
      </c>
      <c r="E737" t="s">
        <v>246</v>
      </c>
      <c r="F737" t="str">
        <f>VLOOKUP(D737&amp;E737,J:M,4,0)</f>
        <v>2024-07-09</v>
      </c>
      <c r="G737" t="str">
        <f>VLOOKUP(D737&amp;E737,N:Q,4,0)</f>
        <v>2024-07-09</v>
      </c>
      <c r="H737">
        <f>G737-F737</f>
        <v>0</v>
      </c>
      <c r="J737" t="str">
        <f>K737&amp;L737</f>
        <v>Новикова Ольга ПетровнаКузнецов Алексей Иванович</v>
      </c>
      <c r="K737" t="s">
        <v>17</v>
      </c>
      <c r="L737" t="s">
        <v>110</v>
      </c>
      <c r="M737" t="s">
        <v>397</v>
      </c>
      <c r="N737" t="str">
        <f>O737&amp;P737</f>
        <v>Фролов Сергей ВикторовичСмирнова Валерия Викторовна</v>
      </c>
      <c r="O737" t="s">
        <v>5</v>
      </c>
      <c r="P737" t="s">
        <v>63</v>
      </c>
      <c r="Q737" t="s">
        <v>224</v>
      </c>
    </row>
    <row r="738">
      <c r="D738" t="s">
        <v>5</v>
      </c>
      <c r="E738" t="s">
        <v>131</v>
      </c>
      <c r="F738" t="str">
        <f>VLOOKUP(D738&amp;E738,J:M,4,0)</f>
        <v>2023-10-16</v>
      </c>
      <c r="G738" t="str">
        <f>VLOOKUP(D738&amp;E738,N:Q,4,0)</f>
        <v>2024-04-22</v>
      </c>
      <c r="H738">
        <f>G738-F738</f>
        <v>189</v>
      </c>
      <c r="J738" t="str">
        <f>K738&amp;L738</f>
        <v>Петров Владимир КирилловичОрлова Дарья Сергеевна</v>
      </c>
      <c r="K738" t="s">
        <v>28</v>
      </c>
      <c r="L738" t="s">
        <v>97</v>
      </c>
      <c r="M738" t="s">
        <v>397</v>
      </c>
      <c r="N738" t="str">
        <f>O738&amp;P738</f>
        <v>Петров Владимир КирилловичИванов Матвей Юрьевич</v>
      </c>
      <c r="O738" t="s">
        <v>28</v>
      </c>
      <c r="P738" t="s">
        <v>16</v>
      </c>
      <c r="Q738" t="s">
        <v>224</v>
      </c>
    </row>
    <row r="739">
      <c r="D739" t="s">
        <v>5</v>
      </c>
      <c r="E739" t="s">
        <v>25</v>
      </c>
      <c r="F739" t="str">
        <f>VLOOKUP(D739&amp;E739,J:M,4,0)</f>
        <v>2023-11-06</v>
      </c>
      <c r="G739" t="str">
        <f>VLOOKUP(D739&amp;E739,N:Q,4,0)</f>
        <v>2023-11-06</v>
      </c>
      <c r="H739">
        <f>G739-F739</f>
        <v>0</v>
      </c>
      <c r="J739" t="str">
        <f>K739&amp;L739</f>
        <v>Ткаченко Андрей ОлеговичМорозова Светлана Сергеевна</v>
      </c>
      <c r="K739" t="s">
        <v>24</v>
      </c>
      <c r="L739" t="s">
        <v>108</v>
      </c>
      <c r="M739" t="s">
        <v>397</v>
      </c>
      <c r="N739" t="str">
        <f>O739&amp;P739</f>
        <v>Новикова Ольга ПетровнаНиколаев Егор Романович</v>
      </c>
      <c r="O739" t="s">
        <v>17</v>
      </c>
      <c r="P739" t="s">
        <v>220</v>
      </c>
      <c r="Q739" t="s">
        <v>221</v>
      </c>
    </row>
    <row r="740">
      <c r="D740" t="s">
        <v>5</v>
      </c>
      <c r="E740" t="s">
        <v>160</v>
      </c>
      <c r="F740" t="str">
        <f>VLOOKUP(D740&amp;E740,J:M,4,0)</f>
        <v>2023-10-30</v>
      </c>
      <c r="G740" t="str">
        <f>VLOOKUP(D740&amp;E740,N:Q,4,0)</f>
        <v>2023-10-30</v>
      </c>
      <c r="H740">
        <f>G740-F740</f>
        <v>0</v>
      </c>
      <c r="J740" t="str">
        <f>K740&amp;L740</f>
        <v>Громова Мария ИльиничнаКузнецова София Александровна</v>
      </c>
      <c r="K740" t="s">
        <v>13</v>
      </c>
      <c r="L740" t="s">
        <v>40</v>
      </c>
      <c r="M740" t="s">
        <v>397</v>
      </c>
      <c r="N740" t="str">
        <f>O740&amp;P740</f>
        <v>Ткаченко Андрей ОлеговичЕгоров Владимир Артемович</v>
      </c>
      <c r="O740" t="s">
        <v>24</v>
      </c>
      <c r="P740" t="s">
        <v>26</v>
      </c>
      <c r="Q740" t="s">
        <v>221</v>
      </c>
    </row>
    <row r="741">
      <c r="D741" t="s">
        <v>5</v>
      </c>
      <c r="E741" t="s">
        <v>181</v>
      </c>
      <c r="F741" t="str">
        <f>VLOOKUP(D741&amp;E741,J:M,4,0)</f>
        <v>2023-11-10</v>
      </c>
      <c r="G741" t="str">
        <f>VLOOKUP(D741&amp;E741,N:Q,4,0)</f>
        <v>2023-11-10</v>
      </c>
      <c r="H741">
        <f>G741-F741</f>
        <v>0</v>
      </c>
      <c r="J741" t="str">
        <f>K741&amp;L741</f>
        <v>Кузнецов Дмитрий ЛьвовичОрлова Полина Никитична</v>
      </c>
      <c r="K741" t="s">
        <v>8</v>
      </c>
      <c r="L741" t="s">
        <v>200</v>
      </c>
      <c r="M741" t="s">
        <v>398</v>
      </c>
      <c r="N741" t="str">
        <f>O741&amp;P741</f>
        <v>Белов Алексей КонстантиновичАлексеев Иван Иванович</v>
      </c>
      <c r="O741" t="s">
        <v>47</v>
      </c>
      <c r="P741" t="s">
        <v>70</v>
      </c>
      <c r="Q741" t="s">
        <v>221</v>
      </c>
    </row>
    <row r="742">
      <c r="D742" t="s">
        <v>5</v>
      </c>
      <c r="E742" t="s">
        <v>20</v>
      </c>
      <c r="F742" t="str">
        <f>VLOOKUP(D742&amp;E742,J:M,4,0)</f>
        <v>2024-08-05</v>
      </c>
      <c r="G742" t="str">
        <f>VLOOKUP(D742&amp;E742,N:Q,4,0)</f>
        <v>2024-08-05</v>
      </c>
      <c r="H742">
        <f>G742-F742</f>
        <v>0</v>
      </c>
      <c r="J742" t="str">
        <f>K742&amp;L742</f>
        <v>Яковлев Артем ИгоревичНовиков Дмитрий Иванович</v>
      </c>
      <c r="K742" t="s">
        <v>21</v>
      </c>
      <c r="L742" t="s">
        <v>184</v>
      </c>
      <c r="M742" t="s">
        <v>399</v>
      </c>
      <c r="N742" t="str">
        <f>O742&amp;P742</f>
        <v>Иванова Анна СергеевнаПопова Светлана Дмитриевна</v>
      </c>
      <c r="O742" t="s">
        <v>11</v>
      </c>
      <c r="P742" t="s">
        <v>69</v>
      </c>
      <c r="Q742" t="s">
        <v>221</v>
      </c>
    </row>
    <row r="743">
      <c r="D743" t="s">
        <v>5</v>
      </c>
      <c r="E743" t="s">
        <v>172</v>
      </c>
      <c r="F743" t="str">
        <f>VLOOKUP(D743&amp;E743,J:M,4,0)</f>
        <v>2024-05-10</v>
      </c>
      <c r="G743" t="str">
        <f>VLOOKUP(D743&amp;E743,N:Q,4,0)</f>
        <v>2024-05-10</v>
      </c>
      <c r="H743">
        <f>G743-F743</f>
        <v>0</v>
      </c>
      <c r="J743" t="str">
        <f>K743&amp;L743</f>
        <v>Белов Алексей КонстантиновичАлексеева Анна Олеговна</v>
      </c>
      <c r="K743" t="s">
        <v>47</v>
      </c>
      <c r="L743" t="s">
        <v>339</v>
      </c>
      <c r="M743" t="s">
        <v>399</v>
      </c>
      <c r="N743" t="str">
        <f>O743&amp;P743</f>
        <v>Семенова Ирина ВалерьевнаКузнецов Алексей Иванович</v>
      </c>
      <c r="O743" t="s">
        <v>57</v>
      </c>
      <c r="P743" t="s">
        <v>110</v>
      </c>
      <c r="Q743" t="s">
        <v>221</v>
      </c>
    </row>
    <row r="744">
      <c r="D744" t="s">
        <v>5</v>
      </c>
      <c r="E744" t="s">
        <v>308</v>
      </c>
      <c r="F744" t="str">
        <f>VLOOKUP(D744&amp;E744,J:M,4,0)</f>
        <v>2024-02-09</v>
      </c>
      <c r="G744" t="str">
        <f>VLOOKUP(D744&amp;E744,N:Q,4,0)</f>
        <v>2024-02-09</v>
      </c>
      <c r="H744">
        <f>G744-F744</f>
        <v>0</v>
      </c>
      <c r="J744" t="str">
        <f>K744&amp;L744</f>
        <v>Кузнецов Дмитрий ЛьвовичСтепанова Людмила Никитична</v>
      </c>
      <c r="K744" t="s">
        <v>8</v>
      </c>
      <c r="L744" t="s">
        <v>153</v>
      </c>
      <c r="M744" t="s">
        <v>400</v>
      </c>
      <c r="N744" t="str">
        <f>O744&amp;P744</f>
        <v>Сидорова Елена ВасильевнаКозлов Дмитрий Сергеевич</v>
      </c>
      <c r="O744" t="s">
        <v>15</v>
      </c>
      <c r="P744" t="s">
        <v>222</v>
      </c>
      <c r="Q744" t="s">
        <v>221</v>
      </c>
    </row>
    <row r="745">
      <c r="D745" t="s">
        <v>5</v>
      </c>
      <c r="E745" t="s">
        <v>14</v>
      </c>
      <c r="F745" t="str">
        <f>VLOOKUP(D745&amp;E745,J:M,4,0)</f>
        <v>2023-09-11</v>
      </c>
      <c r="G745" t="str">
        <f>VLOOKUP(D745&amp;E745,N:Q,4,0)</f>
        <v>2023-09-11</v>
      </c>
      <c r="H745">
        <f>G745-F745</f>
        <v>0</v>
      </c>
      <c r="J745" t="str">
        <f>K745&amp;L745</f>
        <v>Ткаченко Андрей ОлеговичСеменов Михаил Никитич</v>
      </c>
      <c r="K745" t="s">
        <v>24</v>
      </c>
      <c r="L745" t="s">
        <v>172</v>
      </c>
      <c r="M745" t="s">
        <v>400</v>
      </c>
      <c r="N745" t="str">
        <f>O745&amp;P745</f>
        <v>Ткаченко Андрей ОлеговичНиколаев Артур Артемович</v>
      </c>
      <c r="O745" t="s">
        <v>24</v>
      </c>
      <c r="P745" t="s">
        <v>151</v>
      </c>
      <c r="Q745" t="s">
        <v>221</v>
      </c>
    </row>
    <row r="746">
      <c r="D746" t="s">
        <v>5</v>
      </c>
      <c r="E746" t="s">
        <v>50</v>
      </c>
      <c r="F746" t="str">
        <f>VLOOKUP(D746&amp;E746,J:M,4,0)</f>
        <v>2024-03-08</v>
      </c>
      <c r="G746" t="str">
        <f>VLOOKUP(D746&amp;E746,N:Q,4,0)</f>
        <v>2024-03-08</v>
      </c>
      <c r="H746">
        <f>G746-F746</f>
        <v>0</v>
      </c>
      <c r="J746" t="str">
        <f>K746&amp;L746</f>
        <v>Громова Мария ИльиничнаПопова Светлана Дмитриевна</v>
      </c>
      <c r="K746" t="s">
        <v>13</v>
      </c>
      <c r="L746" t="s">
        <v>69</v>
      </c>
      <c r="M746" t="s">
        <v>400</v>
      </c>
      <c r="N746" t="str">
        <f>O746&amp;P746</f>
        <v>Белов Алексей КонстантиновичМорозова Татьяна Кирилловна</v>
      </c>
      <c r="O746" t="s">
        <v>47</v>
      </c>
      <c r="P746" t="s">
        <v>218</v>
      </c>
      <c r="Q746" t="s">
        <v>219</v>
      </c>
    </row>
    <row r="747">
      <c r="D747" t="s">
        <v>5</v>
      </c>
      <c r="E747" t="s">
        <v>128</v>
      </c>
      <c r="F747" t="str">
        <f>VLOOKUP(D747&amp;E747,J:M,4,0)</f>
        <v>2024-02-08</v>
      </c>
      <c r="G747" t="str">
        <f>VLOOKUP(D747&amp;E747,N:Q,4,0)</f>
        <v>2024-02-08</v>
      </c>
      <c r="H747">
        <f>G747-F747</f>
        <v>0</v>
      </c>
      <c r="J747" t="str">
        <f>K747&amp;L747</f>
        <v>Белов Алексей КонстантиновичВасильев Дмитрий Алексеевич</v>
      </c>
      <c r="K747" t="s">
        <v>47</v>
      </c>
      <c r="L747" t="s">
        <v>18</v>
      </c>
      <c r="M747" t="s">
        <v>400</v>
      </c>
      <c r="N747" t="str">
        <f>O747&amp;P747</f>
        <v>Иванова Анна СергеевнаНовиков Дмитрий Иванович</v>
      </c>
      <c r="O747" t="s">
        <v>11</v>
      </c>
      <c r="P747" t="s">
        <v>184</v>
      </c>
      <c r="Q747" t="s">
        <v>216</v>
      </c>
    </row>
    <row r="748">
      <c r="D748" t="s">
        <v>5</v>
      </c>
      <c r="E748" t="s">
        <v>254</v>
      </c>
      <c r="F748" t="str">
        <f>VLOOKUP(D748&amp;E748,J:M,4,0)</f>
        <v>2024-07-05</v>
      </c>
      <c r="G748" t="str">
        <f>VLOOKUP(D748&amp;E748,N:Q,4,0)</f>
        <v>2024-07-05</v>
      </c>
      <c r="H748">
        <f>G748-F748</f>
        <v>0</v>
      </c>
      <c r="J748" t="str">
        <f>K748&amp;L748</f>
        <v>Кузнецов Дмитрий ЛьвовичВолкова Анна Кирилловна</v>
      </c>
      <c r="K748" t="s">
        <v>8</v>
      </c>
      <c r="L748" t="s">
        <v>223</v>
      </c>
      <c r="M748" t="s">
        <v>401</v>
      </c>
      <c r="N748" t="str">
        <f>O748&amp;P748</f>
        <v>Орлов Павел ДенисовичСтепанов Георгий Иванович</v>
      </c>
      <c r="O748" t="s">
        <v>43</v>
      </c>
      <c r="P748" t="s">
        <v>44</v>
      </c>
      <c r="Q748" t="s">
        <v>216</v>
      </c>
    </row>
    <row r="749">
      <c r="D749" t="s">
        <v>5</v>
      </c>
      <c r="E749" t="s">
        <v>374</v>
      </c>
      <c r="F749" t="str">
        <f>VLOOKUP(D749&amp;E749,J:M,4,0)</f>
        <v>2024-04-25</v>
      </c>
      <c r="G749" t="str">
        <f>VLOOKUP(D749&amp;E749,N:Q,4,0)</f>
        <v>2024-04-25</v>
      </c>
      <c r="H749">
        <f>G749-F749</f>
        <v>0</v>
      </c>
      <c r="J749" t="str">
        <f>K749&amp;L749</f>
        <v>Кузнецов Дмитрий ЛьвовичНовиков Илья Геннадьевич</v>
      </c>
      <c r="K749" t="s">
        <v>8</v>
      </c>
      <c r="L749" t="s">
        <v>241</v>
      </c>
      <c r="M749" t="s">
        <v>402</v>
      </c>
      <c r="N749" t="str">
        <f>O749&amp;P749</f>
        <v>Семенова Ирина ВалерьевнаКозлова Полина Викторовна</v>
      </c>
      <c r="O749" t="s">
        <v>57</v>
      </c>
      <c r="P749" t="s">
        <v>217</v>
      </c>
      <c r="Q749" t="s">
        <v>216</v>
      </c>
    </row>
    <row r="750">
      <c r="D750" t="s">
        <v>5</v>
      </c>
      <c r="E750" t="s">
        <v>31</v>
      </c>
      <c r="F750" t="str">
        <f>VLOOKUP(D750&amp;E750,J:M,4,0)</f>
        <v>2024-06-20</v>
      </c>
      <c r="G750" t="str">
        <f>VLOOKUP(D750&amp;E750,N:Q,4,0)</f>
        <v>2024-06-20</v>
      </c>
      <c r="H750">
        <f>G750-F750</f>
        <v>0</v>
      </c>
      <c r="J750" t="str">
        <f>K750&amp;L750</f>
        <v>Новикова Ольга ПетровнаКозлов Артур Андреевич</v>
      </c>
      <c r="K750" t="s">
        <v>17</v>
      </c>
      <c r="L750" t="s">
        <v>98</v>
      </c>
      <c r="M750" t="s">
        <v>402</v>
      </c>
      <c r="N750" t="str">
        <f>O750&amp;P750</f>
        <v>Новикова Ольга ПетровнаПетров Михаил Егорович</v>
      </c>
      <c r="O750" t="s">
        <v>17</v>
      </c>
      <c r="P750" t="s">
        <v>149</v>
      </c>
      <c r="Q750" t="s">
        <v>216</v>
      </c>
    </row>
    <row r="751">
      <c r="D751" t="s">
        <v>5</v>
      </c>
      <c r="E751" t="s">
        <v>63</v>
      </c>
      <c r="F751" t="str">
        <f>VLOOKUP(D751&amp;E751,J:M,4,0)</f>
        <v>2023-12-05</v>
      </c>
      <c r="G751" t="str">
        <f>VLOOKUP(D751&amp;E751,N:Q,4,0)</f>
        <v>2023-12-05</v>
      </c>
      <c r="H751">
        <f>G751-F751</f>
        <v>0</v>
      </c>
      <c r="J751" t="str">
        <f>K751&amp;L751</f>
        <v>Семенова Ирина ВалерьевнаПетров Андрей Алексеевич</v>
      </c>
      <c r="K751" t="s">
        <v>57</v>
      </c>
      <c r="L751" t="s">
        <v>58</v>
      </c>
      <c r="M751" t="s">
        <v>402</v>
      </c>
      <c r="N751" t="str">
        <f>O751&amp;P751</f>
        <v>Новикова Ольга ПетровнаСмирнова Екатерина Егоровна</v>
      </c>
      <c r="O751" t="s">
        <v>17</v>
      </c>
      <c r="P751" t="s">
        <v>212</v>
      </c>
      <c r="Q751" t="s">
        <v>213</v>
      </c>
    </row>
    <row r="752">
      <c r="D752" t="s">
        <v>5</v>
      </c>
      <c r="E752" t="s">
        <v>197</v>
      </c>
      <c r="F752" t="str">
        <f>VLOOKUP(D752&amp;E752,J:M,4,0)</f>
        <v>2023-11-20</v>
      </c>
      <c r="G752" t="str">
        <f>VLOOKUP(D752&amp;E752,N:Q,4,0)</f>
        <v>2023-11-20</v>
      </c>
      <c r="H752">
        <f>G752-F752</f>
        <v>0</v>
      </c>
      <c r="J752" t="str">
        <f>K752&amp;L752</f>
        <v>Ткаченко Андрей ОлеговичСтепанова Людмила Никитична</v>
      </c>
      <c r="K752" t="s">
        <v>24</v>
      </c>
      <c r="L752" t="s">
        <v>153</v>
      </c>
      <c r="M752" t="s">
        <v>402</v>
      </c>
      <c r="N752" t="str">
        <f>O752&amp;P752</f>
        <v>Сидорова Елена ВасильевнаНиколаев Артур Артемович</v>
      </c>
      <c r="O752" t="s">
        <v>15</v>
      </c>
      <c r="P752" t="s">
        <v>151</v>
      </c>
      <c r="Q752" t="s">
        <v>213</v>
      </c>
    </row>
    <row r="753">
      <c r="D753" t="s">
        <v>5</v>
      </c>
      <c r="E753" t="s">
        <v>331</v>
      </c>
      <c r="F753" t="str">
        <f>VLOOKUP(D753&amp;E753,J:M,4,0)</f>
        <v>2024-03-06</v>
      </c>
      <c r="G753" t="str">
        <f>VLOOKUP(D753&amp;E753,N:Q,4,0)</f>
        <v>2024-03-06</v>
      </c>
      <c r="H753">
        <f>G753-F753</f>
        <v>0</v>
      </c>
      <c r="J753" t="str">
        <f>K753&amp;L753</f>
        <v>Фролов Сергей ВикторовичМорозова Екатерина Олеговна</v>
      </c>
      <c r="K753" t="s">
        <v>5</v>
      </c>
      <c r="L753" t="s">
        <v>65</v>
      </c>
      <c r="M753" t="s">
        <v>402</v>
      </c>
      <c r="N753" t="str">
        <f>O753&amp;P753</f>
        <v>Громова Мария ИльиничнаПетров Павел Михайлович</v>
      </c>
      <c r="O753" t="s">
        <v>13</v>
      </c>
      <c r="P753" t="s">
        <v>211</v>
      </c>
      <c r="Q753" t="s">
        <v>213</v>
      </c>
    </row>
    <row r="754">
      <c r="D754" t="s">
        <v>5</v>
      </c>
      <c r="E754" t="s">
        <v>302</v>
      </c>
      <c r="F754" t="str">
        <f>VLOOKUP(D754&amp;E754,J:M,4,0)</f>
        <v>2024-02-06</v>
      </c>
      <c r="G754" t="str">
        <f>VLOOKUP(D754&amp;E754,N:Q,4,0)</f>
        <v>2024-02-06</v>
      </c>
      <c r="H754">
        <f>G754-F754</f>
        <v>0</v>
      </c>
      <c r="J754" t="str">
        <f>K754&amp;L754</f>
        <v>Кузнецов Дмитрий ЛьвовичСеменов Сергей Викторович</v>
      </c>
      <c r="K754" t="s">
        <v>8</v>
      </c>
      <c r="L754" t="s">
        <v>30</v>
      </c>
      <c r="M754" t="s">
        <v>402</v>
      </c>
      <c r="N754" t="str">
        <f>O754&amp;P754</f>
        <v>Яковлев Артем ИгоревичКузнецова Дарья Ильинична</v>
      </c>
      <c r="O754" t="s">
        <v>21</v>
      </c>
      <c r="P754" t="s">
        <v>214</v>
      </c>
      <c r="Q754" t="s">
        <v>213</v>
      </c>
    </row>
    <row r="755">
      <c r="D755" t="s">
        <v>5</v>
      </c>
      <c r="E755" t="s">
        <v>123</v>
      </c>
      <c r="F755" t="str">
        <f>VLOOKUP(D755&amp;E755,J:M,4,0)</f>
        <v>2024-05-01</v>
      </c>
      <c r="G755" t="str">
        <f>VLOOKUP(D755&amp;E755,N:Q,4,0)</f>
        <v>2024-05-01</v>
      </c>
      <c r="H755">
        <f>G755-F755</f>
        <v>0</v>
      </c>
      <c r="J755" t="str">
        <f>K755&amp;L755</f>
        <v>Фролов Сергей ВикторовичАлексеева Ирина Андреевна</v>
      </c>
      <c r="K755" t="s">
        <v>5</v>
      </c>
      <c r="L755" t="s">
        <v>189</v>
      </c>
      <c r="M755" t="s">
        <v>402</v>
      </c>
      <c r="N755" t="str">
        <f>O755&amp;P755</f>
        <v>Громова Мария ИльиничнаФедорова Людмила Дмитриевна</v>
      </c>
      <c r="O755" t="s">
        <v>13</v>
      </c>
      <c r="P755" t="s">
        <v>215</v>
      </c>
      <c r="Q755" t="s">
        <v>213</v>
      </c>
    </row>
    <row r="756">
      <c r="D756" t="s">
        <v>5</v>
      </c>
      <c r="E756" t="s">
        <v>144</v>
      </c>
      <c r="F756" t="str">
        <f>VLOOKUP(D756&amp;E756,J:M,4,0)</f>
        <v>2023-11-21</v>
      </c>
      <c r="G756" t="str">
        <f>VLOOKUP(D756&amp;E756,N:Q,4,0)</f>
        <v>2023-11-21</v>
      </c>
      <c r="H756">
        <f>G756-F756</f>
        <v>0</v>
      </c>
      <c r="J756" t="str">
        <f>K756&amp;L756</f>
        <v>Белов Алексей КонстантиновичСмирнова Валерия Викторовна</v>
      </c>
      <c r="K756" t="s">
        <v>47</v>
      </c>
      <c r="L756" t="s">
        <v>63</v>
      </c>
      <c r="M756" t="s">
        <v>402</v>
      </c>
      <c r="N756" t="str">
        <f>O756&amp;P756</f>
        <v>Семенова Ирина ВалерьевнаСидоров Алексей Кириллович</v>
      </c>
      <c r="O756" t="s">
        <v>57</v>
      </c>
      <c r="P756" t="s">
        <v>14</v>
      </c>
      <c r="Q756" t="s">
        <v>213</v>
      </c>
    </row>
    <row r="757">
      <c r="D757" t="s">
        <v>5</v>
      </c>
      <c r="E757" t="s">
        <v>67</v>
      </c>
      <c r="F757" t="str">
        <f>VLOOKUP(D757&amp;E757,J:M,4,0)</f>
        <v>2023-09-20</v>
      </c>
      <c r="G757" t="str">
        <f>VLOOKUP(D757&amp;E757,N:Q,4,0)</f>
        <v>2023-09-20</v>
      </c>
      <c r="H757">
        <f>G757-F757</f>
        <v>0</v>
      </c>
      <c r="J757" t="str">
        <f>K757&amp;L757</f>
        <v>Яковлев Артем ИгоревичФедорова Мария Ивановна</v>
      </c>
      <c r="K757" t="s">
        <v>21</v>
      </c>
      <c r="L757" t="s">
        <v>344</v>
      </c>
      <c r="M757" t="s">
        <v>402</v>
      </c>
      <c r="N757" t="str">
        <f>O757&amp;P757</f>
        <v>Петров Владимир КирилловичСидорова Ольга Олеговна</v>
      </c>
      <c r="O757" t="s">
        <v>28</v>
      </c>
      <c r="P757" t="s">
        <v>177</v>
      </c>
      <c r="Q757" t="s">
        <v>210</v>
      </c>
    </row>
    <row r="758">
      <c r="D758" t="s">
        <v>5</v>
      </c>
      <c r="E758" t="s">
        <v>263</v>
      </c>
      <c r="F758" t="str">
        <f>VLOOKUP(D758&amp;E758,J:M,4,0)</f>
        <v>2024-01-02</v>
      </c>
      <c r="G758" t="str">
        <f>VLOOKUP(D758&amp;E758,N:Q,4,0)</f>
        <v>2024-01-02</v>
      </c>
      <c r="H758">
        <f>G758-F758</f>
        <v>0</v>
      </c>
      <c r="J758" t="str">
        <f>K758&amp;L758</f>
        <v>Ткаченко Андрей ОлеговичСмирнов Константин Егорович</v>
      </c>
      <c r="K758" t="s">
        <v>24</v>
      </c>
      <c r="L758" t="s">
        <v>403</v>
      </c>
      <c r="M758" t="s">
        <v>402</v>
      </c>
      <c r="N758" t="str">
        <f>O758&amp;P758</f>
        <v>Новикова Ольга ПетровнаПетров Павел Михайлович</v>
      </c>
      <c r="O758" t="s">
        <v>17</v>
      </c>
      <c r="P758" t="s">
        <v>211</v>
      </c>
      <c r="Q758" t="s">
        <v>210</v>
      </c>
    </row>
    <row r="759">
      <c r="D759" t="s">
        <v>5</v>
      </c>
      <c r="E759" t="s">
        <v>99</v>
      </c>
      <c r="F759" t="str">
        <f>VLOOKUP(D759&amp;E759,J:M,4,0)</f>
        <v>2024-04-01</v>
      </c>
      <c r="G759" t="str">
        <f>VLOOKUP(D759&amp;E759,N:Q,4,0)</f>
        <v>2024-04-15</v>
      </c>
      <c r="H759">
        <f>G759-F759</f>
        <v>14</v>
      </c>
      <c r="J759" t="str">
        <f>K759&amp;L759</f>
        <v>Белов Алексей КонстантиновичПавлова Дарья Андреевна</v>
      </c>
      <c r="K759" t="s">
        <v>47</v>
      </c>
      <c r="L759" t="s">
        <v>78</v>
      </c>
      <c r="M759" t="s">
        <v>402</v>
      </c>
      <c r="N759" t="str">
        <f>O759&amp;P759</f>
        <v>Орлов Павел ДенисовичПавлов Илья Артемович</v>
      </c>
      <c r="O759" t="s">
        <v>43</v>
      </c>
      <c r="P759" t="s">
        <v>158</v>
      </c>
      <c r="Q759" t="s">
        <v>210</v>
      </c>
    </row>
    <row r="760">
      <c r="D760" t="s">
        <v>5</v>
      </c>
      <c r="E760" t="s">
        <v>153</v>
      </c>
      <c r="F760" t="str">
        <f>VLOOKUP(D760&amp;E760,J:M,4,0)</f>
        <v>2024-05-20</v>
      </c>
      <c r="G760" t="str">
        <f>VLOOKUP(D760&amp;E760,N:Q,4,0)</f>
        <v>2024-05-20</v>
      </c>
      <c r="H760">
        <f>G760-F760</f>
        <v>0</v>
      </c>
      <c r="J760" t="str">
        <f>K760&amp;L760</f>
        <v>Семенова Ирина ВалерьевнаПетров Сергей Андреевич</v>
      </c>
      <c r="K760" t="s">
        <v>57</v>
      </c>
      <c r="L760" t="s">
        <v>52</v>
      </c>
      <c r="M760" t="s">
        <v>402</v>
      </c>
      <c r="N760" t="str">
        <f>O760&amp;P760</f>
        <v>Кузнецов Дмитрий ЛьвовичВасильев Дмитрий Алексеевич</v>
      </c>
      <c r="O760" t="s">
        <v>8</v>
      </c>
      <c r="P760" t="s">
        <v>18</v>
      </c>
      <c r="Q760" t="s">
        <v>205</v>
      </c>
    </row>
    <row r="761">
      <c r="D761" t="s">
        <v>5</v>
      </c>
      <c r="E761" t="s">
        <v>93</v>
      </c>
      <c r="F761" t="str">
        <f>VLOOKUP(D761&amp;E761,J:M,4,0)</f>
        <v>2023-10-16</v>
      </c>
      <c r="G761" t="str">
        <f>VLOOKUP(D761&amp;E761,N:Q,4,0)</f>
        <v>2023-10-16</v>
      </c>
      <c r="H761">
        <f>G761-F761</f>
        <v>0</v>
      </c>
      <c r="J761" t="str">
        <f>K761&amp;L761</f>
        <v>Кузнецов Дмитрий ЛьвовичПопов Матвей Викторович</v>
      </c>
      <c r="K761" t="s">
        <v>8</v>
      </c>
      <c r="L761" t="s">
        <v>113</v>
      </c>
      <c r="M761" t="s">
        <v>402</v>
      </c>
      <c r="N761" t="str">
        <f>O761&amp;P761</f>
        <v>Кузнецов Дмитрий ЛьвовичИванова София Геннадьевна</v>
      </c>
      <c r="O761" t="s">
        <v>8</v>
      </c>
      <c r="P761" t="s">
        <v>121</v>
      </c>
      <c r="Q761" t="s">
        <v>205</v>
      </c>
    </row>
    <row r="762">
      <c r="D762" t="s">
        <v>5</v>
      </c>
      <c r="E762" t="s">
        <v>174</v>
      </c>
      <c r="F762" t="str">
        <f>VLOOKUP(D762&amp;E762,J:M,4,0)</f>
        <v>2024-09-02</v>
      </c>
      <c r="G762" t="str">
        <f>VLOOKUP(D762&amp;E762,N:Q,4,0)</f>
        <v>2024-09-02</v>
      </c>
      <c r="H762">
        <f>G762-F762</f>
        <v>0</v>
      </c>
      <c r="J762" t="str">
        <f>K762&amp;L762</f>
        <v>Орлов Павел ДенисовичНиколаева Александра Кирилловна</v>
      </c>
      <c r="K762" t="s">
        <v>43</v>
      </c>
      <c r="L762" t="s">
        <v>186</v>
      </c>
      <c r="M762" t="s">
        <v>402</v>
      </c>
      <c r="N762" t="str">
        <f>O762&amp;P762</f>
        <v>Фролов Сергей ВикторовичИванов Андрей Владимирович</v>
      </c>
      <c r="O762" t="s">
        <v>5</v>
      </c>
      <c r="P762" t="s">
        <v>198</v>
      </c>
      <c r="Q762" t="s">
        <v>205</v>
      </c>
    </row>
    <row r="763">
      <c r="D763" t="s">
        <v>5</v>
      </c>
      <c r="E763" t="s">
        <v>105</v>
      </c>
      <c r="F763" t="str">
        <f>VLOOKUP(D763&amp;E763,J:M,4,0)</f>
        <v>2024-05-07</v>
      </c>
      <c r="G763" t="str">
        <f>VLOOKUP(D763&amp;E763,N:Q,4,0)</f>
        <v>2024-05-07</v>
      </c>
      <c r="H763">
        <f>G763-F763</f>
        <v>0</v>
      </c>
      <c r="J763" t="str">
        <f>K763&amp;L763</f>
        <v>Семенова Ирина ВалерьевнаСмирнов Артем Егорович</v>
      </c>
      <c r="K763" t="s">
        <v>57</v>
      </c>
      <c r="L763" t="s">
        <v>316</v>
      </c>
      <c r="M763" t="s">
        <v>404</v>
      </c>
      <c r="N763" t="str">
        <f>O763&amp;P763</f>
        <v>Яковлев Артем ИгоревичИванова Валерия Алексеевна</v>
      </c>
      <c r="O763" t="s">
        <v>21</v>
      </c>
      <c r="P763" t="s">
        <v>38</v>
      </c>
      <c r="Q763" t="s">
        <v>205</v>
      </c>
    </row>
    <row r="764">
      <c r="D764" t="s">
        <v>5</v>
      </c>
      <c r="E764" t="s">
        <v>178</v>
      </c>
      <c r="F764" t="str">
        <f>VLOOKUP(D764&amp;E764,J:M,4,0)</f>
        <v>2024-07-08</v>
      </c>
      <c r="G764" t="str">
        <f>VLOOKUP(D764&amp;E764,N:Q,4,0)</f>
        <v>2024-07-08</v>
      </c>
      <c r="H764">
        <f>G764-F764</f>
        <v>0</v>
      </c>
      <c r="J764" t="str">
        <f>K764&amp;L764</f>
        <v>Новикова Ольга ПетровнаКузнецова Юлия Павловна</v>
      </c>
      <c r="K764" t="s">
        <v>17</v>
      </c>
      <c r="L764" t="s">
        <v>29</v>
      </c>
      <c r="M764" t="s">
        <v>405</v>
      </c>
      <c r="N764" t="str">
        <f>O764&amp;P764</f>
        <v>Орлов Павел ДенисовичВолков Владимир Геннадьевич</v>
      </c>
      <c r="O764" t="s">
        <v>43</v>
      </c>
      <c r="P764" t="s">
        <v>137</v>
      </c>
      <c r="Q764" t="s">
        <v>205</v>
      </c>
    </row>
    <row r="765">
      <c r="D765" t="s">
        <v>5</v>
      </c>
      <c r="E765" t="s">
        <v>143</v>
      </c>
      <c r="F765" t="str">
        <f>VLOOKUP(D765&amp;E765,J:M,4,0)</f>
        <v>2024-02-26</v>
      </c>
      <c r="G765" t="str">
        <f>VLOOKUP(D765&amp;E765,N:Q,4,0)</f>
        <v>2024-02-26</v>
      </c>
      <c r="H765">
        <f>G765-F765</f>
        <v>0</v>
      </c>
      <c r="J765" t="str">
        <f>K765&amp;L765</f>
        <v>Яковлев Артем ИгоревичПопов Артем Егорович</v>
      </c>
      <c r="K765" t="s">
        <v>21</v>
      </c>
      <c r="L765" t="s">
        <v>124</v>
      </c>
      <c r="M765" t="s">
        <v>405</v>
      </c>
      <c r="N765" t="str">
        <f>O765&amp;P765</f>
        <v>Новикова Ольга ПетровнаПопова Ксения Никитична</v>
      </c>
      <c r="O765" t="s">
        <v>17</v>
      </c>
      <c r="P765" t="s">
        <v>20</v>
      </c>
      <c r="Q765" t="s">
        <v>205</v>
      </c>
    </row>
    <row r="766">
      <c r="D766" t="s">
        <v>5</v>
      </c>
      <c r="E766" t="s">
        <v>344</v>
      </c>
      <c r="F766" t="str">
        <f>VLOOKUP(D766&amp;E766,J:M,4,0)</f>
        <v>2024-03-22</v>
      </c>
      <c r="G766" t="str">
        <f>VLOOKUP(D766&amp;E766,N:Q,4,0)</f>
        <v>2024-03-22</v>
      </c>
      <c r="H766">
        <f>G766-F766</f>
        <v>0</v>
      </c>
      <c r="J766" t="str">
        <f>K766&amp;L766</f>
        <v>Семенова Ирина ВалерьевнаКузнецов Владимир Станиславович</v>
      </c>
      <c r="K766" t="s">
        <v>57</v>
      </c>
      <c r="L766" t="s">
        <v>130</v>
      </c>
      <c r="M766" t="s">
        <v>405</v>
      </c>
      <c r="N766" t="str">
        <f>O766&amp;P766</f>
        <v>Кузнецов Дмитрий ЛьвовичСеменова Анна Андреевна</v>
      </c>
      <c r="O766" t="s">
        <v>8</v>
      </c>
      <c r="P766" t="s">
        <v>148</v>
      </c>
      <c r="Q766" t="s">
        <v>205</v>
      </c>
    </row>
    <row r="767">
      <c r="D767" t="s">
        <v>21</v>
      </c>
      <c r="E767" t="s">
        <v>96</v>
      </c>
      <c r="F767" t="str">
        <f>VLOOKUP(D767&amp;E767,J:M,4,0)</f>
        <v>2023-10-02</v>
      </c>
      <c r="G767" t="str">
        <f>VLOOKUP(D767&amp;E767,N:Q,4,0)</f>
        <v>2023-10-02</v>
      </c>
      <c r="H767">
        <f>G767-F767</f>
        <v>0</v>
      </c>
      <c r="J767" t="str">
        <f>K767&amp;L767</f>
        <v>Петров Владимир КирилловичИванов Никита Павлович</v>
      </c>
      <c r="K767" t="s">
        <v>28</v>
      </c>
      <c r="L767" t="s">
        <v>71</v>
      </c>
      <c r="M767" t="s">
        <v>405</v>
      </c>
      <c r="N767" t="str">
        <f>O767&amp;P767</f>
        <v>Новикова Ольга ПетровнаПопова Дарья Сергеевна</v>
      </c>
      <c r="O767" t="s">
        <v>17</v>
      </c>
      <c r="P767" t="s">
        <v>206</v>
      </c>
      <c r="Q767" t="s">
        <v>205</v>
      </c>
    </row>
    <row r="768">
      <c r="D768" t="s">
        <v>21</v>
      </c>
      <c r="E768" t="s">
        <v>146</v>
      </c>
      <c r="F768" t="str">
        <f>VLOOKUP(D768&amp;E768,J:M,4,0)</f>
        <v>2023-10-23</v>
      </c>
      <c r="G768" t="str">
        <f>VLOOKUP(D768&amp;E768,N:Q,4,0)</f>
        <v>2023-10-23</v>
      </c>
      <c r="H768">
        <f>G768-F768</f>
        <v>0</v>
      </c>
      <c r="J768" t="str">
        <f>K768&amp;L768</f>
        <v>Громова Мария ИльиничнаВасильева Ирина Артемовна</v>
      </c>
      <c r="K768" t="s">
        <v>13</v>
      </c>
      <c r="L768" t="s">
        <v>231</v>
      </c>
      <c r="M768" t="s">
        <v>405</v>
      </c>
      <c r="N768" t="str">
        <f>O768&amp;P768</f>
        <v>Иванова Анна СергеевнаФедорова Екатерина Михайловна</v>
      </c>
      <c r="O768" t="s">
        <v>11</v>
      </c>
      <c r="P768" t="s">
        <v>204</v>
      </c>
      <c r="Q768" t="s">
        <v>205</v>
      </c>
    </row>
    <row r="769">
      <c r="D769" t="s">
        <v>21</v>
      </c>
      <c r="E769" t="s">
        <v>284</v>
      </c>
      <c r="F769" t="str">
        <f>VLOOKUP(D769&amp;E769,J:M,4,0)</f>
        <v>2024-02-26</v>
      </c>
      <c r="G769" t="str">
        <f>VLOOKUP(D769&amp;E769,N:Q,4,0)</f>
        <v>2024-02-26</v>
      </c>
      <c r="H769">
        <f>G769-F769</f>
        <v>0</v>
      </c>
      <c r="J769" t="str">
        <f>K769&amp;L769</f>
        <v>Новикова Ольга ПетровнаСтепанова Анна Олеговна</v>
      </c>
      <c r="K769" t="s">
        <v>17</v>
      </c>
      <c r="L769" t="s">
        <v>263</v>
      </c>
      <c r="M769" t="s">
        <v>405</v>
      </c>
      <c r="N769" t="str">
        <f>O769&amp;P769</f>
        <v>Громова Мария ИльиничнаКузнецов Матвей Олегович</v>
      </c>
      <c r="O769" t="s">
        <v>13</v>
      </c>
      <c r="P769" t="s">
        <v>175</v>
      </c>
      <c r="Q769" t="s">
        <v>205</v>
      </c>
    </row>
    <row r="770">
      <c r="D770" t="s">
        <v>21</v>
      </c>
      <c r="E770" t="s">
        <v>256</v>
      </c>
      <c r="F770" t="str">
        <f>VLOOKUP(D770&amp;E770,J:M,4,0)</f>
        <v>2024-07-15</v>
      </c>
      <c r="G770" t="str">
        <f>VLOOKUP(D770&amp;E770,N:Q,4,0)</f>
        <v>2024-07-15</v>
      </c>
      <c r="H770">
        <f>G770-F770</f>
        <v>0</v>
      </c>
      <c r="J770" t="str">
        <f>K770&amp;L770</f>
        <v>Петров Владимир КирилловичКозлов Дмитрий Сергеевич</v>
      </c>
      <c r="K770" t="s">
        <v>28</v>
      </c>
      <c r="L770" t="s">
        <v>222</v>
      </c>
      <c r="M770" t="s">
        <v>406</v>
      </c>
      <c r="N770" t="str">
        <f>O770&amp;P770</f>
        <v>Петров Владимир КирилловичМорозова Екатерина Ивановна</v>
      </c>
      <c r="O770" t="s">
        <v>28</v>
      </c>
      <c r="P770" t="s">
        <v>207</v>
      </c>
      <c r="Q770" t="s">
        <v>205</v>
      </c>
    </row>
    <row r="771">
      <c r="D771" t="s">
        <v>21</v>
      </c>
      <c r="E771" t="s">
        <v>321</v>
      </c>
      <c r="F771" t="str">
        <f>VLOOKUP(D771&amp;E771,J:M,4,0)</f>
        <v>2024-04-02</v>
      </c>
      <c r="G771" t="str">
        <f>VLOOKUP(D771&amp;E771,N:Q,4,0)</f>
        <v>2024-04-02</v>
      </c>
      <c r="H771">
        <f>G771-F771</f>
        <v>0</v>
      </c>
      <c r="J771" t="str">
        <f>K771&amp;L771</f>
        <v>Ткаченко Андрей ОлеговичНовиков Дмитрий Иванович</v>
      </c>
      <c r="K771" t="s">
        <v>24</v>
      </c>
      <c r="L771" t="s">
        <v>184</v>
      </c>
      <c r="M771" t="s">
        <v>407</v>
      </c>
      <c r="N771" t="str">
        <f>O771&amp;P771</f>
        <v>Семенова Ирина ВалерьевнаВолкова Мария Егоровна</v>
      </c>
      <c r="O771" t="s">
        <v>57</v>
      </c>
      <c r="P771" t="s">
        <v>196</v>
      </c>
      <c r="Q771" t="s">
        <v>205</v>
      </c>
    </row>
    <row r="772">
      <c r="D772" t="s">
        <v>21</v>
      </c>
      <c r="E772" t="s">
        <v>196</v>
      </c>
      <c r="F772" t="str">
        <f>VLOOKUP(D772&amp;E772,J:M,4,0)</f>
        <v>2024-07-15</v>
      </c>
      <c r="G772" t="str">
        <f>VLOOKUP(D772&amp;E772,N:Q,4,0)</f>
        <v>2024-07-15</v>
      </c>
      <c r="H772">
        <f>G772-F772</f>
        <v>0</v>
      </c>
      <c r="J772" t="str">
        <f>K772&amp;L772</f>
        <v>Белов Алексей КонстантиновичВолков Константин Александрович</v>
      </c>
      <c r="K772" t="s">
        <v>47</v>
      </c>
      <c r="L772" t="s">
        <v>256</v>
      </c>
      <c r="M772" t="s">
        <v>407</v>
      </c>
      <c r="N772" t="str">
        <f>O772&amp;P772</f>
        <v>Ткаченко Андрей ОлеговичЕгорова Ольга Юрьевна</v>
      </c>
      <c r="O772" t="s">
        <v>24</v>
      </c>
      <c r="P772" t="s">
        <v>83</v>
      </c>
      <c r="Q772" t="s">
        <v>205</v>
      </c>
    </row>
    <row r="773">
      <c r="D773" t="s">
        <v>21</v>
      </c>
      <c r="E773" t="s">
        <v>272</v>
      </c>
      <c r="F773" t="str">
        <f>VLOOKUP(D773&amp;E773,J:M,4,0)</f>
        <v>2024-06-25</v>
      </c>
      <c r="G773" t="str">
        <f>VLOOKUP(D773&amp;E773,N:Q,4,0)</f>
        <v>2024-06-25</v>
      </c>
      <c r="H773">
        <f>G773-F773</f>
        <v>0</v>
      </c>
      <c r="J773" t="str">
        <f>K773&amp;L773</f>
        <v>Сидорова Елена ВасильевнаОрлова Анна Владимировна</v>
      </c>
      <c r="K773" t="s">
        <v>15</v>
      </c>
      <c r="L773" t="s">
        <v>6</v>
      </c>
      <c r="M773" t="s">
        <v>407</v>
      </c>
      <c r="N773" t="str">
        <f>O773&amp;P773</f>
        <v>Ткаченко Андрей ОлеговичСидоров Сергей Егорович</v>
      </c>
      <c r="O773" t="s">
        <v>24</v>
      </c>
      <c r="P773" t="s">
        <v>128</v>
      </c>
      <c r="Q773" t="s">
        <v>205</v>
      </c>
    </row>
    <row r="774">
      <c r="D774" t="s">
        <v>21</v>
      </c>
      <c r="E774" t="s">
        <v>365</v>
      </c>
      <c r="F774" t="str">
        <f>VLOOKUP(D774&amp;E774,J:M,4,0)</f>
        <v>2024-04-16</v>
      </c>
      <c r="G774" t="str">
        <f>VLOOKUP(D774&amp;E774,N:Q,4,0)</f>
        <v>2024-04-16</v>
      </c>
      <c r="H774">
        <f>G774-F774</f>
        <v>0</v>
      </c>
      <c r="J774" t="str">
        <f>K774&amp;L774</f>
        <v>Яковлев Артем ИгоревичСеменов Константин Артемович</v>
      </c>
      <c r="K774" t="s">
        <v>21</v>
      </c>
      <c r="L774" t="s">
        <v>102</v>
      </c>
      <c r="M774" t="s">
        <v>408</v>
      </c>
      <c r="N774" t="str">
        <f>O774&amp;P774</f>
        <v>Громова Мария ИльиничнаНиколаева Ксения Викторовна</v>
      </c>
      <c r="O774" t="s">
        <v>13</v>
      </c>
      <c r="P774" t="s">
        <v>208</v>
      </c>
      <c r="Q774" t="s">
        <v>205</v>
      </c>
    </row>
    <row r="775">
      <c r="D775" t="s">
        <v>21</v>
      </c>
      <c r="E775" t="s">
        <v>49</v>
      </c>
      <c r="F775" t="str">
        <f>VLOOKUP(D775&amp;E775,J:M,4,0)</f>
        <v>2023-11-21</v>
      </c>
      <c r="G775" t="str">
        <f>VLOOKUP(D775&amp;E775,N:Q,4,0)</f>
        <v>2023-11-21</v>
      </c>
      <c r="H775">
        <f>G775-F775</f>
        <v>0</v>
      </c>
      <c r="J775" t="str">
        <f>K775&amp;L775</f>
        <v>Фролов Сергей ВикторовичИванова Ксения Александровна</v>
      </c>
      <c r="K775" t="s">
        <v>5</v>
      </c>
      <c r="L775" t="s">
        <v>265</v>
      </c>
      <c r="M775" t="s">
        <v>408</v>
      </c>
      <c r="N775" t="str">
        <f>O775&amp;P775</f>
        <v>Ткаченко Андрей ОлеговичМорозова Наталья Алексеевна</v>
      </c>
      <c r="O775" t="s">
        <v>24</v>
      </c>
      <c r="P775" t="s">
        <v>209</v>
      </c>
      <c r="Q775" t="s">
        <v>205</v>
      </c>
    </row>
    <row r="776">
      <c r="D776" t="s">
        <v>21</v>
      </c>
      <c r="E776" t="s">
        <v>85</v>
      </c>
      <c r="F776" t="str">
        <f>VLOOKUP(D776&amp;E776,J:M,4,0)</f>
        <v>2024-04-24</v>
      </c>
      <c r="G776" t="str">
        <f>VLOOKUP(D776&amp;E776,N:Q,4,0)</f>
        <v>2024-04-24</v>
      </c>
      <c r="H776">
        <f>G776-F776</f>
        <v>0</v>
      </c>
      <c r="J776" t="str">
        <f>K776&amp;L776</f>
        <v>Иванова Анна СергеевнаПопова Ксения Никитична</v>
      </c>
      <c r="K776" t="s">
        <v>11</v>
      </c>
      <c r="L776" t="s">
        <v>20</v>
      </c>
      <c r="M776" t="s">
        <v>408</v>
      </c>
      <c r="N776" t="str">
        <f>O776&amp;P776</f>
        <v>Яковлев Артем ИгоревичКозлов Андрей Ильич</v>
      </c>
      <c r="O776" t="s">
        <v>21</v>
      </c>
      <c r="P776" t="s">
        <v>115</v>
      </c>
      <c r="Q776" t="s">
        <v>203</v>
      </c>
    </row>
    <row r="777">
      <c r="D777" t="s">
        <v>21</v>
      </c>
      <c r="E777" t="s">
        <v>12</v>
      </c>
      <c r="F777" t="str">
        <f>VLOOKUP(D777&amp;E777,J:M,4,0)</f>
        <v>2023-11-21</v>
      </c>
      <c r="G777" t="str">
        <f>VLOOKUP(D777&amp;E777,N:Q,4,0)</f>
        <v>2024-06-24</v>
      </c>
      <c r="H777">
        <f>G777-F777</f>
        <v>216</v>
      </c>
      <c r="J777" t="str">
        <f>K777&amp;L777</f>
        <v>Петров Владимир КирилловичСтепанова Ирина Артемовна</v>
      </c>
      <c r="K777" t="s">
        <v>28</v>
      </c>
      <c r="L777" t="s">
        <v>45</v>
      </c>
      <c r="M777" t="s">
        <v>408</v>
      </c>
      <c r="N777" t="str">
        <f>O777&amp;P777</f>
        <v>Сидорова Елена ВасильевнаСеменов Михаил Никитич</v>
      </c>
      <c r="O777" t="s">
        <v>15</v>
      </c>
      <c r="P777" t="s">
        <v>172</v>
      </c>
      <c r="Q777" t="s">
        <v>203</v>
      </c>
    </row>
    <row r="778">
      <c r="D778" t="s">
        <v>21</v>
      </c>
      <c r="E778" t="s">
        <v>16</v>
      </c>
      <c r="F778" t="str">
        <f>VLOOKUP(D778&amp;E778,J:M,4,0)</f>
        <v>2024-07-10</v>
      </c>
      <c r="G778" t="str">
        <f>VLOOKUP(D778&amp;E778,N:Q,4,0)</f>
        <v>2024-07-10</v>
      </c>
      <c r="H778">
        <f>G778-F778</f>
        <v>0</v>
      </c>
      <c r="J778" t="str">
        <f>K778&amp;L778</f>
        <v>Орлов Павел ДенисовичОрлов Дмитрий Иванович</v>
      </c>
      <c r="K778" t="s">
        <v>43</v>
      </c>
      <c r="L778" t="s">
        <v>170</v>
      </c>
      <c r="M778" t="s">
        <v>408</v>
      </c>
      <c r="N778" t="str">
        <f>O778&amp;P778</f>
        <v>Орлов Павел ДенисовичФедорова Екатерина Михайловна</v>
      </c>
      <c r="O778" t="s">
        <v>43</v>
      </c>
      <c r="P778" t="s">
        <v>204</v>
      </c>
      <c r="Q778" t="s">
        <v>203</v>
      </c>
    </row>
    <row r="779">
      <c r="D779" t="s">
        <v>21</v>
      </c>
      <c r="E779" t="s">
        <v>80</v>
      </c>
      <c r="F779" t="str">
        <f>VLOOKUP(D779&amp;E779,J:M,4,0)</f>
        <v>2024-07-05</v>
      </c>
      <c r="G779" t="str">
        <f>VLOOKUP(D779&amp;E779,N:Q,4,0)</f>
        <v>2024-07-05</v>
      </c>
      <c r="H779">
        <f>G779-F779</f>
        <v>0</v>
      </c>
      <c r="J779" t="str">
        <f>K779&amp;L779</f>
        <v>Сидорова Елена ВасильевнаВолков Владимир Геннадьевич</v>
      </c>
      <c r="K779" t="s">
        <v>15</v>
      </c>
      <c r="L779" t="s">
        <v>137</v>
      </c>
      <c r="M779" t="s">
        <v>408</v>
      </c>
      <c r="N779" t="str">
        <f>O779&amp;P779</f>
        <v>Ткаченко Андрей ОлеговичМорозова Светлана Сергеевна</v>
      </c>
      <c r="O779" t="s">
        <v>24</v>
      </c>
      <c r="P779" t="s">
        <v>108</v>
      </c>
      <c r="Q779" t="s">
        <v>203</v>
      </c>
    </row>
    <row r="780">
      <c r="D780" t="s">
        <v>21</v>
      </c>
      <c r="E780" t="s">
        <v>103</v>
      </c>
      <c r="F780" t="str">
        <f>VLOOKUP(D780&amp;E780,J:M,4,0)</f>
        <v>2023-11-02</v>
      </c>
      <c r="G780" t="str">
        <f>VLOOKUP(D780&amp;E780,N:Q,4,0)</f>
        <v>2023-11-02</v>
      </c>
      <c r="H780">
        <f>G780-F780</f>
        <v>0</v>
      </c>
      <c r="J780" t="str">
        <f>K780&amp;L780</f>
        <v>Фролов Сергей ВикторовичКузнецова Людмила Сергеевна</v>
      </c>
      <c r="K780" t="s">
        <v>5</v>
      </c>
      <c r="L780" t="s">
        <v>55</v>
      </c>
      <c r="M780" t="s">
        <v>408</v>
      </c>
      <c r="N780" t="str">
        <f>O780&amp;P780</f>
        <v>Орлов Павел ДенисовичЕгорова Валерия Сергеевна</v>
      </c>
      <c r="O780" t="s">
        <v>43</v>
      </c>
      <c r="P780" t="s">
        <v>85</v>
      </c>
      <c r="Q780" t="s">
        <v>202</v>
      </c>
    </row>
    <row r="781">
      <c r="D781" t="s">
        <v>21</v>
      </c>
      <c r="E781" t="s">
        <v>38</v>
      </c>
      <c r="F781" t="str">
        <f>VLOOKUP(D781&amp;E781,J:M,4,0)</f>
        <v>2023-11-27</v>
      </c>
      <c r="G781" t="str">
        <f>VLOOKUP(D781&amp;E781,N:Q,4,0)</f>
        <v>2023-11-27</v>
      </c>
      <c r="H781">
        <f>G781-F781</f>
        <v>0</v>
      </c>
      <c r="J781" t="str">
        <f>K781&amp;L781</f>
        <v>Петров Владимир КирилловичКузнецова Дарья Ильинична</v>
      </c>
      <c r="K781" t="s">
        <v>28</v>
      </c>
      <c r="L781" t="s">
        <v>214</v>
      </c>
      <c r="M781" t="s">
        <v>409</v>
      </c>
      <c r="N781" t="str">
        <f>O781&amp;P781</f>
        <v>Белов Алексей КонстантиновичВолкова Ирина Никитична</v>
      </c>
      <c r="O781" t="s">
        <v>47</v>
      </c>
      <c r="P781" t="s">
        <v>161</v>
      </c>
      <c r="Q781" t="s">
        <v>202</v>
      </c>
    </row>
    <row r="782">
      <c r="D782" t="s">
        <v>21</v>
      </c>
      <c r="E782" t="s">
        <v>33</v>
      </c>
      <c r="F782" t="str">
        <f>VLOOKUP(D782&amp;E782,J:M,4,0)</f>
        <v>2023-10-30</v>
      </c>
      <c r="G782" t="str">
        <f>VLOOKUP(D782&amp;E782,N:Q,4,0)</f>
        <v>2024-03-08</v>
      </c>
      <c r="H782">
        <f>G782-F782</f>
        <v>130</v>
      </c>
      <c r="J782" t="str">
        <f>K782&amp;L782</f>
        <v>Фролов Сергей ВикторовичНовикова Ксения Алексеевна</v>
      </c>
      <c r="K782" t="s">
        <v>5</v>
      </c>
      <c r="L782" t="s">
        <v>147</v>
      </c>
      <c r="M782" t="s">
        <v>409</v>
      </c>
      <c r="N782" t="str">
        <f>O782&amp;P782</f>
        <v>Новикова Ольга ПетровнаПопов Матвей Александрович</v>
      </c>
      <c r="O782" t="s">
        <v>17</v>
      </c>
      <c r="P782" t="s">
        <v>181</v>
      </c>
      <c r="Q782" t="s">
        <v>202</v>
      </c>
    </row>
    <row r="783">
      <c r="D783" t="s">
        <v>21</v>
      </c>
      <c r="E783" t="s">
        <v>118</v>
      </c>
      <c r="F783" t="str">
        <f>VLOOKUP(D783&amp;E783,J:M,4,0)</f>
        <v>2024-02-12</v>
      </c>
      <c r="G783" t="str">
        <f>VLOOKUP(D783&amp;E783,N:Q,4,0)</f>
        <v>2024-02-12</v>
      </c>
      <c r="H783">
        <f>G783-F783</f>
        <v>0</v>
      </c>
      <c r="J783" t="str">
        <f>K783&amp;L783</f>
        <v>Яковлев Артем ИгоревичПопов Александр Владимирович</v>
      </c>
      <c r="K783" t="s">
        <v>21</v>
      </c>
      <c r="L783" t="s">
        <v>160</v>
      </c>
      <c r="M783" t="s">
        <v>409</v>
      </c>
      <c r="N783" t="str">
        <f>O783&amp;P783</f>
        <v>Иванова Анна СергеевнаКузнецова Ольга Геннадьевна</v>
      </c>
      <c r="O783" t="s">
        <v>11</v>
      </c>
      <c r="P783" t="s">
        <v>61</v>
      </c>
      <c r="Q783" t="s">
        <v>202</v>
      </c>
    </row>
    <row r="784">
      <c r="D784" t="s">
        <v>21</v>
      </c>
      <c r="E784" t="s">
        <v>115</v>
      </c>
      <c r="F784" t="str">
        <f>VLOOKUP(D784&amp;E784,J:M,4,0)</f>
        <v>2023-11-24</v>
      </c>
      <c r="G784" t="str">
        <f>VLOOKUP(D784&amp;E784,N:Q,4,0)</f>
        <v>2023-11-24</v>
      </c>
      <c r="H784">
        <f>G784-F784</f>
        <v>0</v>
      </c>
      <c r="J784" t="str">
        <f>K784&amp;L784</f>
        <v>Иванова Анна СергеевнаСмирнова Мария Владимировна</v>
      </c>
      <c r="K784" t="s">
        <v>11</v>
      </c>
      <c r="L784" t="s">
        <v>255</v>
      </c>
      <c r="M784" t="s">
        <v>409</v>
      </c>
      <c r="N784" t="str">
        <f>O784&amp;P784</f>
        <v>Петров Владимир КирилловичНиколаев Дмитрий Павлович</v>
      </c>
      <c r="O784" t="s">
        <v>28</v>
      </c>
      <c r="P784" t="s">
        <v>37</v>
      </c>
      <c r="Q784" t="s">
        <v>201</v>
      </c>
    </row>
    <row r="785">
      <c r="D785" t="s">
        <v>21</v>
      </c>
      <c r="E785" t="s">
        <v>98</v>
      </c>
      <c r="F785" t="str">
        <f>VLOOKUP(D785&amp;E785,J:M,4,0)</f>
        <v>2024-04-03</v>
      </c>
      <c r="G785" t="str">
        <f>VLOOKUP(D785&amp;E785,N:Q,4,0)</f>
        <v>2024-04-03</v>
      </c>
      <c r="H785">
        <f>G785-F785</f>
        <v>0</v>
      </c>
      <c r="J785" t="str">
        <f>K785&amp;L785</f>
        <v>Фролов Сергей ВикторовичВолков Матвей Кириллович</v>
      </c>
      <c r="K785" t="s">
        <v>5</v>
      </c>
      <c r="L785" t="s">
        <v>321</v>
      </c>
      <c r="M785" t="s">
        <v>410</v>
      </c>
      <c r="N785" t="str">
        <f>O785&amp;P785</f>
        <v>Орлов Павел ДенисовичОрлова Дарья Владимировна</v>
      </c>
      <c r="O785" t="s">
        <v>43</v>
      </c>
      <c r="P785" t="s">
        <v>87</v>
      </c>
      <c r="Q785" t="s">
        <v>199</v>
      </c>
    </row>
    <row r="786">
      <c r="D786" t="s">
        <v>21</v>
      </c>
      <c r="E786" t="s">
        <v>222</v>
      </c>
      <c r="F786" t="str">
        <f>VLOOKUP(D786&amp;E786,J:M,4,0)</f>
        <v>2024-07-30</v>
      </c>
      <c r="G786" t="str">
        <f>VLOOKUP(D786&amp;E786,N:Q,4,0)</f>
        <v>2024-08-16</v>
      </c>
      <c r="H786">
        <f>G786-F786</f>
        <v>17</v>
      </c>
      <c r="J786" t="str">
        <f>K786&amp;L786</f>
        <v>Орлов Павел ДенисовичКозлова Полина Викторовна</v>
      </c>
      <c r="K786" t="s">
        <v>43</v>
      </c>
      <c r="L786" t="s">
        <v>217</v>
      </c>
      <c r="M786" t="s">
        <v>410</v>
      </c>
      <c r="N786" t="str">
        <f>O786&amp;P786</f>
        <v>Яковлев Артем ИгоревичЕгорова Татьяна Ильинична</v>
      </c>
      <c r="O786" t="s">
        <v>21</v>
      </c>
      <c r="P786" t="s">
        <v>12</v>
      </c>
      <c r="Q786" t="s">
        <v>199</v>
      </c>
    </row>
    <row r="787">
      <c r="D787" t="s">
        <v>21</v>
      </c>
      <c r="E787" t="s">
        <v>110</v>
      </c>
      <c r="F787" t="str">
        <f>VLOOKUP(D787&amp;E787,J:M,4,0)</f>
        <v>2024-06-17</v>
      </c>
      <c r="G787" t="str">
        <f>VLOOKUP(D787&amp;E787,N:Q,4,0)</f>
        <v>2024-06-17</v>
      </c>
      <c r="H787">
        <f>G787-F787</f>
        <v>0</v>
      </c>
      <c r="J787" t="str">
        <f>K787&amp;L787</f>
        <v>Иванова Анна СергеевнаСмирнова Екатерина Егоровна</v>
      </c>
      <c r="K787" t="s">
        <v>11</v>
      </c>
      <c r="L787" t="s">
        <v>212</v>
      </c>
      <c r="M787" t="s">
        <v>410</v>
      </c>
      <c r="N787" t="str">
        <f>O787&amp;P787</f>
        <v>Яковлев Артем ИгоревичЛебедева Александра Станиславовна</v>
      </c>
      <c r="O787" t="s">
        <v>21</v>
      </c>
      <c r="P787" t="s">
        <v>132</v>
      </c>
      <c r="Q787" t="s">
        <v>199</v>
      </c>
    </row>
    <row r="788">
      <c r="D788" t="s">
        <v>21</v>
      </c>
      <c r="E788" t="s">
        <v>22</v>
      </c>
      <c r="F788" t="str">
        <f>VLOOKUP(D788&amp;E788,J:M,4,0)</f>
        <v>2023-09-05</v>
      </c>
      <c r="G788" t="str">
        <f>VLOOKUP(D788&amp;E788,N:Q,4,0)</f>
        <v>2023-09-05</v>
      </c>
      <c r="H788">
        <f>G788-F788</f>
        <v>0</v>
      </c>
      <c r="J788" t="str">
        <f>K788&amp;L788</f>
        <v>Петров Владимир КирилловичМорозова Наталья Алексеевна</v>
      </c>
      <c r="K788" t="s">
        <v>28</v>
      </c>
      <c r="L788" t="s">
        <v>209</v>
      </c>
      <c r="M788" t="s">
        <v>410</v>
      </c>
      <c r="N788" t="str">
        <f>O788&amp;P788</f>
        <v>Фролов Сергей ВикторовичСтепанов Матвей Михайлович</v>
      </c>
      <c r="O788" t="s">
        <v>5</v>
      </c>
      <c r="P788" t="s">
        <v>144</v>
      </c>
      <c r="Q788" t="s">
        <v>199</v>
      </c>
    </row>
    <row r="789">
      <c r="D789" t="s">
        <v>21</v>
      </c>
      <c r="E789" t="s">
        <v>175</v>
      </c>
      <c r="F789" t="str">
        <f>VLOOKUP(D789&amp;E789,J:M,4,0)</f>
        <v>2024-06-28</v>
      </c>
      <c r="G789" t="str">
        <f>VLOOKUP(D789&amp;E789,N:Q,4,0)</f>
        <v>2024-06-28</v>
      </c>
      <c r="H789">
        <f>G789-F789</f>
        <v>0</v>
      </c>
      <c r="J789" t="str">
        <f>K789&amp;L789</f>
        <v>Новикова Ольга ПетровнаСидоров Артур Алексеевич</v>
      </c>
      <c r="K789" t="s">
        <v>17</v>
      </c>
      <c r="L789" t="s">
        <v>50</v>
      </c>
      <c r="M789" t="s">
        <v>410</v>
      </c>
      <c r="N789" t="str">
        <f>O789&amp;P789</f>
        <v>Семенова Ирина ВалерьевнаОрлова Полина Никитична</v>
      </c>
      <c r="O789" t="s">
        <v>57</v>
      </c>
      <c r="P789" t="s">
        <v>200</v>
      </c>
      <c r="Q789" t="s">
        <v>199</v>
      </c>
    </row>
    <row r="790">
      <c r="D790" t="s">
        <v>21</v>
      </c>
      <c r="E790" t="s">
        <v>287</v>
      </c>
      <c r="F790" t="str">
        <f>VLOOKUP(D790&amp;E790,J:M,4,0)</f>
        <v>2024-08-05</v>
      </c>
      <c r="G790" t="str">
        <f>VLOOKUP(D790&amp;E790,N:Q,4,0)</f>
        <v>2024-08-05</v>
      </c>
      <c r="H790">
        <f>G790-F790</f>
        <v>0</v>
      </c>
      <c r="J790" t="str">
        <f>K790&amp;L790</f>
        <v>Новикова Ольга ПетровнаСмирнова Екатерина Егоровна</v>
      </c>
      <c r="K790" t="s">
        <v>17</v>
      </c>
      <c r="L790" t="s">
        <v>212</v>
      </c>
      <c r="M790" t="s">
        <v>410</v>
      </c>
      <c r="N790" t="str">
        <f>O790&amp;P790</f>
        <v>Фролов Сергей ВикторовичНиколаев Владимир Егорович</v>
      </c>
      <c r="O790" t="s">
        <v>5</v>
      </c>
      <c r="P790" t="s">
        <v>190</v>
      </c>
      <c r="Q790" t="s">
        <v>199</v>
      </c>
    </row>
    <row r="791">
      <c r="D791" t="s">
        <v>21</v>
      </c>
      <c r="E791" t="s">
        <v>214</v>
      </c>
      <c r="F791" t="str">
        <f>VLOOKUP(D791&amp;E791,J:M,4,0)</f>
        <v>2023-11-29</v>
      </c>
      <c r="G791" t="str">
        <f>VLOOKUP(D791&amp;E791,N:Q,4,0)</f>
        <v>2023-11-29</v>
      </c>
      <c r="H791">
        <f>G791-F791</f>
        <v>0</v>
      </c>
      <c r="J791" t="str">
        <f>K791&amp;L791</f>
        <v>Ткаченко Андрей ОлеговичНиколаева Екатерина Никитична</v>
      </c>
      <c r="K791" t="s">
        <v>24</v>
      </c>
      <c r="L791" t="s">
        <v>270</v>
      </c>
      <c r="M791" t="s">
        <v>411</v>
      </c>
      <c r="N791" t="str">
        <f>O791&amp;P791</f>
        <v>Яковлев Артем ИгоревичЕгоров Никита Станиславович</v>
      </c>
      <c r="O791" t="s">
        <v>21</v>
      </c>
      <c r="P791" t="s">
        <v>49</v>
      </c>
      <c r="Q791" t="s">
        <v>199</v>
      </c>
    </row>
    <row r="792">
      <c r="D792" t="s">
        <v>21</v>
      </c>
      <c r="E792" t="s">
        <v>132</v>
      </c>
      <c r="F792" t="str">
        <f>VLOOKUP(D792&amp;E792,J:M,4,0)</f>
        <v>2023-11-21</v>
      </c>
      <c r="G792" t="str">
        <f>VLOOKUP(D792&amp;E792,N:Q,4,0)</f>
        <v>2023-11-21</v>
      </c>
      <c r="H792">
        <f>G792-F792</f>
        <v>0</v>
      </c>
      <c r="J792" t="str">
        <f>K792&amp;L792</f>
        <v>Петров Владимир КирилловичСмирнов Артем Егорович</v>
      </c>
      <c r="K792" t="s">
        <v>28</v>
      </c>
      <c r="L792" t="s">
        <v>316</v>
      </c>
      <c r="M792" t="s">
        <v>411</v>
      </c>
      <c r="N792" t="str">
        <f>O792&amp;P792</f>
        <v>Петров Владимир КирилловичВолкова Ирина Никитична</v>
      </c>
      <c r="O792" t="s">
        <v>28</v>
      </c>
      <c r="P792" t="s">
        <v>161</v>
      </c>
      <c r="Q792" t="s">
        <v>195</v>
      </c>
    </row>
    <row r="793">
      <c r="D793" t="s">
        <v>21</v>
      </c>
      <c r="E793" t="s">
        <v>39</v>
      </c>
      <c r="F793" t="str">
        <f>VLOOKUP(D793&amp;E793,J:M,4,0)</f>
        <v>2023-09-11</v>
      </c>
      <c r="G793" t="str">
        <f>VLOOKUP(D793&amp;E793,N:Q,4,0)</f>
        <v>2023-09-11</v>
      </c>
      <c r="H793">
        <f>G793-F793</f>
        <v>0</v>
      </c>
      <c r="J793" t="str">
        <f>K793&amp;L793</f>
        <v>Орлов Павел ДенисовичАлексеева Екатерина Павловна</v>
      </c>
      <c r="K793" t="s">
        <v>43</v>
      </c>
      <c r="L793" t="s">
        <v>96</v>
      </c>
      <c r="M793" t="s">
        <v>411</v>
      </c>
      <c r="N793" t="str">
        <f>O793&amp;P793</f>
        <v>Кузнецов Дмитрий ЛьвовичВолкова Мария Егоровна</v>
      </c>
      <c r="O793" t="s">
        <v>8</v>
      </c>
      <c r="P793" t="s">
        <v>196</v>
      </c>
      <c r="Q793" t="s">
        <v>195</v>
      </c>
    </row>
    <row r="794">
      <c r="D794" t="s">
        <v>21</v>
      </c>
      <c r="E794" t="s">
        <v>65</v>
      </c>
      <c r="F794" t="str">
        <f>VLOOKUP(D794&amp;E794,J:M,4,0)</f>
        <v>2024-01-22</v>
      </c>
      <c r="G794" t="str">
        <f>VLOOKUP(D794&amp;E794,N:Q,4,0)</f>
        <v>2024-01-22</v>
      </c>
      <c r="H794">
        <f>G794-F794</f>
        <v>0</v>
      </c>
      <c r="J794" t="str">
        <f>K794&amp;L794</f>
        <v>Громова Мария ИльиничнаНиколаева Александра Кирилловна</v>
      </c>
      <c r="K794" t="s">
        <v>13</v>
      </c>
      <c r="L794" t="s">
        <v>186</v>
      </c>
      <c r="M794" t="s">
        <v>412</v>
      </c>
      <c r="N794" t="str">
        <f>O794&amp;P794</f>
        <v>Орлов Павел ДенисовичКузнецов Сергей Артемович</v>
      </c>
      <c r="O794" t="s">
        <v>43</v>
      </c>
      <c r="P794" t="s">
        <v>129</v>
      </c>
      <c r="Q794" t="s">
        <v>195</v>
      </c>
    </row>
    <row r="795">
      <c r="D795" t="s">
        <v>21</v>
      </c>
      <c r="E795" t="s">
        <v>209</v>
      </c>
      <c r="F795" t="str">
        <f>VLOOKUP(D795&amp;E795,J:M,4,0)</f>
        <v>2024-07-15</v>
      </c>
      <c r="G795" t="str">
        <f>VLOOKUP(D795&amp;E795,N:Q,4,0)</f>
        <v>2024-07-15</v>
      </c>
      <c r="H795">
        <f>G795-F795</f>
        <v>0</v>
      </c>
      <c r="J795" t="str">
        <f>K795&amp;L795</f>
        <v>Петров Владимир КирилловичСеменов Алексей Михайлович</v>
      </c>
      <c r="K795" t="s">
        <v>28</v>
      </c>
      <c r="L795" t="s">
        <v>299</v>
      </c>
      <c r="M795" t="s">
        <v>412</v>
      </c>
      <c r="N795" t="str">
        <f>O795&amp;P795</f>
        <v>Белов Алексей КонстантиновичОрлова Анна Владимировна</v>
      </c>
      <c r="O795" t="s">
        <v>47</v>
      </c>
      <c r="P795" t="s">
        <v>6</v>
      </c>
      <c r="Q795" t="s">
        <v>195</v>
      </c>
    </row>
    <row r="796">
      <c r="D796" t="s">
        <v>21</v>
      </c>
      <c r="E796" t="s">
        <v>218</v>
      </c>
      <c r="F796" t="str">
        <f>VLOOKUP(D796&amp;E796,J:M,4,0)</f>
        <v>2024-04-01</v>
      </c>
      <c r="G796" t="str">
        <f>VLOOKUP(D796&amp;E796,N:Q,4,0)</f>
        <v>2024-04-01</v>
      </c>
      <c r="H796">
        <f>G796-F796</f>
        <v>0</v>
      </c>
      <c r="J796" t="str">
        <f>K796&amp;L796</f>
        <v>Сидорова Елена ВасильевнаНиколаева Алиса Романовна</v>
      </c>
      <c r="K796" t="s">
        <v>15</v>
      </c>
      <c r="L796" t="s">
        <v>168</v>
      </c>
      <c r="M796" t="s">
        <v>412</v>
      </c>
      <c r="N796" t="str">
        <f>O796&amp;P796</f>
        <v>Фролов Сергей ВикторовичСмирнова Ксения Андреевна</v>
      </c>
      <c r="O796" t="s">
        <v>5</v>
      </c>
      <c r="P796" t="s">
        <v>197</v>
      </c>
      <c r="Q796" t="s">
        <v>195</v>
      </c>
    </row>
    <row r="797">
      <c r="D797" t="s">
        <v>21</v>
      </c>
      <c r="E797" t="s">
        <v>151</v>
      </c>
      <c r="F797" t="str">
        <f>VLOOKUP(D797&amp;E797,J:M,4,0)</f>
        <v>2024-04-03</v>
      </c>
      <c r="G797" t="str">
        <f>VLOOKUP(D797&amp;E797,N:Q,4,0)</f>
        <v>2024-04-03</v>
      </c>
      <c r="H797">
        <f>G797-F797</f>
        <v>0</v>
      </c>
      <c r="J797" t="str">
        <f>K797&amp;L797</f>
        <v>Белов Алексей КонстантиновичСмирнова Екатерина Егоровна</v>
      </c>
      <c r="K797" t="s">
        <v>47</v>
      </c>
      <c r="L797" t="s">
        <v>212</v>
      </c>
      <c r="M797" t="s">
        <v>412</v>
      </c>
      <c r="N797" t="str">
        <f>O797&amp;P797</f>
        <v>Новикова Ольга ПетровнаСтепанова Валерия Романовна</v>
      </c>
      <c r="O797" t="s">
        <v>17</v>
      </c>
      <c r="P797" t="s">
        <v>99</v>
      </c>
      <c r="Q797" t="s">
        <v>195</v>
      </c>
    </row>
    <row r="798">
      <c r="D798" t="s">
        <v>21</v>
      </c>
      <c r="E798" t="s">
        <v>252</v>
      </c>
      <c r="F798" t="str">
        <f>VLOOKUP(D798&amp;E798,J:M,4,0)</f>
        <v>2024-02-19</v>
      </c>
      <c r="G798" t="str">
        <f>VLOOKUP(D798&amp;E798,N:Q,4,0)</f>
        <v>2024-08-19</v>
      </c>
      <c r="H798">
        <f>G798-F798</f>
        <v>182</v>
      </c>
      <c r="J798" t="str">
        <f>K798&amp;L798</f>
        <v>Новикова Ольга ПетровнаНовиков Дмитрий Иванович</v>
      </c>
      <c r="K798" t="s">
        <v>17</v>
      </c>
      <c r="L798" t="s">
        <v>184</v>
      </c>
      <c r="M798" t="s">
        <v>412</v>
      </c>
      <c r="N798" t="str">
        <f>O798&amp;P798</f>
        <v>Новикова Ольга ПетровнаФедоров Алексей Павлович</v>
      </c>
      <c r="O798" t="s">
        <v>17</v>
      </c>
      <c r="P798" t="s">
        <v>174</v>
      </c>
      <c r="Q798" t="s">
        <v>195</v>
      </c>
    </row>
    <row r="799">
      <c r="D799" t="s">
        <v>21</v>
      </c>
      <c r="E799" t="s">
        <v>227</v>
      </c>
      <c r="F799" t="str">
        <f>VLOOKUP(D799&amp;E799,J:M,4,0)</f>
        <v>2024-08-07</v>
      </c>
      <c r="G799" t="str">
        <f>VLOOKUP(D799&amp;E799,N:Q,4,0)</f>
        <v>2024-08-07</v>
      </c>
      <c r="H799">
        <f>G799-F799</f>
        <v>0</v>
      </c>
      <c r="J799" t="str">
        <f>K799&amp;L799</f>
        <v>Семенова Ирина ВалерьевнаСеменов Иван Дмитриевич</v>
      </c>
      <c r="K799" t="s">
        <v>57</v>
      </c>
      <c r="L799" t="s">
        <v>362</v>
      </c>
      <c r="M799" t="s">
        <v>413</v>
      </c>
      <c r="N799" t="str">
        <f>O799&amp;P799</f>
        <v>Сидорова Елена ВасильевнаЛебедев Дмитрий Олегович</v>
      </c>
      <c r="O799" t="s">
        <v>15</v>
      </c>
      <c r="P799" t="s">
        <v>75</v>
      </c>
      <c r="Q799" t="s">
        <v>195</v>
      </c>
    </row>
    <row r="800">
      <c r="D800" t="s">
        <v>21</v>
      </c>
      <c r="E800" t="s">
        <v>184</v>
      </c>
      <c r="F800" t="str">
        <f>VLOOKUP(D800&amp;E800,J:M,4,0)</f>
        <v>2024-05-29</v>
      </c>
      <c r="G800" t="str">
        <f>VLOOKUP(D800&amp;E800,N:Q,4,0)</f>
        <v>2024-05-29</v>
      </c>
      <c r="H800">
        <f>G800-F800</f>
        <v>0</v>
      </c>
      <c r="J800" t="str">
        <f>K800&amp;L800</f>
        <v>Ткаченко Андрей ОлеговичФедоров Алексей Павлович</v>
      </c>
      <c r="K800" t="s">
        <v>24</v>
      </c>
      <c r="L800" t="s">
        <v>174</v>
      </c>
      <c r="M800" t="s">
        <v>413</v>
      </c>
      <c r="N800" t="str">
        <f>O800&amp;P800</f>
        <v>Яковлев Артем ИгоревичНовикова Ксения Алексеевна</v>
      </c>
      <c r="O800" t="s">
        <v>21</v>
      </c>
      <c r="P800" t="s">
        <v>147</v>
      </c>
      <c r="Q800" t="s">
        <v>195</v>
      </c>
    </row>
    <row r="801">
      <c r="D801" t="s">
        <v>21</v>
      </c>
      <c r="E801" t="s">
        <v>147</v>
      </c>
      <c r="F801" t="str">
        <f>VLOOKUP(D801&amp;E801,J:M,4,0)</f>
        <v>2023-11-20</v>
      </c>
      <c r="G801" t="str">
        <f>VLOOKUP(D801&amp;E801,N:Q,4,0)</f>
        <v>2024-04-29</v>
      </c>
      <c r="H801">
        <f>G801-F801</f>
        <v>161</v>
      </c>
      <c r="J801" t="str">
        <f>K801&amp;L801</f>
        <v>Белов Алексей КонстантиновичНовикова Анна Ильинична</v>
      </c>
      <c r="K801" t="s">
        <v>47</v>
      </c>
      <c r="L801" t="s">
        <v>35</v>
      </c>
      <c r="M801" t="s">
        <v>413</v>
      </c>
      <c r="N801" t="str">
        <f>O801&amp;P801</f>
        <v>Ткаченко Андрей ОлеговичИванов Андрей Владимирович</v>
      </c>
      <c r="O801" t="s">
        <v>24</v>
      </c>
      <c r="P801" t="s">
        <v>198</v>
      </c>
      <c r="Q801" t="s">
        <v>195</v>
      </c>
    </row>
    <row r="802">
      <c r="D802" t="s">
        <v>21</v>
      </c>
      <c r="E802" t="s">
        <v>154</v>
      </c>
      <c r="F802" t="str">
        <f>VLOOKUP(D802&amp;E802,J:M,4,0)</f>
        <v>2024-07-08</v>
      </c>
      <c r="G802" t="str">
        <f>VLOOKUP(D802&amp;E802,N:Q,4,0)</f>
        <v>2024-07-08</v>
      </c>
      <c r="H802">
        <f>G802-F802</f>
        <v>0</v>
      </c>
      <c r="J802" t="str">
        <f>K802&amp;L802</f>
        <v>Иванова Анна СергеевнаИванова Ксения Александровна</v>
      </c>
      <c r="K802" t="s">
        <v>11</v>
      </c>
      <c r="L802" t="s">
        <v>265</v>
      </c>
      <c r="M802" t="s">
        <v>413</v>
      </c>
      <c r="N802" t="str">
        <f>O802&amp;P802</f>
        <v>Сидорова Елена ВасильевнаПавлов Андрей Викторович</v>
      </c>
      <c r="O802" t="s">
        <v>15</v>
      </c>
      <c r="P802" t="s">
        <v>131</v>
      </c>
      <c r="Q802" t="s">
        <v>194</v>
      </c>
    </row>
    <row r="803">
      <c r="D803" t="s">
        <v>21</v>
      </c>
      <c r="E803" t="s">
        <v>41</v>
      </c>
      <c r="F803" t="str">
        <f>VLOOKUP(D803&amp;E803,J:M,4,0)</f>
        <v>2024-08-16</v>
      </c>
      <c r="G803" t="str">
        <f>VLOOKUP(D803&amp;E803,N:Q,4,0)</f>
        <v>2024-08-16</v>
      </c>
      <c r="H803">
        <f>G803-F803</f>
        <v>0</v>
      </c>
      <c r="J803" t="str">
        <f>K803&amp;L803</f>
        <v>Семенова Ирина ВалерьевнаНиколаева Алиса Ивановна</v>
      </c>
      <c r="K803" t="s">
        <v>57</v>
      </c>
      <c r="L803" t="s">
        <v>119</v>
      </c>
      <c r="M803" t="s">
        <v>413</v>
      </c>
      <c r="N803" t="str">
        <f>O803&amp;P803</f>
        <v>Белов Алексей КонстантиновичОрлов Дмитрий Иванович</v>
      </c>
      <c r="O803" t="s">
        <v>47</v>
      </c>
      <c r="P803" t="s">
        <v>170</v>
      </c>
      <c r="Q803" t="s">
        <v>194</v>
      </c>
    </row>
    <row r="804">
      <c r="D804" t="s">
        <v>21</v>
      </c>
      <c r="E804" t="s">
        <v>131</v>
      </c>
      <c r="F804" t="str">
        <f>VLOOKUP(D804&amp;E804,J:M,4,0)</f>
        <v>2024-08-08</v>
      </c>
      <c r="G804" t="str">
        <f>VLOOKUP(D804&amp;E804,N:Q,4,0)</f>
        <v>2024-08-08</v>
      </c>
      <c r="H804">
        <f>G804-F804</f>
        <v>0</v>
      </c>
      <c r="J804" t="str">
        <f>K804&amp;L804</f>
        <v>Кузнецов Дмитрий ЛьвовичМорозова Вероника Олеговна</v>
      </c>
      <c r="K804" t="s">
        <v>8</v>
      </c>
      <c r="L804" t="s">
        <v>68</v>
      </c>
      <c r="M804" t="s">
        <v>413</v>
      </c>
      <c r="N804" t="str">
        <f>O804&amp;P804</f>
        <v>Орлов Павел ДенисовичПетров Сергей Александрович</v>
      </c>
      <c r="O804" t="s">
        <v>43</v>
      </c>
      <c r="P804" t="s">
        <v>89</v>
      </c>
      <c r="Q804" t="s">
        <v>194</v>
      </c>
    </row>
    <row r="805">
      <c r="D805" t="s">
        <v>21</v>
      </c>
      <c r="E805" t="s">
        <v>101</v>
      </c>
      <c r="F805" t="str">
        <f>VLOOKUP(D805&amp;E805,J:M,4,0)</f>
        <v>2023-10-02</v>
      </c>
      <c r="G805" t="str">
        <f>VLOOKUP(D805&amp;E805,N:Q,4,0)</f>
        <v>2023-10-02</v>
      </c>
      <c r="H805">
        <f>G805-F805</f>
        <v>0</v>
      </c>
      <c r="J805" t="str">
        <f>K805&amp;L805</f>
        <v>Фролов Сергей ВикторовичВасильев Дмитрий Михайлович</v>
      </c>
      <c r="K805" t="s">
        <v>5</v>
      </c>
      <c r="L805" t="s">
        <v>146</v>
      </c>
      <c r="M805" t="s">
        <v>413</v>
      </c>
      <c r="N805" t="str">
        <f>O805&amp;P805</f>
        <v>Новикова Ольга ПетровнаПопова Полина Романовна</v>
      </c>
      <c r="O805" t="s">
        <v>17</v>
      </c>
      <c r="P805" t="s">
        <v>192</v>
      </c>
      <c r="Q805" t="s">
        <v>193</v>
      </c>
    </row>
    <row r="806">
      <c r="D806" t="s">
        <v>21</v>
      </c>
      <c r="E806" t="s">
        <v>117</v>
      </c>
      <c r="F806" t="str">
        <f>VLOOKUP(D806&amp;E806,J:M,4,0)</f>
        <v>2024-08-12</v>
      </c>
      <c r="G806" t="str">
        <f>VLOOKUP(D806&amp;E806,N:Q,4,0)</f>
        <v>2024-08-12</v>
      </c>
      <c r="H806">
        <f>G806-F806</f>
        <v>0</v>
      </c>
      <c r="J806" t="str">
        <f>K806&amp;L806</f>
        <v>Кузнецов Дмитрий ЛьвовичЕгорова Ольга Юрьевна</v>
      </c>
      <c r="K806" t="s">
        <v>8</v>
      </c>
      <c r="L806" t="s">
        <v>83</v>
      </c>
      <c r="M806" t="s">
        <v>413</v>
      </c>
      <c r="N806" t="str">
        <f>O806&amp;P806</f>
        <v>Иванова Анна СергеевнаНиколаев Владимир Егорович</v>
      </c>
      <c r="O806" t="s">
        <v>11</v>
      </c>
      <c r="P806" t="s">
        <v>190</v>
      </c>
      <c r="Q806" t="s">
        <v>191</v>
      </c>
    </row>
    <row r="807">
      <c r="D807" t="s">
        <v>21</v>
      </c>
      <c r="E807" t="s">
        <v>160</v>
      </c>
      <c r="F807" t="str">
        <f>VLOOKUP(D807&amp;E807,J:M,4,0)</f>
        <v>2024-06-11</v>
      </c>
      <c r="G807" t="str">
        <f>VLOOKUP(D807&amp;E807,N:Q,4,0)</f>
        <v>2024-06-11</v>
      </c>
      <c r="H807">
        <f>G807-F807</f>
        <v>0</v>
      </c>
      <c r="J807" t="str">
        <f>K807&amp;L807</f>
        <v>Яковлев Артем ИгоревичКузнецов Алексей Иванович</v>
      </c>
      <c r="K807" t="s">
        <v>21</v>
      </c>
      <c r="L807" t="s">
        <v>110</v>
      </c>
      <c r="M807" t="s">
        <v>413</v>
      </c>
      <c r="N807" t="str">
        <f>O807&amp;P807</f>
        <v>Кузнецов Дмитрий ЛьвовичПопова Полина Романовна</v>
      </c>
      <c r="O807" t="s">
        <v>8</v>
      </c>
      <c r="P807" t="s">
        <v>192</v>
      </c>
      <c r="Q807" t="s">
        <v>191</v>
      </c>
    </row>
    <row r="808">
      <c r="D808" t="s">
        <v>21</v>
      </c>
      <c r="E808" t="s">
        <v>124</v>
      </c>
      <c r="F808" t="str">
        <f>VLOOKUP(D808&amp;E808,J:M,4,0)</f>
        <v>2024-06-05</v>
      </c>
      <c r="G808" t="str">
        <f>VLOOKUP(D808&amp;E808,N:Q,4,0)</f>
        <v>2024-06-05</v>
      </c>
      <c r="H808">
        <f>G808-F808</f>
        <v>0</v>
      </c>
      <c r="J808" t="str">
        <f>K808&amp;L808</f>
        <v>Орлов Павел ДенисовичНиколаева Дарья Юрьевна</v>
      </c>
      <c r="K808" t="s">
        <v>43</v>
      </c>
      <c r="L808" t="s">
        <v>227</v>
      </c>
      <c r="M808" t="s">
        <v>414</v>
      </c>
      <c r="N808" t="str">
        <f>O808&amp;P808</f>
        <v>Петров Владимир КирилловичЕгоров Никита Станиславович</v>
      </c>
      <c r="O808" t="s">
        <v>28</v>
      </c>
      <c r="P808" t="s">
        <v>49</v>
      </c>
      <c r="Q808" t="s">
        <v>191</v>
      </c>
    </row>
    <row r="809">
      <c r="D809" t="s">
        <v>21</v>
      </c>
      <c r="E809" t="s">
        <v>181</v>
      </c>
      <c r="F809" t="str">
        <f>VLOOKUP(D809&amp;E809,J:M,4,0)</f>
        <v>2024-01-01</v>
      </c>
      <c r="G809" t="str">
        <f>VLOOKUP(D809&amp;E809,N:Q,4,0)</f>
        <v>2024-03-15</v>
      </c>
      <c r="H809">
        <f>G809-F809</f>
        <v>74</v>
      </c>
      <c r="J809" t="str">
        <f>K809&amp;L809</f>
        <v>Сидорова Елена ВасильевнаКузнецов Алексей Иванович</v>
      </c>
      <c r="K809" t="s">
        <v>15</v>
      </c>
      <c r="L809" t="s">
        <v>110</v>
      </c>
      <c r="M809" t="s">
        <v>415</v>
      </c>
      <c r="N809" t="str">
        <f>O809&amp;P809</f>
        <v>Белов Алексей КонстантиновичМорозов Никита Ильич</v>
      </c>
      <c r="O809" t="s">
        <v>47</v>
      </c>
      <c r="P809" t="s">
        <v>138</v>
      </c>
      <c r="Q809" t="s">
        <v>187</v>
      </c>
    </row>
    <row r="810">
      <c r="D810" t="s">
        <v>21</v>
      </c>
      <c r="E810" t="s">
        <v>113</v>
      </c>
      <c r="F810" t="str">
        <f>VLOOKUP(D810&amp;E810,J:M,4,0)</f>
        <v>2023-12-26</v>
      </c>
      <c r="G810" t="str">
        <f>VLOOKUP(D810&amp;E810,N:Q,4,0)</f>
        <v>2023-12-26</v>
      </c>
      <c r="H810">
        <f>G810-F810</f>
        <v>0</v>
      </c>
      <c r="J810" t="str">
        <f>K810&amp;L810</f>
        <v>Петров Владимир КирилловичПопова Полина Романовна</v>
      </c>
      <c r="K810" t="s">
        <v>28</v>
      </c>
      <c r="L810" t="s">
        <v>192</v>
      </c>
      <c r="M810" t="s">
        <v>415</v>
      </c>
      <c r="N810" t="str">
        <f>O810&amp;P810</f>
        <v>Семенова Ирина ВалерьевнаОрлова Дарья Сергеевна</v>
      </c>
      <c r="O810" t="s">
        <v>57</v>
      </c>
      <c r="P810" t="s">
        <v>97</v>
      </c>
      <c r="Q810" t="s">
        <v>187</v>
      </c>
    </row>
    <row r="811">
      <c r="D811" t="s">
        <v>21</v>
      </c>
      <c r="E811" t="s">
        <v>69</v>
      </c>
      <c r="F811" t="str">
        <f>VLOOKUP(D811&amp;E811,J:M,4,0)</f>
        <v>2024-08-09</v>
      </c>
      <c r="G811" t="str">
        <f>VLOOKUP(D811&amp;E811,N:Q,4,0)</f>
        <v>2024-08-09</v>
      </c>
      <c r="H811">
        <f>G811-F811</f>
        <v>0</v>
      </c>
      <c r="J811" t="str">
        <f>K811&amp;L811</f>
        <v>Кузнецов Дмитрий ЛьвовичНиколаева Алиса Ивановна</v>
      </c>
      <c r="K811" t="s">
        <v>8</v>
      </c>
      <c r="L811" t="s">
        <v>119</v>
      </c>
      <c r="M811" t="s">
        <v>415</v>
      </c>
      <c r="N811" t="str">
        <f>O811&amp;P811</f>
        <v>Ткаченко Андрей ОлеговичВолкова Виктория Викторовна</v>
      </c>
      <c r="O811" t="s">
        <v>24</v>
      </c>
      <c r="P811" t="s">
        <v>188</v>
      </c>
      <c r="Q811" t="s">
        <v>187</v>
      </c>
    </row>
    <row r="812">
      <c r="D812" t="s">
        <v>21</v>
      </c>
      <c r="E812" t="s">
        <v>258</v>
      </c>
      <c r="F812" t="str">
        <f>VLOOKUP(D812&amp;E812,J:M,4,0)</f>
        <v>2024-02-15</v>
      </c>
      <c r="G812" t="str">
        <f>VLOOKUP(D812&amp;E812,N:Q,4,0)</f>
        <v>2024-02-15</v>
      </c>
      <c r="H812">
        <f>G812-F812</f>
        <v>0</v>
      </c>
      <c r="J812" t="str">
        <f>K812&amp;L812</f>
        <v>Иванова Анна СергеевнаПопов Александр Владимирович</v>
      </c>
      <c r="K812" t="s">
        <v>11</v>
      </c>
      <c r="L812" t="s">
        <v>160</v>
      </c>
      <c r="M812" t="s">
        <v>416</v>
      </c>
      <c r="N812" t="str">
        <f>O812&amp;P812</f>
        <v>Семенова Ирина ВалерьевнаАлексеева Ирина Андреевна</v>
      </c>
      <c r="O812" t="s">
        <v>57</v>
      </c>
      <c r="P812" t="s">
        <v>189</v>
      </c>
      <c r="Q812" t="s">
        <v>187</v>
      </c>
    </row>
    <row r="813">
      <c r="D813" t="s">
        <v>21</v>
      </c>
      <c r="E813" t="s">
        <v>102</v>
      </c>
      <c r="F813" t="str">
        <f>VLOOKUP(D813&amp;E813,J:M,4,0)</f>
        <v>2024-06-10</v>
      </c>
      <c r="G813" t="str">
        <f>VLOOKUP(D813&amp;E813,N:Q,4,0)</f>
        <v>2024-06-10</v>
      </c>
      <c r="H813">
        <f>G813-F813</f>
        <v>0</v>
      </c>
      <c r="J813" t="str">
        <f>K813&amp;L813</f>
        <v>Новикова Ольга ПетровнаОрлова Полина Никитична</v>
      </c>
      <c r="K813" t="s">
        <v>17</v>
      </c>
      <c r="L813" t="s">
        <v>200</v>
      </c>
      <c r="M813" t="s">
        <v>416</v>
      </c>
      <c r="N813" t="str">
        <f>O813&amp;P813</f>
        <v>Петров Владимир КирилловичИванова Елена Алексеевна</v>
      </c>
      <c r="O813" t="s">
        <v>28</v>
      </c>
      <c r="P813" t="s">
        <v>118</v>
      </c>
      <c r="Q813" t="s">
        <v>183</v>
      </c>
    </row>
    <row r="814">
      <c r="D814" t="s">
        <v>21</v>
      </c>
      <c r="E814" t="s">
        <v>30</v>
      </c>
      <c r="F814" t="str">
        <f>VLOOKUP(D814&amp;E814,J:M,4,0)</f>
        <v>2024-04-03</v>
      </c>
      <c r="G814" t="str">
        <f>VLOOKUP(D814&amp;E814,N:Q,4,0)</f>
        <v>2024-04-30</v>
      </c>
      <c r="H814">
        <f>G814-F814</f>
        <v>27</v>
      </c>
      <c r="J814" t="str">
        <f>K814&amp;L814</f>
        <v>Громова Мария ИльиничнаСмирнов Артем Егорович</v>
      </c>
      <c r="K814" t="s">
        <v>13</v>
      </c>
      <c r="L814" t="s">
        <v>316</v>
      </c>
      <c r="M814" t="s">
        <v>416</v>
      </c>
      <c r="N814" t="str">
        <f>O814&amp;P814</f>
        <v>Фролов Сергей ВикторовичНовиков Дмитрий Иванович</v>
      </c>
      <c r="O814" t="s">
        <v>5</v>
      </c>
      <c r="P814" t="s">
        <v>184</v>
      </c>
      <c r="Q814" t="s">
        <v>183</v>
      </c>
    </row>
    <row r="815">
      <c r="D815" t="s">
        <v>21</v>
      </c>
      <c r="E815" t="s">
        <v>14</v>
      </c>
      <c r="F815" t="str">
        <f>VLOOKUP(D815&amp;E815,J:M,4,0)</f>
        <v>2023-12-11</v>
      </c>
      <c r="G815" t="str">
        <f>VLOOKUP(D815&amp;E815,N:Q,4,0)</f>
        <v>2023-12-11</v>
      </c>
      <c r="H815">
        <f>G815-F815</f>
        <v>0</v>
      </c>
      <c r="J815" t="str">
        <f>K815&amp;L815</f>
        <v>Новикова Ольга ПетровнаИванова Ксения Александровна</v>
      </c>
      <c r="K815" t="s">
        <v>17</v>
      </c>
      <c r="L815" t="s">
        <v>265</v>
      </c>
      <c r="M815" t="s">
        <v>416</v>
      </c>
      <c r="N815" t="str">
        <f>O815&amp;P815</f>
        <v>Орлов Павел ДенисовичНовикова Ксения Алексеевна</v>
      </c>
      <c r="O815" t="s">
        <v>43</v>
      </c>
      <c r="P815" t="s">
        <v>147</v>
      </c>
      <c r="Q815" t="s">
        <v>183</v>
      </c>
    </row>
    <row r="816">
      <c r="D816" t="s">
        <v>21</v>
      </c>
      <c r="E816" t="s">
        <v>50</v>
      </c>
      <c r="F816" t="str">
        <f>VLOOKUP(D816&amp;E816,J:M,4,0)</f>
        <v>2023-09-14</v>
      </c>
      <c r="G816" t="str">
        <f>VLOOKUP(D816&amp;E816,N:Q,4,0)</f>
        <v>2023-09-14</v>
      </c>
      <c r="H816">
        <f>G816-F816</f>
        <v>0</v>
      </c>
      <c r="J816" t="str">
        <f>K816&amp;L816</f>
        <v>Фролов Сергей ВикторовичСмирнова Алиса Артемовна</v>
      </c>
      <c r="K816" t="s">
        <v>5</v>
      </c>
      <c r="L816" t="s">
        <v>31</v>
      </c>
      <c r="M816" t="s">
        <v>416</v>
      </c>
      <c r="N816" t="str">
        <f>O816&amp;P816</f>
        <v>Сидорова Елена ВасильевнаКозлова София Олеговна</v>
      </c>
      <c r="O816" t="s">
        <v>15</v>
      </c>
      <c r="P816" t="s">
        <v>185</v>
      </c>
      <c r="Q816" t="s">
        <v>183</v>
      </c>
    </row>
    <row r="817">
      <c r="D817" t="s">
        <v>21</v>
      </c>
      <c r="E817" t="s">
        <v>257</v>
      </c>
      <c r="F817" t="str">
        <f>VLOOKUP(D817&amp;E817,J:M,4,0)</f>
        <v>2024-03-18</v>
      </c>
      <c r="G817" t="str">
        <f>VLOOKUP(D817&amp;E817,N:Q,4,0)</f>
        <v>2024-03-18</v>
      </c>
      <c r="H817">
        <f>G817-F817</f>
        <v>0</v>
      </c>
      <c r="J817" t="str">
        <f>K817&amp;L817</f>
        <v>Орлов Павел ДенисовичФедорова Людмила Дмитриевна</v>
      </c>
      <c r="K817" t="s">
        <v>43</v>
      </c>
      <c r="L817" t="s">
        <v>215</v>
      </c>
      <c r="M817" t="s">
        <v>416</v>
      </c>
      <c r="N817" t="str">
        <f>O817&amp;P817</f>
        <v>Ткаченко Андрей ОлеговичПопов Матвей Викторович</v>
      </c>
      <c r="O817" t="s">
        <v>24</v>
      </c>
      <c r="P817" t="s">
        <v>113</v>
      </c>
      <c r="Q817" t="s">
        <v>183</v>
      </c>
    </row>
    <row r="818">
      <c r="D818" t="s">
        <v>21</v>
      </c>
      <c r="E818" t="s">
        <v>254</v>
      </c>
      <c r="F818" t="str">
        <f>VLOOKUP(D818&amp;E818,J:M,4,0)</f>
        <v>2024-07-08</v>
      </c>
      <c r="G818" t="str">
        <f>VLOOKUP(D818&amp;E818,N:Q,4,0)</f>
        <v>2024-07-08</v>
      </c>
      <c r="H818">
        <f>G818-F818</f>
        <v>0</v>
      </c>
      <c r="J818" t="str">
        <f>K818&amp;L818</f>
        <v>Ткаченко Андрей ОлеговичАлексеев Иван Иванович</v>
      </c>
      <c r="K818" t="s">
        <v>24</v>
      </c>
      <c r="L818" t="s">
        <v>70</v>
      </c>
      <c r="M818" t="s">
        <v>416</v>
      </c>
      <c r="N818" t="str">
        <f>O818&amp;P818</f>
        <v>Громова Мария ИльиничнаНовикова Людмила Павловна</v>
      </c>
      <c r="O818" t="s">
        <v>13</v>
      </c>
      <c r="P818" t="s">
        <v>116</v>
      </c>
      <c r="Q818" t="s">
        <v>183</v>
      </c>
    </row>
    <row r="819">
      <c r="D819" t="s">
        <v>21</v>
      </c>
      <c r="E819" t="s">
        <v>60</v>
      </c>
      <c r="F819" t="str">
        <f>VLOOKUP(D819&amp;E819,J:M,4,0)</f>
        <v>2023-09-26</v>
      </c>
      <c r="G819" t="str">
        <f>VLOOKUP(D819&amp;E819,N:Q,4,0)</f>
        <v>2023-09-26</v>
      </c>
      <c r="H819">
        <f>G819-F819</f>
        <v>0</v>
      </c>
      <c r="J819" t="str">
        <f>K819&amp;L819</f>
        <v>Иванова Анна СергеевнаНиколаева Ксения Викторовна</v>
      </c>
      <c r="K819" t="s">
        <v>11</v>
      </c>
      <c r="L819" t="s">
        <v>208</v>
      </c>
      <c r="M819" t="s">
        <v>416</v>
      </c>
      <c r="N819" t="str">
        <f>O819&amp;P819</f>
        <v>Новикова Ольга ПетровнаСтепанова Ирина Артемовна</v>
      </c>
      <c r="O819" t="s">
        <v>17</v>
      </c>
      <c r="P819" t="s">
        <v>45</v>
      </c>
      <c r="Q819" t="s">
        <v>183</v>
      </c>
    </row>
    <row r="820">
      <c r="D820" t="s">
        <v>21</v>
      </c>
      <c r="E820" t="s">
        <v>44</v>
      </c>
      <c r="F820" t="str">
        <f>VLOOKUP(D820&amp;E820,J:M,4,0)</f>
        <v>2023-12-18</v>
      </c>
      <c r="G820" t="str">
        <f>VLOOKUP(D820&amp;E820,N:Q,4,0)</f>
        <v>2024-08-13</v>
      </c>
      <c r="H820">
        <f>G820-F820</f>
        <v>239</v>
      </c>
      <c r="J820" t="str">
        <f>K820&amp;L820</f>
        <v>Ткаченко Андрей ОлеговичНиколаев Дмитрий Павлович</v>
      </c>
      <c r="K820" t="s">
        <v>24</v>
      </c>
      <c r="L820" t="s">
        <v>37</v>
      </c>
      <c r="M820" t="s">
        <v>417</v>
      </c>
      <c r="N820" t="str">
        <f>O820&amp;P820</f>
        <v>Новикова Ольга ПетровнаКозлов Артур Андреевич</v>
      </c>
      <c r="O820" t="s">
        <v>17</v>
      </c>
      <c r="P820" t="s">
        <v>98</v>
      </c>
      <c r="Q820" t="s">
        <v>183</v>
      </c>
    </row>
    <row r="821">
      <c r="D821" t="s">
        <v>21</v>
      </c>
      <c r="E821" t="s">
        <v>302</v>
      </c>
      <c r="F821" t="str">
        <f>VLOOKUP(D821&amp;E821,J:M,4,0)</f>
        <v>2024-08-20</v>
      </c>
      <c r="G821" t="str">
        <f>VLOOKUP(D821&amp;E821,N:Q,4,0)</f>
        <v>2024-08-20</v>
      </c>
      <c r="H821">
        <f>G821-F821</f>
        <v>0</v>
      </c>
      <c r="J821" t="str">
        <f>K821&amp;L821</f>
        <v>Иванова Анна СергеевнаСеменова Ольга Олеговна</v>
      </c>
      <c r="K821" t="s">
        <v>11</v>
      </c>
      <c r="L821" t="s">
        <v>308</v>
      </c>
      <c r="M821" t="s">
        <v>417</v>
      </c>
      <c r="N821" t="str">
        <f>O821&amp;P821</f>
        <v>Фролов Сергей ВикторовичНиколаева Александра Кирилловна</v>
      </c>
      <c r="O821" t="s">
        <v>5</v>
      </c>
      <c r="P821" t="s">
        <v>186</v>
      </c>
      <c r="Q821" t="s">
        <v>183</v>
      </c>
    </row>
    <row r="822">
      <c r="D822" t="s">
        <v>21</v>
      </c>
      <c r="E822" t="s">
        <v>144</v>
      </c>
      <c r="F822" t="str">
        <f>VLOOKUP(D822&amp;E822,J:M,4,0)</f>
        <v>2023-11-07</v>
      </c>
      <c r="G822" t="str">
        <f>VLOOKUP(D822&amp;E822,N:Q,4,0)</f>
        <v>2024-07-10</v>
      </c>
      <c r="H822">
        <f>G822-F822</f>
        <v>246</v>
      </c>
      <c r="J822" t="str">
        <f>K822&amp;L822</f>
        <v>Иванова Анна СергеевнаПопова Полина Романовна</v>
      </c>
      <c r="K822" t="s">
        <v>11</v>
      </c>
      <c r="L822" t="s">
        <v>192</v>
      </c>
      <c r="M822" t="s">
        <v>417</v>
      </c>
      <c r="N822" t="str">
        <f>O822&amp;P822</f>
        <v>Сидорова Елена ВасильевнаСтепанов Кирилл Павлович</v>
      </c>
      <c r="O822" t="s">
        <v>15</v>
      </c>
      <c r="P822" t="s">
        <v>123</v>
      </c>
      <c r="Q822" t="s">
        <v>180</v>
      </c>
    </row>
    <row r="823">
      <c r="D823" t="s">
        <v>21</v>
      </c>
      <c r="E823" t="s">
        <v>99</v>
      </c>
      <c r="F823" t="str">
        <f>VLOOKUP(D823&amp;E823,J:M,4,0)</f>
        <v>2024-04-29</v>
      </c>
      <c r="G823" t="str">
        <f>VLOOKUP(D823&amp;E823,N:Q,4,0)</f>
        <v>2024-04-29</v>
      </c>
      <c r="H823">
        <f>G823-F823</f>
        <v>0</v>
      </c>
      <c r="J823" t="str">
        <f>K823&amp;L823</f>
        <v>Новикова Ольга ПетровнаИванова Ксения Александровна</v>
      </c>
      <c r="K823" t="s">
        <v>17</v>
      </c>
      <c r="L823" t="s">
        <v>265</v>
      </c>
      <c r="M823" t="s">
        <v>417</v>
      </c>
      <c r="N823" t="str">
        <f>O823&amp;P823</f>
        <v>Ткаченко Андрей ОлеговичПавлова София Артемовна</v>
      </c>
      <c r="O823" t="s">
        <v>24</v>
      </c>
      <c r="P823" t="s">
        <v>111</v>
      </c>
      <c r="Q823" t="s">
        <v>180</v>
      </c>
    </row>
    <row r="824">
      <c r="D824" t="s">
        <v>21</v>
      </c>
      <c r="E824" t="s">
        <v>93</v>
      </c>
      <c r="F824" t="str">
        <f>VLOOKUP(D824&amp;E824,J:M,4,0)</f>
        <v>2024-07-12</v>
      </c>
      <c r="G824" t="str">
        <f>VLOOKUP(D824&amp;E824,N:Q,4,0)</f>
        <v>2024-07-12</v>
      </c>
      <c r="H824">
        <f>G824-F824</f>
        <v>0</v>
      </c>
      <c r="J824" t="str">
        <f>K824&amp;L824</f>
        <v>Сидорова Елена ВасильевнаСеменов Михаил Никитич</v>
      </c>
      <c r="K824" t="s">
        <v>15</v>
      </c>
      <c r="L824" t="s">
        <v>172</v>
      </c>
      <c r="M824" t="s">
        <v>417</v>
      </c>
      <c r="N824" t="str">
        <f>O824&amp;P824</f>
        <v>Фролов Сергей ВикторовичПопов Матвей Александрович</v>
      </c>
      <c r="O824" t="s">
        <v>5</v>
      </c>
      <c r="P824" t="s">
        <v>181</v>
      </c>
      <c r="Q824" t="s">
        <v>180</v>
      </c>
    </row>
    <row r="825">
      <c r="D825" t="s">
        <v>21</v>
      </c>
      <c r="E825" t="s">
        <v>174</v>
      </c>
      <c r="F825" t="str">
        <f>VLOOKUP(D825&amp;E825,J:M,4,0)</f>
        <v>2024-03-18</v>
      </c>
      <c r="G825" t="str">
        <f>VLOOKUP(D825&amp;E825,N:Q,4,0)</f>
        <v>2024-03-18</v>
      </c>
      <c r="H825">
        <f>G825-F825</f>
        <v>0</v>
      </c>
      <c r="J825" t="str">
        <f>K825&amp;L825</f>
        <v>Белов Алексей КонстантиновичПопова Ксения Никитична</v>
      </c>
      <c r="K825" t="s">
        <v>47</v>
      </c>
      <c r="L825" t="s">
        <v>20</v>
      </c>
      <c r="M825" t="s">
        <v>418</v>
      </c>
      <c r="N825" t="str">
        <f>O825&amp;P825</f>
        <v>Семенова Ирина ВалерьевнаМорозова Юлия Егоровна</v>
      </c>
      <c r="O825" t="s">
        <v>57</v>
      </c>
      <c r="P825" t="s">
        <v>182</v>
      </c>
      <c r="Q825" t="s">
        <v>180</v>
      </c>
    </row>
    <row r="826">
      <c r="D826" t="s">
        <v>21</v>
      </c>
      <c r="E826" t="s">
        <v>143</v>
      </c>
      <c r="F826" t="str">
        <f>VLOOKUP(D826&amp;E826,J:M,4,0)</f>
        <v>2024-08-28</v>
      </c>
      <c r="G826" t="str">
        <f>VLOOKUP(D826&amp;E826,N:Q,4,0)</f>
        <v>2024-08-28</v>
      </c>
      <c r="H826">
        <f>G826-F826</f>
        <v>0</v>
      </c>
      <c r="J826" t="str">
        <f>K826&amp;L826</f>
        <v>Яковлев Артем ИгоревичЕгорова Татьяна Ильинична</v>
      </c>
      <c r="K826" t="s">
        <v>21</v>
      </c>
      <c r="L826" t="s">
        <v>12</v>
      </c>
      <c r="M826" t="s">
        <v>418</v>
      </c>
      <c r="N826" t="str">
        <f>O826&amp;P826</f>
        <v>Ткаченко Андрей ОлеговичФедоров Роман Геннадьевич</v>
      </c>
      <c r="O826" t="s">
        <v>24</v>
      </c>
      <c r="P826" t="s">
        <v>178</v>
      </c>
      <c r="Q826" t="s">
        <v>179</v>
      </c>
    </row>
    <row r="827">
      <c r="D827" t="s">
        <v>21</v>
      </c>
      <c r="E827" t="s">
        <v>215</v>
      </c>
      <c r="F827" t="str">
        <f>VLOOKUP(D827&amp;E827,J:M,4,0)</f>
        <v>2024-04-15</v>
      </c>
      <c r="G827" t="str">
        <f>VLOOKUP(D827&amp;E827,N:Q,4,0)</f>
        <v>2024-04-15</v>
      </c>
      <c r="H827">
        <f>G827-F827</f>
        <v>0</v>
      </c>
      <c r="J827" t="str">
        <f>K827&amp;L827</f>
        <v>Фролов Сергей ВикторовичМорозова Вероника Олеговна</v>
      </c>
      <c r="K827" t="s">
        <v>5</v>
      </c>
      <c r="L827" t="s">
        <v>68</v>
      </c>
      <c r="M827" t="s">
        <v>418</v>
      </c>
      <c r="N827" t="str">
        <f>O827&amp;P827</f>
        <v>Орлов Павел ДенисовичНиколаев Дмитрий Павлович</v>
      </c>
      <c r="O827" t="s">
        <v>43</v>
      </c>
      <c r="P827" t="s">
        <v>37</v>
      </c>
      <c r="Q827" t="s">
        <v>179</v>
      </c>
    </row>
    <row r="828">
      <c r="D828" t="s">
        <v>21</v>
      </c>
      <c r="E828" t="s">
        <v>344</v>
      </c>
      <c r="F828" t="str">
        <f>VLOOKUP(D828&amp;E828,J:M,4,0)</f>
        <v>2024-06-03</v>
      </c>
      <c r="G828" t="str">
        <f>VLOOKUP(D828&amp;E828,N:Q,4,0)</f>
        <v>2024-06-03</v>
      </c>
      <c r="H828">
        <f>G828-F828</f>
        <v>0</v>
      </c>
      <c r="J828" t="str">
        <f>K828&amp;L828</f>
        <v>Фролов Сергей ВикторовичИванова Анна Геннадьевна</v>
      </c>
      <c r="K828" t="s">
        <v>5</v>
      </c>
      <c r="L828" t="s">
        <v>9</v>
      </c>
      <c r="M828" t="s">
        <v>418</v>
      </c>
      <c r="N828" t="str">
        <f>O828&amp;P828</f>
        <v>Кузнецов Дмитрий ЛьвовичОрлова Людмила Артемовна</v>
      </c>
      <c r="O828" t="s">
        <v>8</v>
      </c>
      <c r="P828" t="s">
        <v>19</v>
      </c>
      <c r="Q828" t="s">
        <v>179</v>
      </c>
    </row>
    <row r="829">
      <c r="J829" t="str">
        <f>K829&amp;L829</f>
        <v>Сидорова Елена ВасильевнаМорозова Екатерина Ивановна</v>
      </c>
      <c r="K829" t="s">
        <v>15</v>
      </c>
      <c r="L829" t="s">
        <v>207</v>
      </c>
      <c r="M829" t="s">
        <v>418</v>
      </c>
      <c r="N829" t="str">
        <f>O829&amp;P829</f>
        <v>Фролов Сергей ВикторовичИванов Павел Сергеевич</v>
      </c>
      <c r="O829" t="s">
        <v>5</v>
      </c>
      <c r="P829" t="s">
        <v>103</v>
      </c>
      <c r="Q829" t="s">
        <v>179</v>
      </c>
    </row>
    <row r="830">
      <c r="J830" t="str">
        <f>K830&amp;L830</f>
        <v>Сидорова Елена ВасильевнаНиколаева Александра Александровна</v>
      </c>
      <c r="K830" t="s">
        <v>15</v>
      </c>
      <c r="L830" t="s">
        <v>280</v>
      </c>
      <c r="M830" t="s">
        <v>418</v>
      </c>
      <c r="N830" t="str">
        <f>O830&amp;P830</f>
        <v>Ткаченко Андрей ОлеговичОрлова Дарья Станиславовна</v>
      </c>
      <c r="O830" t="s">
        <v>24</v>
      </c>
      <c r="P830" t="s">
        <v>41</v>
      </c>
      <c r="Q830" t="s">
        <v>179</v>
      </c>
    </row>
    <row r="831">
      <c r="J831" t="str">
        <f>K831&amp;L831</f>
        <v>Ткаченко Андрей ОлеговичПопова Полина Романовна</v>
      </c>
      <c r="K831" t="s">
        <v>24</v>
      </c>
      <c r="L831" t="s">
        <v>192</v>
      </c>
      <c r="M831" t="s">
        <v>418</v>
      </c>
      <c r="N831" t="str">
        <f>O831&amp;P831</f>
        <v>Яковлев Артем ИгоревичСтепанов Матвей Михайлович</v>
      </c>
      <c r="O831" t="s">
        <v>21</v>
      </c>
      <c r="P831" t="s">
        <v>144</v>
      </c>
      <c r="Q831" t="s">
        <v>176</v>
      </c>
    </row>
    <row r="832">
      <c r="J832" t="str">
        <f>K832&amp;L832</f>
        <v>Иванова Анна СергеевнаОрлова Анна Владимировна</v>
      </c>
      <c r="K832" t="s">
        <v>11</v>
      </c>
      <c r="L832" t="s">
        <v>6</v>
      </c>
      <c r="M832" t="s">
        <v>418</v>
      </c>
      <c r="N832" t="str">
        <f>O832&amp;P832</f>
        <v>Громова Мария ИльиничнаСидорова Ольга Олеговна</v>
      </c>
      <c r="O832" t="s">
        <v>13</v>
      </c>
      <c r="P832" t="s">
        <v>177</v>
      </c>
      <c r="Q832" t="s">
        <v>176</v>
      </c>
    </row>
    <row r="833">
      <c r="J833" t="str">
        <f>K833&amp;L833</f>
        <v>Яковлев Артем ИгоревичЕгоров Андрей Дмитриевич</v>
      </c>
      <c r="K833" t="s">
        <v>21</v>
      </c>
      <c r="L833" t="s">
        <v>272</v>
      </c>
      <c r="M833" t="s">
        <v>419</v>
      </c>
      <c r="N833" t="str">
        <f>O833&amp;P833</f>
        <v>Новикова Ольга ПетровнаСеменов Михаил Никитич</v>
      </c>
      <c r="O833" t="s">
        <v>17</v>
      </c>
      <c r="P833" t="s">
        <v>172</v>
      </c>
      <c r="Q833" t="s">
        <v>173</v>
      </c>
    </row>
    <row r="834">
      <c r="J834" t="str">
        <f>K834&amp;L834</f>
        <v>Фролов Сергей ВикторовичИванова София Ильинична</v>
      </c>
      <c r="K834" t="s">
        <v>5</v>
      </c>
      <c r="L834" t="s">
        <v>315</v>
      </c>
      <c r="M834" t="s">
        <v>419</v>
      </c>
      <c r="N834" t="str">
        <f>O834&amp;P834</f>
        <v>Новикова Ольга ПетровнаСтепанов Матвей Михайлович</v>
      </c>
      <c r="O834" t="s">
        <v>17</v>
      </c>
      <c r="P834" t="s">
        <v>144</v>
      </c>
      <c r="Q834" t="s">
        <v>173</v>
      </c>
    </row>
    <row r="835">
      <c r="J835" t="str">
        <f>K835&amp;L835</f>
        <v>Белов Алексей КонстантиновичНовикова Анна Ильинична</v>
      </c>
      <c r="K835" t="s">
        <v>47</v>
      </c>
      <c r="L835" t="s">
        <v>35</v>
      </c>
      <c r="M835" t="s">
        <v>420</v>
      </c>
      <c r="N835" t="str">
        <f>O835&amp;P835</f>
        <v>Ткаченко Андрей ОлеговичЛебедева Александра Станиславовна</v>
      </c>
      <c r="O835" t="s">
        <v>24</v>
      </c>
      <c r="P835" t="s">
        <v>132</v>
      </c>
      <c r="Q835" t="s">
        <v>173</v>
      </c>
    </row>
    <row r="836">
      <c r="J836" t="str">
        <f>K836&amp;L836</f>
        <v>Петров Владимир КирилловичКозлов Андрей Ильич</v>
      </c>
      <c r="K836" t="s">
        <v>28</v>
      </c>
      <c r="L836" t="s">
        <v>115</v>
      </c>
      <c r="M836" t="s">
        <v>421</v>
      </c>
      <c r="N836" t="str">
        <f>O836&amp;P836</f>
        <v>Орлов Павел ДенисовичФедоров Алексей Павлович</v>
      </c>
      <c r="O836" t="s">
        <v>43</v>
      </c>
      <c r="P836" t="s">
        <v>174</v>
      </c>
      <c r="Q836" t="s">
        <v>173</v>
      </c>
    </row>
    <row r="837">
      <c r="J837" t="str">
        <f>K837&amp;L837</f>
        <v>Семенова Ирина ВалерьевнаПавлова Валерия Станиславовна</v>
      </c>
      <c r="K837" t="s">
        <v>57</v>
      </c>
      <c r="L837" t="s">
        <v>239</v>
      </c>
      <c r="M837" t="s">
        <v>421</v>
      </c>
      <c r="N837" t="str">
        <f>O837&amp;P837</f>
        <v>Ткаченко Андрей ОлеговичПетров Михаил Егорович</v>
      </c>
      <c r="O837" t="s">
        <v>24</v>
      </c>
      <c r="P837" t="s">
        <v>149</v>
      </c>
      <c r="Q837" t="s">
        <v>173</v>
      </c>
    </row>
    <row r="838">
      <c r="J838" t="str">
        <f>K838&amp;L838</f>
        <v>Громова Мария ИльиничнаМорозова Татьяна Кирилловна</v>
      </c>
      <c r="K838" t="s">
        <v>13</v>
      </c>
      <c r="L838" t="s">
        <v>218</v>
      </c>
      <c r="M838" t="s">
        <v>421</v>
      </c>
      <c r="N838" t="str">
        <f>O838&amp;P838</f>
        <v>Новикова Ольга ПетровнаКузнецов Матвей Олегович</v>
      </c>
      <c r="O838" t="s">
        <v>17</v>
      </c>
      <c r="P838" t="s">
        <v>175</v>
      </c>
      <c r="Q838" t="s">
        <v>173</v>
      </c>
    </row>
    <row r="839">
      <c r="J839" t="str">
        <f>K839&amp;L839</f>
        <v>Яковлев Артем ИгоревичКузнецов Матвей Олегович</v>
      </c>
      <c r="K839" t="s">
        <v>21</v>
      </c>
      <c r="L839" t="s">
        <v>175</v>
      </c>
      <c r="M839" t="s">
        <v>422</v>
      </c>
      <c r="N839" t="str">
        <f>O839&amp;P839</f>
        <v>Фролов Сергей ВикторовичПавлов Кирилл Иванович</v>
      </c>
      <c r="O839" t="s">
        <v>5</v>
      </c>
      <c r="P839" t="s">
        <v>25</v>
      </c>
      <c r="Q839" t="s">
        <v>173</v>
      </c>
    </row>
    <row r="840">
      <c r="J840" t="str">
        <f>K840&amp;L840</f>
        <v>Кузнецов Дмитрий ЛьвовичВолкова Анна Кирилловна</v>
      </c>
      <c r="K840" t="s">
        <v>8</v>
      </c>
      <c r="L840" t="s">
        <v>223</v>
      </c>
      <c r="M840" t="s">
        <v>422</v>
      </c>
      <c r="N840" t="str">
        <f>O840&amp;P840</f>
        <v>Семенова Ирина ВалерьевнаИванов Павел Сергеевич</v>
      </c>
      <c r="O840" t="s">
        <v>57</v>
      </c>
      <c r="P840" t="s">
        <v>103</v>
      </c>
      <c r="Q840" t="s">
        <v>173</v>
      </c>
    </row>
    <row r="841">
      <c r="J841" t="str">
        <f>K841&amp;L841</f>
        <v>Новикова Ольга ПетровнаЛебедева Светлана Никитична</v>
      </c>
      <c r="K841" t="s">
        <v>17</v>
      </c>
      <c r="L841" t="s">
        <v>342</v>
      </c>
      <c r="M841" t="s">
        <v>422</v>
      </c>
      <c r="N841" t="str">
        <f>O841&amp;P841</f>
        <v>Сидорова Елена ВасильевнаИванов Павел Павлович</v>
      </c>
      <c r="O841" t="s">
        <v>15</v>
      </c>
      <c r="P841" t="s">
        <v>80</v>
      </c>
      <c r="Q841" t="s">
        <v>173</v>
      </c>
    </row>
    <row r="842">
      <c r="J842" t="str">
        <f>K842&amp;L842</f>
        <v>Сидорова Елена ВасильевнаВолкова Ирина Никитична</v>
      </c>
      <c r="K842" t="s">
        <v>15</v>
      </c>
      <c r="L842" t="s">
        <v>161</v>
      </c>
      <c r="M842" t="s">
        <v>423</v>
      </c>
      <c r="N842" t="str">
        <f>O842&amp;P842</f>
        <v>Громова Мария ИльиничнаНиколаева Алиса Романовна</v>
      </c>
      <c r="O842" t="s">
        <v>13</v>
      </c>
      <c r="P842" t="s">
        <v>168</v>
      </c>
      <c r="Q842" t="s">
        <v>169</v>
      </c>
    </row>
    <row r="843">
      <c r="J843" t="str">
        <f>K843&amp;L843</f>
        <v>Ткаченко Андрей ОлеговичКозлов Андрей Ильич</v>
      </c>
      <c r="K843" t="s">
        <v>24</v>
      </c>
      <c r="L843" t="s">
        <v>115</v>
      </c>
      <c r="M843" t="s">
        <v>423</v>
      </c>
      <c r="N843" t="str">
        <f>O843&amp;P843</f>
        <v>Фролов Сергей ВикторовичАлексеева Наталья Андреевна</v>
      </c>
      <c r="O843" t="s">
        <v>5</v>
      </c>
      <c r="P843" t="s">
        <v>42</v>
      </c>
      <c r="Q843" t="s">
        <v>169</v>
      </c>
    </row>
    <row r="844">
      <c r="J844" t="str">
        <f>K844&amp;L844</f>
        <v>Белов Алексей КонстантиновичПопова Светлана Дмитриевна</v>
      </c>
      <c r="K844" t="s">
        <v>47</v>
      </c>
      <c r="L844" t="s">
        <v>69</v>
      </c>
      <c r="M844" t="s">
        <v>423</v>
      </c>
      <c r="N844" t="str">
        <f>O844&amp;P844</f>
        <v>Сидорова Елена ВасильевнаОрлов Дмитрий Иванович</v>
      </c>
      <c r="O844" t="s">
        <v>15</v>
      </c>
      <c r="P844" t="s">
        <v>170</v>
      </c>
      <c r="Q844" t="s">
        <v>169</v>
      </c>
    </row>
    <row r="845">
      <c r="J845" t="str">
        <f>K845&amp;L845</f>
        <v>Фролов Сергей ВикторовичНиколаева Дарья Юрьевна</v>
      </c>
      <c r="K845" t="s">
        <v>5</v>
      </c>
      <c r="L845" t="s">
        <v>227</v>
      </c>
      <c r="M845" t="s">
        <v>424</v>
      </c>
      <c r="N845" t="str">
        <f>O845&amp;P845</f>
        <v>Петров Владимир КирилловичОрлова Людмила Артемовна</v>
      </c>
      <c r="O845" t="s">
        <v>28</v>
      </c>
      <c r="P845" t="s">
        <v>19</v>
      </c>
      <c r="Q845" t="s">
        <v>169</v>
      </c>
    </row>
    <row r="846">
      <c r="J846" t="str">
        <f>K846&amp;L846</f>
        <v>Громова Мария ИльиничнаНиколаев Владимир Геннадьевич</v>
      </c>
      <c r="K846" t="s">
        <v>13</v>
      </c>
      <c r="L846" t="s">
        <v>267</v>
      </c>
      <c r="M846" t="s">
        <v>425</v>
      </c>
      <c r="N846" t="str">
        <f>O846&amp;P846</f>
        <v>Иванова Анна СергеевнаСидорова Вероника Романовна</v>
      </c>
      <c r="O846" t="s">
        <v>11</v>
      </c>
      <c r="P846" t="s">
        <v>171</v>
      </c>
      <c r="Q846" t="s">
        <v>169</v>
      </c>
    </row>
    <row r="847">
      <c r="J847" t="str">
        <f>K847&amp;L847</f>
        <v>Петров Владимир КирилловичНиколаева Алиса Ивановна</v>
      </c>
      <c r="K847" t="s">
        <v>28</v>
      </c>
      <c r="L847" t="s">
        <v>119</v>
      </c>
      <c r="M847" t="s">
        <v>425</v>
      </c>
      <c r="N847" t="str">
        <f>O847&amp;P847</f>
        <v>Яковлев Артем ИгоревичИванов Павел Сергеевич</v>
      </c>
      <c r="O847" t="s">
        <v>21</v>
      </c>
      <c r="P847" t="s">
        <v>103</v>
      </c>
      <c r="Q847" t="s">
        <v>167</v>
      </c>
    </row>
    <row r="848">
      <c r="J848" t="str">
        <f>K848&amp;L848</f>
        <v>Орлов Павел ДенисовичНиколаева Ксения Викторовна</v>
      </c>
      <c r="K848" t="s">
        <v>43</v>
      </c>
      <c r="L848" t="s">
        <v>208</v>
      </c>
      <c r="M848" t="s">
        <v>426</v>
      </c>
      <c r="N848" t="str">
        <f>O848&amp;P848</f>
        <v>Семенова Ирина ВалерьевнаСтепанова Валерия Романовна</v>
      </c>
      <c r="O848" t="s">
        <v>57</v>
      </c>
      <c r="P848" t="s">
        <v>99</v>
      </c>
      <c r="Q848" t="s">
        <v>167</v>
      </c>
    </row>
    <row r="849">
      <c r="J849" t="str">
        <f>K849&amp;L849</f>
        <v>Новикова Ольга ПетровнаПавлов Илья Артемович</v>
      </c>
      <c r="K849" t="s">
        <v>17</v>
      </c>
      <c r="L849" t="s">
        <v>158</v>
      </c>
      <c r="M849" t="s">
        <v>427</v>
      </c>
      <c r="N849" t="str">
        <f>O849&amp;P849</f>
        <v>Семенова Ирина ВалерьевнаКузнецов Егор Геннадьевич</v>
      </c>
      <c r="O849" t="s">
        <v>57</v>
      </c>
      <c r="P849" t="s">
        <v>162</v>
      </c>
      <c r="Q849" t="s">
        <v>167</v>
      </c>
    </row>
    <row r="850">
      <c r="J850" t="str">
        <f>K850&amp;L850</f>
        <v>Фролов Сергей ВикторовичСидорова София Дмитриевна</v>
      </c>
      <c r="K850" t="s">
        <v>5</v>
      </c>
      <c r="L850" t="s">
        <v>254</v>
      </c>
      <c r="M850" t="s">
        <v>427</v>
      </c>
      <c r="N850" t="str">
        <f>O850&amp;P850</f>
        <v>Кузнецов Дмитрий ЛьвовичАлексеева Екатерина Павловна</v>
      </c>
      <c r="O850" t="s">
        <v>8</v>
      </c>
      <c r="P850" t="s">
        <v>96</v>
      </c>
      <c r="Q850" t="s">
        <v>167</v>
      </c>
    </row>
    <row r="851">
      <c r="J851" t="str">
        <f>K851&amp;L851</f>
        <v>Орлов Павел ДенисовичСтепанова Алиса Станиславовна</v>
      </c>
      <c r="K851" t="s">
        <v>43</v>
      </c>
      <c r="L851" t="s">
        <v>67</v>
      </c>
      <c r="M851" t="s">
        <v>427</v>
      </c>
      <c r="N851" t="str">
        <f>O851&amp;P851</f>
        <v>Кузнецов Дмитрий ЛьвовичСтепанов Матвей Михайлович</v>
      </c>
      <c r="O851" t="s">
        <v>8</v>
      </c>
      <c r="P851" t="s">
        <v>144</v>
      </c>
      <c r="Q851" t="s">
        <v>166</v>
      </c>
    </row>
    <row r="852">
      <c r="J852" t="str">
        <f>K852&amp;L852</f>
        <v>Яковлев Артем ИгоревичИванов Павел Павлович</v>
      </c>
      <c r="K852" t="s">
        <v>21</v>
      </c>
      <c r="L852" t="s">
        <v>80</v>
      </c>
      <c r="M852" t="s">
        <v>427</v>
      </c>
      <c r="N852" t="str">
        <f>O852&amp;P852</f>
        <v>Новикова Ольга ПетровнаСмирнова Валерия Викторовна</v>
      </c>
      <c r="O852" t="s">
        <v>17</v>
      </c>
      <c r="P852" t="s">
        <v>63</v>
      </c>
      <c r="Q852" t="s">
        <v>166</v>
      </c>
    </row>
    <row r="853">
      <c r="J853" t="str">
        <f>K853&amp;L853</f>
        <v>Белов Алексей КонстантиновичМорозова Екатерина Олеговна</v>
      </c>
      <c r="K853" t="s">
        <v>47</v>
      </c>
      <c r="L853" t="s">
        <v>65</v>
      </c>
      <c r="M853" t="s">
        <v>428</v>
      </c>
      <c r="N853" t="str">
        <f>O853&amp;P853</f>
        <v>Новикова Ольга ПетровнаНовикова Ксения Алексеевна</v>
      </c>
      <c r="O853" t="s">
        <v>17</v>
      </c>
      <c r="P853" t="s">
        <v>147</v>
      </c>
      <c r="Q853" t="s">
        <v>164</v>
      </c>
    </row>
    <row r="854">
      <c r="J854" t="str">
        <f>K854&amp;L854</f>
        <v>Громова Мария ИльиничнаКозлов Дмитрий Сергеевич</v>
      </c>
      <c r="K854" t="s">
        <v>13</v>
      </c>
      <c r="L854" t="s">
        <v>222</v>
      </c>
      <c r="M854" t="s">
        <v>428</v>
      </c>
      <c r="N854" t="str">
        <f>O854&amp;P854</f>
        <v>Орлов Павел ДенисовичФедоров Максим Дмитриевич</v>
      </c>
      <c r="O854" t="s">
        <v>43</v>
      </c>
      <c r="P854" t="s">
        <v>105</v>
      </c>
      <c r="Q854" t="s">
        <v>164</v>
      </c>
    </row>
    <row r="855">
      <c r="J855" t="str">
        <f>K855&amp;L855</f>
        <v>Яковлев Артем ИгоревичОрлова Алиса Дмитриевна</v>
      </c>
      <c r="K855" t="s">
        <v>21</v>
      </c>
      <c r="L855" t="s">
        <v>154</v>
      </c>
      <c r="M855" t="s">
        <v>428</v>
      </c>
      <c r="N855" t="str">
        <f>O855&amp;P855</f>
        <v>Петров Владимир КирилловичИванова Людмила Алексеевна</v>
      </c>
      <c r="O855" t="s">
        <v>28</v>
      </c>
      <c r="P855" t="s">
        <v>59</v>
      </c>
      <c r="Q855" t="s">
        <v>164</v>
      </c>
    </row>
    <row r="856">
      <c r="J856" t="str">
        <f>K856&amp;L856</f>
        <v>Петров Владимир КирилловичСеменов Алексей Михайлович</v>
      </c>
      <c r="K856" t="s">
        <v>28</v>
      </c>
      <c r="L856" t="s">
        <v>299</v>
      </c>
      <c r="M856" t="s">
        <v>428</v>
      </c>
      <c r="N856" t="str">
        <f>O856&amp;P856</f>
        <v>Петров Владимир КирилловичНовикова Ксения Алексеевна</v>
      </c>
      <c r="O856" t="s">
        <v>28</v>
      </c>
      <c r="P856" t="s">
        <v>147</v>
      </c>
      <c r="Q856" t="s">
        <v>164</v>
      </c>
    </row>
    <row r="857">
      <c r="J857" t="str">
        <f>K857&amp;L857</f>
        <v>Яковлев Артем ИгоревичСидорова София Дмитриевна</v>
      </c>
      <c r="K857" t="s">
        <v>21</v>
      </c>
      <c r="L857" t="s">
        <v>254</v>
      </c>
      <c r="M857" t="s">
        <v>428</v>
      </c>
      <c r="N857" t="str">
        <f>O857&amp;P857</f>
        <v>Петров Владимир КирилловичКозлов Павел Романович</v>
      </c>
      <c r="O857" t="s">
        <v>28</v>
      </c>
      <c r="P857" t="s">
        <v>165</v>
      </c>
      <c r="Q857" t="s">
        <v>164</v>
      </c>
    </row>
    <row r="858">
      <c r="J858" t="str">
        <f>K858&amp;L858</f>
        <v>Фролов Сергей ВикторовичФедоров Роман Геннадьевич</v>
      </c>
      <c r="K858" t="s">
        <v>5</v>
      </c>
      <c r="L858" t="s">
        <v>178</v>
      </c>
      <c r="M858" t="s">
        <v>428</v>
      </c>
      <c r="N858" t="str">
        <f>O858&amp;P858</f>
        <v>Громова Мария ИльиничнаПавлов Илья Артемович</v>
      </c>
      <c r="O858" t="s">
        <v>13</v>
      </c>
      <c r="P858" t="s">
        <v>158</v>
      </c>
      <c r="Q858" t="s">
        <v>159</v>
      </c>
    </row>
    <row r="859">
      <c r="J859" t="str">
        <f>K859&amp;L859</f>
        <v>Кузнецов Дмитрий ЛьвовичНиколаева Алиса Романовна</v>
      </c>
      <c r="K859" t="s">
        <v>8</v>
      </c>
      <c r="L859" t="s">
        <v>168</v>
      </c>
      <c r="M859" t="s">
        <v>428</v>
      </c>
      <c r="N859" t="str">
        <f>O859&amp;P859</f>
        <v>Фролов Сергей ВикторовичПопов Александр Владимирович</v>
      </c>
      <c r="O859" t="s">
        <v>5</v>
      </c>
      <c r="P859" t="s">
        <v>160</v>
      </c>
      <c r="Q859" t="s">
        <v>159</v>
      </c>
    </row>
    <row r="860">
      <c r="J860" t="str">
        <f>K860&amp;L860</f>
        <v>Громова Мария ИльиничнаСидорова Вероника Романовна</v>
      </c>
      <c r="K860" t="s">
        <v>13</v>
      </c>
      <c r="L860" t="s">
        <v>171</v>
      </c>
      <c r="M860" t="s">
        <v>428</v>
      </c>
      <c r="N860" t="str">
        <f>O860&amp;P860</f>
        <v>Громова Мария ИльиничнаВолкова Ирина Никитична</v>
      </c>
      <c r="O860" t="s">
        <v>13</v>
      </c>
      <c r="P860" t="s">
        <v>161</v>
      </c>
      <c r="Q860" t="s">
        <v>159</v>
      </c>
    </row>
    <row r="861">
      <c r="J861" t="str">
        <f>K861&amp;L861</f>
        <v>Фролов Сергей ВикторовичОрлова Вероника Сергеевна</v>
      </c>
      <c r="K861" t="s">
        <v>5</v>
      </c>
      <c r="L861" t="s">
        <v>246</v>
      </c>
      <c r="M861" t="s">
        <v>429</v>
      </c>
      <c r="N861" t="str">
        <f>O861&amp;P861</f>
        <v>Яковлев Артем ИгоревичИванова Виктория Михайловна</v>
      </c>
      <c r="O861" t="s">
        <v>21</v>
      </c>
      <c r="P861" t="s">
        <v>33</v>
      </c>
      <c r="Q861" t="s">
        <v>159</v>
      </c>
    </row>
    <row r="862">
      <c r="J862" t="str">
        <f>K862&amp;L862</f>
        <v>Белов Алексей КонстантиновичКозлова София Олеговна</v>
      </c>
      <c r="K862" t="s">
        <v>47</v>
      </c>
      <c r="L862" t="s">
        <v>185</v>
      </c>
      <c r="M862" t="s">
        <v>430</v>
      </c>
      <c r="N862" t="str">
        <f>O862&amp;P862</f>
        <v>Ткаченко Андрей ОлеговичКузнецов Егор Геннадьевич</v>
      </c>
      <c r="O862" t="s">
        <v>24</v>
      </c>
      <c r="P862" t="s">
        <v>162</v>
      </c>
      <c r="Q862" t="s">
        <v>159</v>
      </c>
    </row>
    <row r="863">
      <c r="J863" t="str">
        <f>K863&amp;L863</f>
        <v>Иванова Анна СергеевнаНовиков Илья Геннадьевич</v>
      </c>
      <c r="K863" t="s">
        <v>11</v>
      </c>
      <c r="L863" t="s">
        <v>241</v>
      </c>
      <c r="M863" t="s">
        <v>430</v>
      </c>
      <c r="N863" t="str">
        <f>O863&amp;P863</f>
        <v>Семенова Ирина ВалерьевнаМорозова Юлия Геннадьевна</v>
      </c>
      <c r="O863" t="s">
        <v>57</v>
      </c>
      <c r="P863" t="s">
        <v>163</v>
      </c>
      <c r="Q863" t="s">
        <v>159</v>
      </c>
    </row>
    <row r="864">
      <c r="J864" t="str">
        <f>K864&amp;L864</f>
        <v>Яковлев Артем ИгоревичИванов Матвей Юрьевич</v>
      </c>
      <c r="K864" t="s">
        <v>21</v>
      </c>
      <c r="L864" t="s">
        <v>16</v>
      </c>
      <c r="M864" t="s">
        <v>430</v>
      </c>
      <c r="N864" t="str">
        <f>O864&amp;P864</f>
        <v>Сидорова Елена ВасильевнаПавлова Дарья Андреевна</v>
      </c>
      <c r="O864" t="s">
        <v>15</v>
      </c>
      <c r="P864" t="s">
        <v>78</v>
      </c>
      <c r="Q864" t="s">
        <v>156</v>
      </c>
    </row>
    <row r="865">
      <c r="J865" t="str">
        <f>K865&amp;L865</f>
        <v>Яковлев Артем ИгоревичСтепанов Матвей Михайлович</v>
      </c>
      <c r="K865" t="s">
        <v>21</v>
      </c>
      <c r="L865" t="s">
        <v>144</v>
      </c>
      <c r="M865" t="s">
        <v>430</v>
      </c>
      <c r="N865" t="str">
        <f>O865&amp;P865</f>
        <v>Ткаченко Андрей ОлеговичФедорова Анна Михайловна</v>
      </c>
      <c r="O865" t="s">
        <v>24</v>
      </c>
      <c r="P865" t="s">
        <v>157</v>
      </c>
      <c r="Q865" t="s">
        <v>156</v>
      </c>
    </row>
    <row r="866">
      <c r="J866" t="str">
        <f>K866&amp;L866</f>
        <v>Фролов Сергей ВикторовичМорозов Матвей Романович</v>
      </c>
      <c r="K866" t="s">
        <v>5</v>
      </c>
      <c r="L866" t="s">
        <v>39</v>
      </c>
      <c r="M866" t="s">
        <v>430</v>
      </c>
      <c r="N866" t="str">
        <f>O866&amp;P866</f>
        <v>Белов Алексей КонстантиновичПетров Сергей Александрович</v>
      </c>
      <c r="O866" t="s">
        <v>47</v>
      </c>
      <c r="P866" t="s">
        <v>89</v>
      </c>
      <c r="Q866" t="s">
        <v>155</v>
      </c>
    </row>
    <row r="867">
      <c r="J867" t="str">
        <f>K867&amp;L867</f>
        <v>Кузнецов Дмитрий ЛьвовичСтепанова Юлия Владимировна</v>
      </c>
      <c r="K867" t="s">
        <v>8</v>
      </c>
      <c r="L867" t="s">
        <v>93</v>
      </c>
      <c r="M867" t="s">
        <v>430</v>
      </c>
      <c r="N867" t="str">
        <f>O867&amp;P867</f>
        <v>Петров Владимир КирилловичСтепанова Юлия Владимировна</v>
      </c>
      <c r="O867" t="s">
        <v>28</v>
      </c>
      <c r="P867" t="s">
        <v>93</v>
      </c>
      <c r="Q867" t="s">
        <v>152</v>
      </c>
    </row>
    <row r="868">
      <c r="J868" t="str">
        <f>K868&amp;L868</f>
        <v>Петров Владимир КирилловичПопова Ксения Никитична</v>
      </c>
      <c r="K868" t="s">
        <v>28</v>
      </c>
      <c r="L868" t="s">
        <v>20</v>
      </c>
      <c r="M868" t="s">
        <v>431</v>
      </c>
      <c r="N868" t="str">
        <f>O868&amp;P868</f>
        <v>Громова Мария ИльиничнаСтепанова Людмила Никитична</v>
      </c>
      <c r="O868" t="s">
        <v>13</v>
      </c>
      <c r="P868" t="s">
        <v>153</v>
      </c>
      <c r="Q868" t="s">
        <v>152</v>
      </c>
    </row>
    <row r="869">
      <c r="J869" t="str">
        <f>K869&amp;L869</f>
        <v>Сидорова Елена ВасильевнаВасильева Анна Ильинична</v>
      </c>
      <c r="K869" t="s">
        <v>15</v>
      </c>
      <c r="L869" t="s">
        <v>142</v>
      </c>
      <c r="M869" t="s">
        <v>432</v>
      </c>
      <c r="N869" t="str">
        <f>O869&amp;P869</f>
        <v>Ткаченко Андрей ОлеговичОрлова Алиса Дмитриевна</v>
      </c>
      <c r="O869" t="s">
        <v>24</v>
      </c>
      <c r="P869" t="s">
        <v>154</v>
      </c>
      <c r="Q869" t="s">
        <v>152</v>
      </c>
    </row>
    <row r="870">
      <c r="J870" t="str">
        <f>K870&amp;L870</f>
        <v>Иванова Анна СергеевнаПавлова Валерия Станиславовна</v>
      </c>
      <c r="K870" t="s">
        <v>11</v>
      </c>
      <c r="L870" t="s">
        <v>239</v>
      </c>
      <c r="M870" t="s">
        <v>432</v>
      </c>
      <c r="N870" t="str">
        <f>O870&amp;P870</f>
        <v>Кузнецов Дмитрий ЛьвовичПетров Михаил Егорович</v>
      </c>
      <c r="O870" t="s">
        <v>8</v>
      </c>
      <c r="P870" t="s">
        <v>149</v>
      </c>
      <c r="Q870" t="s">
        <v>150</v>
      </c>
    </row>
    <row r="871">
      <c r="J871" t="str">
        <f>K871&amp;L871</f>
        <v>Яковлев Артем ИгоревичСтепанова Юлия Владимировна</v>
      </c>
      <c r="K871" t="s">
        <v>21</v>
      </c>
      <c r="L871" t="s">
        <v>93</v>
      </c>
      <c r="M871" t="s">
        <v>432</v>
      </c>
      <c r="N871" t="str">
        <f>O871&amp;P871</f>
        <v>Новикова Ольга ПетровнаНиколаев Артур Артемович</v>
      </c>
      <c r="O871" t="s">
        <v>17</v>
      </c>
      <c r="P871" t="s">
        <v>151</v>
      </c>
      <c r="Q871" t="s">
        <v>150</v>
      </c>
    </row>
    <row r="872">
      <c r="J872" t="str">
        <f>K872&amp;L872</f>
        <v>Кузнецов Дмитрий ЛьвовичПетрова Татьяна Дмитриевна</v>
      </c>
      <c r="K872" t="s">
        <v>8</v>
      </c>
      <c r="L872" t="s">
        <v>234</v>
      </c>
      <c r="M872" t="s">
        <v>432</v>
      </c>
      <c r="N872" t="str">
        <f>O872&amp;P872</f>
        <v>Ткаченко Андрей ОлеговичСтепанов Матвей Михайлович</v>
      </c>
      <c r="O872" t="s">
        <v>24</v>
      </c>
      <c r="P872" t="s">
        <v>144</v>
      </c>
      <c r="Q872" t="s">
        <v>145</v>
      </c>
    </row>
    <row r="873">
      <c r="J873" t="str">
        <f>K873&amp;L873</f>
        <v>Сидорова Елена ВасильевнаВасильева Мария Ивановна</v>
      </c>
      <c r="K873" t="s">
        <v>15</v>
      </c>
      <c r="L873" t="s">
        <v>135</v>
      </c>
      <c r="M873" t="s">
        <v>432</v>
      </c>
      <c r="N873" t="str">
        <f>O873&amp;P873</f>
        <v>Яковлев Артем ИгоревичВасильев Дмитрий Михайлович</v>
      </c>
      <c r="O873" t="s">
        <v>21</v>
      </c>
      <c r="P873" t="s">
        <v>146</v>
      </c>
      <c r="Q873" t="s">
        <v>145</v>
      </c>
    </row>
    <row r="874">
      <c r="J874" t="str">
        <f>K874&amp;L874</f>
        <v>Громова Мария ИльиничнаПетров Михаил Егорович</v>
      </c>
      <c r="K874" t="s">
        <v>13</v>
      </c>
      <c r="L874" t="s">
        <v>149</v>
      </c>
      <c r="M874" t="s">
        <v>433</v>
      </c>
      <c r="N874" t="str">
        <f>O874&amp;P874</f>
        <v>Петров Владимир КирилловичСтепанова Валерия Романовна</v>
      </c>
      <c r="O874" t="s">
        <v>28</v>
      </c>
      <c r="P874" t="s">
        <v>99</v>
      </c>
      <c r="Q874" t="s">
        <v>145</v>
      </c>
    </row>
    <row r="875">
      <c r="J875" t="str">
        <f>K875&amp;L875</f>
        <v>Семенова Ирина ВалерьевнаСеменов Михаил Никитич</v>
      </c>
      <c r="K875" t="s">
        <v>57</v>
      </c>
      <c r="L875" t="s">
        <v>172</v>
      </c>
      <c r="M875" t="s">
        <v>433</v>
      </c>
      <c r="N875" t="str">
        <f>O875&amp;P875</f>
        <v>Сидорова Елена ВасильевнаНовикова Ксения Алексеевна</v>
      </c>
      <c r="O875" t="s">
        <v>15</v>
      </c>
      <c r="P875" t="s">
        <v>147</v>
      </c>
      <c r="Q875" t="s">
        <v>145</v>
      </c>
    </row>
    <row r="876">
      <c r="J876" t="str">
        <f>K876&amp;L876</f>
        <v>Яковлев Артем ИгоревичВолкова Мария Егоровна</v>
      </c>
      <c r="K876" t="s">
        <v>21</v>
      </c>
      <c r="L876" t="s">
        <v>196</v>
      </c>
      <c r="M876" t="s">
        <v>433</v>
      </c>
      <c r="N876" t="str">
        <f>O876&amp;P876</f>
        <v>Новикова Ольга ПетровнаСеменова Анна Андреевна</v>
      </c>
      <c r="O876" t="s">
        <v>17</v>
      </c>
      <c r="P876" t="s">
        <v>148</v>
      </c>
      <c r="Q876" t="s">
        <v>145</v>
      </c>
    </row>
    <row r="877">
      <c r="J877" t="str">
        <f>K877&amp;L877</f>
        <v>Сидорова Елена ВасильевнаАлексеева Екатерина Павловна</v>
      </c>
      <c r="K877" t="s">
        <v>15</v>
      </c>
      <c r="L877" t="s">
        <v>96</v>
      </c>
      <c r="M877" t="s">
        <v>433</v>
      </c>
      <c r="N877" t="str">
        <f>O877&amp;P877</f>
        <v>Иванова Анна СергеевнаИванова София Геннадьевна</v>
      </c>
      <c r="O877" t="s">
        <v>11</v>
      </c>
      <c r="P877" t="s">
        <v>121</v>
      </c>
      <c r="Q877" t="s">
        <v>145</v>
      </c>
    </row>
    <row r="878">
      <c r="J878" t="str">
        <f>K878&amp;L878</f>
        <v>Петров Владимир КирилловичИванов Павел Сергеевич</v>
      </c>
      <c r="K878" t="s">
        <v>28</v>
      </c>
      <c r="L878" t="s">
        <v>103</v>
      </c>
      <c r="M878" t="s">
        <v>433</v>
      </c>
      <c r="N878" t="str">
        <f>O878&amp;P878</f>
        <v>Петров Владимир КирилловичСидоров Артур Алексеевич</v>
      </c>
      <c r="O878" t="s">
        <v>28</v>
      </c>
      <c r="P878" t="s">
        <v>50</v>
      </c>
      <c r="Q878" t="s">
        <v>141</v>
      </c>
    </row>
    <row r="879">
      <c r="J879" t="str">
        <f>K879&amp;L879</f>
        <v>Яковлев Артем ИгоревичВолков Константин Александрович</v>
      </c>
      <c r="K879" t="s">
        <v>21</v>
      </c>
      <c r="L879" t="s">
        <v>256</v>
      </c>
      <c r="M879" t="s">
        <v>433</v>
      </c>
      <c r="N879" t="str">
        <f>O879&amp;P879</f>
        <v>Петров Владимир КирилловичВасильева Анна Ильинична</v>
      </c>
      <c r="O879" t="s">
        <v>28</v>
      </c>
      <c r="P879" t="s">
        <v>142</v>
      </c>
      <c r="Q879" t="s">
        <v>141</v>
      </c>
    </row>
    <row r="880">
      <c r="J880" t="str">
        <f>K880&amp;L880</f>
        <v>Ткаченко Андрей ОлеговичФедорова Людмила Дмитриевна</v>
      </c>
      <c r="K880" t="s">
        <v>24</v>
      </c>
      <c r="L880" t="s">
        <v>215</v>
      </c>
      <c r="M880" t="s">
        <v>433</v>
      </c>
      <c r="N880" t="str">
        <f>O880&amp;P880</f>
        <v>Громова Мария ИльиничнаФедорова Екатерина Сергеевна</v>
      </c>
      <c r="O880" t="s">
        <v>13</v>
      </c>
      <c r="P880" t="s">
        <v>143</v>
      </c>
      <c r="Q880" t="s">
        <v>141</v>
      </c>
    </row>
    <row r="881">
      <c r="J881" t="str">
        <f>K881&amp;L881</f>
        <v>Яковлев Артем ИгоревичМорозова Наталья Алексеевна</v>
      </c>
      <c r="K881" t="s">
        <v>21</v>
      </c>
      <c r="L881" t="s">
        <v>209</v>
      </c>
      <c r="M881" t="s">
        <v>433</v>
      </c>
      <c r="N881" t="str">
        <f>O881&amp;P881</f>
        <v>Сидорова Елена ВасильевнаМорозов Никита Ильич</v>
      </c>
      <c r="O881" t="s">
        <v>15</v>
      </c>
      <c r="P881" t="s">
        <v>138</v>
      </c>
      <c r="Q881" t="s">
        <v>139</v>
      </c>
    </row>
    <row r="882">
      <c r="J882" t="str">
        <f>K882&amp;L882</f>
        <v>Петров Владимир КирилловичКузнецова Ольга Геннадьевна</v>
      </c>
      <c r="K882" t="s">
        <v>28</v>
      </c>
      <c r="L882" t="s">
        <v>61</v>
      </c>
      <c r="M882" t="s">
        <v>433</v>
      </c>
      <c r="N882" t="str">
        <f>O882&amp;P882</f>
        <v>Новикова Ольга ПетровнаКозлов Андрей Ильич</v>
      </c>
      <c r="O882" t="s">
        <v>17</v>
      </c>
      <c r="P882" t="s">
        <v>115</v>
      </c>
      <c r="Q882" t="s">
        <v>139</v>
      </c>
    </row>
    <row r="883">
      <c r="J883" t="str">
        <f>K883&amp;L883</f>
        <v>Иванова Анна СергеевнаПавлова Валерия Станиславовна</v>
      </c>
      <c r="K883" t="s">
        <v>11</v>
      </c>
      <c r="L883" t="s">
        <v>239</v>
      </c>
      <c r="M883" t="s">
        <v>434</v>
      </c>
      <c r="N883" t="str">
        <f>O883&amp;P883</f>
        <v>Семенова Ирина ВалерьевнаЕгорова Ирина Кирилловна</v>
      </c>
      <c r="O883" t="s">
        <v>57</v>
      </c>
      <c r="P883" t="s">
        <v>140</v>
      </c>
      <c r="Q883" t="s">
        <v>139</v>
      </c>
    </row>
    <row r="884">
      <c r="J884" t="str">
        <f>K884&amp;L884</f>
        <v>Новикова Ольга ПетровнаОрлова Дарья Станиславовна</v>
      </c>
      <c r="K884" t="s">
        <v>17</v>
      </c>
      <c r="L884" t="s">
        <v>41</v>
      </c>
      <c r="M884" t="s">
        <v>434</v>
      </c>
      <c r="N884" t="str">
        <f>O884&amp;P884</f>
        <v>Сидорова Елена ВасильевнаВасильева Мария Ивановна</v>
      </c>
      <c r="O884" t="s">
        <v>15</v>
      </c>
      <c r="P884" t="s">
        <v>135</v>
      </c>
      <c r="Q884" t="s">
        <v>136</v>
      </c>
    </row>
    <row r="885">
      <c r="J885" t="str">
        <f>K885&amp;L885</f>
        <v>Белов Алексей КонстантиновичСмирнова Валерия Викторовна</v>
      </c>
      <c r="K885" t="s">
        <v>47</v>
      </c>
      <c r="L885" t="s">
        <v>63</v>
      </c>
      <c r="M885" t="s">
        <v>435</v>
      </c>
      <c r="N885" t="str">
        <f>O885&amp;P885</f>
        <v>Фролов Сергей ВикторовичВолков Владимир Геннадьевич</v>
      </c>
      <c r="O885" t="s">
        <v>5</v>
      </c>
      <c r="P885" t="s">
        <v>137</v>
      </c>
      <c r="Q885" t="s">
        <v>136</v>
      </c>
    </row>
    <row r="886">
      <c r="J886" t="str">
        <f>K886&amp;L886</f>
        <v>Кузнецов Дмитрий ЛьвовичКозлов Артур Андреевич</v>
      </c>
      <c r="K886" t="s">
        <v>8</v>
      </c>
      <c r="L886" t="s">
        <v>98</v>
      </c>
      <c r="M886" t="s">
        <v>436</v>
      </c>
      <c r="N886" t="str">
        <f>O886&amp;P886</f>
        <v>Новикова Ольга ПетровнаНовикова Людмила Павловна</v>
      </c>
      <c r="O886" t="s">
        <v>17</v>
      </c>
      <c r="P886" t="s">
        <v>116</v>
      </c>
      <c r="Q886" t="s">
        <v>136</v>
      </c>
    </row>
    <row r="887">
      <c r="J887" t="str">
        <f>K887&amp;L887</f>
        <v>Новикова Ольга ПетровнаСеменов Константин Артемович</v>
      </c>
      <c r="K887" t="s">
        <v>17</v>
      </c>
      <c r="L887" t="s">
        <v>102</v>
      </c>
      <c r="M887" t="s">
        <v>437</v>
      </c>
      <c r="N887" t="str">
        <f>O887&amp;P887</f>
        <v>Семенова Ирина ВалерьевнаАлексеева Наталья Андреевна</v>
      </c>
      <c r="O887" t="s">
        <v>57</v>
      </c>
      <c r="P887" t="s">
        <v>42</v>
      </c>
      <c r="Q887" t="s">
        <v>134</v>
      </c>
    </row>
    <row r="888">
      <c r="J888" t="str">
        <f>K888&amp;L888</f>
        <v>Сидорова Елена ВасильевнаСидорова Екатерина Романовна</v>
      </c>
      <c r="K888" t="s">
        <v>15</v>
      </c>
      <c r="L888" t="s">
        <v>257</v>
      </c>
      <c r="M888" t="s">
        <v>437</v>
      </c>
      <c r="N888" t="str">
        <f>O888&amp;P888</f>
        <v>Сидорова Елена ВасильевнаНиколаев Георгий Ильич</v>
      </c>
      <c r="O888" t="s">
        <v>15</v>
      </c>
      <c r="P888" t="s">
        <v>91</v>
      </c>
      <c r="Q888" t="s">
        <v>127</v>
      </c>
    </row>
    <row r="889">
      <c r="J889" t="str">
        <f>K889&amp;L889</f>
        <v>Громова Мария ИльиничнаМорозов Никита Ильич</v>
      </c>
      <c r="K889" t="s">
        <v>13</v>
      </c>
      <c r="L889" t="s">
        <v>138</v>
      </c>
      <c r="M889" t="s">
        <v>437</v>
      </c>
      <c r="N889" t="str">
        <f>O889&amp;P889</f>
        <v>Петров Владимир КирилловичИванов Павел Павлович</v>
      </c>
      <c r="O889" t="s">
        <v>28</v>
      </c>
      <c r="P889" t="s">
        <v>80</v>
      </c>
      <c r="Q889" t="s">
        <v>127</v>
      </c>
    </row>
    <row r="890">
      <c r="J890" t="str">
        <f>K890&amp;L890</f>
        <v>Новикова Ольга ПетровнаВасильев Кирилл Иванович</v>
      </c>
      <c r="K890" t="s">
        <v>17</v>
      </c>
      <c r="L890" t="s">
        <v>284</v>
      </c>
      <c r="M890" t="s">
        <v>437</v>
      </c>
      <c r="N890" t="str">
        <f>O890&amp;P890</f>
        <v>Ткаченко Андрей ОлеговичСидоров Сергей Егорович</v>
      </c>
      <c r="O890" t="s">
        <v>24</v>
      </c>
      <c r="P890" t="s">
        <v>128</v>
      </c>
      <c r="Q890" t="s">
        <v>127</v>
      </c>
    </row>
    <row r="891">
      <c r="J891" t="str">
        <f>K891&amp;L891</f>
        <v>Ткаченко Андрей ОлеговичПавлов Максим Владимирович</v>
      </c>
      <c r="K891" t="s">
        <v>24</v>
      </c>
      <c r="L891" t="s">
        <v>383</v>
      </c>
      <c r="M891" t="s">
        <v>437</v>
      </c>
      <c r="N891" t="str">
        <f>O891&amp;P891</f>
        <v>Кузнецов Дмитрий ЛьвовичКузнецов Сергей Артемович</v>
      </c>
      <c r="O891" t="s">
        <v>8</v>
      </c>
      <c r="P891" t="s">
        <v>129</v>
      </c>
      <c r="Q891" t="s">
        <v>127</v>
      </c>
    </row>
    <row r="892">
      <c r="J892" t="str">
        <f>K892&amp;L892</f>
        <v>Белов Алексей КонстантиновичЕгорова Ирина Кирилловна</v>
      </c>
      <c r="K892" t="s">
        <v>47</v>
      </c>
      <c r="L892" t="s">
        <v>140</v>
      </c>
      <c r="M892" t="s">
        <v>437</v>
      </c>
      <c r="N892" t="str">
        <f>O892&amp;P892</f>
        <v>Фролов Сергей ВикторовичСтепанова Юлия Владимировна</v>
      </c>
      <c r="O892" t="s">
        <v>5</v>
      </c>
      <c r="P892" t="s">
        <v>93</v>
      </c>
      <c r="Q892" t="s">
        <v>127</v>
      </c>
    </row>
    <row r="893">
      <c r="J893" t="str">
        <f>K893&amp;L893</f>
        <v>Громова Мария ИльиничнаНиколаева Елена Геннадьевна</v>
      </c>
      <c r="K893" t="s">
        <v>13</v>
      </c>
      <c r="L893" t="s">
        <v>73</v>
      </c>
      <c r="M893" t="s">
        <v>437</v>
      </c>
      <c r="N893" t="str">
        <f>O893&amp;P893</f>
        <v>Иванова Анна СергеевнаКузнецов Владимир Станиславович</v>
      </c>
      <c r="O893" t="s">
        <v>11</v>
      </c>
      <c r="P893" t="s">
        <v>130</v>
      </c>
      <c r="Q893" t="s">
        <v>127</v>
      </c>
    </row>
    <row r="894">
      <c r="J894" t="str">
        <f>K894&amp;L894</f>
        <v>Орлов Павел ДенисовичИванова Ксения Александровна</v>
      </c>
      <c r="K894" t="s">
        <v>43</v>
      </c>
      <c r="L894" t="s">
        <v>265</v>
      </c>
      <c r="M894" t="s">
        <v>437</v>
      </c>
      <c r="N894" t="str">
        <f>O894&amp;P894</f>
        <v>Ткаченко Андрей ОлеговичОрлова Дарья Владимировна</v>
      </c>
      <c r="O894" t="s">
        <v>24</v>
      </c>
      <c r="P894" t="s">
        <v>87</v>
      </c>
      <c r="Q894" t="s">
        <v>127</v>
      </c>
    </row>
    <row r="895">
      <c r="J895" t="str">
        <f>K895&amp;L895</f>
        <v>Громова Мария ИльиничнаСидоров Алексей Кириллович</v>
      </c>
      <c r="K895" t="s">
        <v>13</v>
      </c>
      <c r="L895" t="s">
        <v>14</v>
      </c>
      <c r="M895" t="s">
        <v>437</v>
      </c>
      <c r="N895" t="str">
        <f>O895&amp;P895</f>
        <v>Фролов Сергей ВикторовичПавлов Андрей Викторович</v>
      </c>
      <c r="O895" t="s">
        <v>5</v>
      </c>
      <c r="P895" t="s">
        <v>131</v>
      </c>
      <c r="Q895" t="s">
        <v>127</v>
      </c>
    </row>
    <row r="896">
      <c r="J896" t="str">
        <f>K896&amp;L896</f>
        <v>Иванова Анна СергеевнаПопов Александр Владимирович</v>
      </c>
      <c r="K896" t="s">
        <v>11</v>
      </c>
      <c r="L896" t="s">
        <v>160</v>
      </c>
      <c r="M896" t="s">
        <v>437</v>
      </c>
      <c r="N896" t="str">
        <f>O896&amp;P896</f>
        <v>Иванова Анна СергеевнаКузнецов Алексей Иванович</v>
      </c>
      <c r="O896" t="s">
        <v>11</v>
      </c>
      <c r="P896" t="s">
        <v>110</v>
      </c>
      <c r="Q896" t="s">
        <v>127</v>
      </c>
    </row>
    <row r="897">
      <c r="J897" t="str">
        <f>K897&amp;L897</f>
        <v>Кузнецов Дмитрий ЛьвовичЕгоров Андрей Дмитриевич</v>
      </c>
      <c r="K897" t="s">
        <v>8</v>
      </c>
      <c r="L897" t="s">
        <v>272</v>
      </c>
      <c r="M897" t="s">
        <v>438</v>
      </c>
      <c r="N897" t="str">
        <f>O897&amp;P897</f>
        <v>Фролов Сергей ВикторовичЛебедева Александра Станиславовна</v>
      </c>
      <c r="O897" t="s">
        <v>5</v>
      </c>
      <c r="P897" t="s">
        <v>132</v>
      </c>
      <c r="Q897" t="s">
        <v>127</v>
      </c>
    </row>
    <row r="898">
      <c r="J898" t="str">
        <f>K898&amp;L898</f>
        <v>Громова Мария ИльиничнаПопова Полина Романовна</v>
      </c>
      <c r="K898" t="s">
        <v>13</v>
      </c>
      <c r="L898" t="s">
        <v>192</v>
      </c>
      <c r="M898" t="s">
        <v>438</v>
      </c>
      <c r="N898" t="str">
        <f>O898&amp;P898</f>
        <v>Орлов Павел ДенисовичИванова Елена Алексеевна</v>
      </c>
      <c r="O898" t="s">
        <v>43</v>
      </c>
      <c r="P898" t="s">
        <v>118</v>
      </c>
      <c r="Q898" t="s">
        <v>127</v>
      </c>
    </row>
    <row r="899">
      <c r="J899" t="str">
        <f>K899&amp;L899</f>
        <v>Орлов Павел ДенисовичВасильев Александр Павлович</v>
      </c>
      <c r="K899" t="s">
        <v>43</v>
      </c>
      <c r="L899" t="s">
        <v>291</v>
      </c>
      <c r="M899" t="s">
        <v>439</v>
      </c>
      <c r="N899" t="str">
        <f>O899&amp;P899</f>
        <v>Новикова Ольга ПетровнаЛебедев Кирилл Сергеевич</v>
      </c>
      <c r="O899" t="s">
        <v>17</v>
      </c>
      <c r="P899" t="s">
        <v>133</v>
      </c>
      <c r="Q899" t="s">
        <v>127</v>
      </c>
    </row>
    <row r="900">
      <c r="J900" t="str">
        <f>K900&amp;L900</f>
        <v>Орлов Павел ДенисовичФедоров Дмитрий Сергеевич</v>
      </c>
      <c r="K900" t="s">
        <v>43</v>
      </c>
      <c r="L900" t="s">
        <v>56</v>
      </c>
      <c r="M900" t="s">
        <v>439</v>
      </c>
      <c r="N900" t="str">
        <f>O900&amp;P900</f>
        <v>Новикова Ольга ПетровнаНиколаев Георгий Ильич</v>
      </c>
      <c r="O900" t="s">
        <v>17</v>
      </c>
      <c r="P900" t="s">
        <v>91</v>
      </c>
      <c r="Q900" t="s">
        <v>126</v>
      </c>
    </row>
    <row r="901">
      <c r="J901" t="str">
        <f>K901&amp;L901</f>
        <v>Белов Алексей КонстантиновичЛебедева Полина Никитична</v>
      </c>
      <c r="K901" t="s">
        <v>47</v>
      </c>
      <c r="L901" t="s">
        <v>273</v>
      </c>
      <c r="M901" t="s">
        <v>439</v>
      </c>
      <c r="N901" t="str">
        <f>O901&amp;P901</f>
        <v>Сидорова Елена ВасильевнаПопов Артем Егорович</v>
      </c>
      <c r="O901" t="s">
        <v>15</v>
      </c>
      <c r="P901" t="s">
        <v>124</v>
      </c>
      <c r="Q901" t="s">
        <v>125</v>
      </c>
    </row>
    <row r="902">
      <c r="J902" t="str">
        <f>K902&amp;L902</f>
        <v>Семенова Ирина ВалерьевнаНиколаев Владимир Егорович</v>
      </c>
      <c r="K902" t="s">
        <v>57</v>
      </c>
      <c r="L902" t="s">
        <v>190</v>
      </c>
      <c r="M902" t="s">
        <v>440</v>
      </c>
      <c r="N902" t="str">
        <f>O902&amp;P902</f>
        <v>Кузнецов Дмитрий ЛьвовичЕгорова Ольга Юрьевна</v>
      </c>
      <c r="O902" t="s">
        <v>8</v>
      </c>
      <c r="P902" t="s">
        <v>83</v>
      </c>
      <c r="Q902" t="s">
        <v>122</v>
      </c>
    </row>
    <row r="903">
      <c r="J903" t="str">
        <f>K903&amp;L903</f>
        <v>Семенова Ирина ВалерьевнаНиколаев Георгий Ильич</v>
      </c>
      <c r="K903" t="s">
        <v>57</v>
      </c>
      <c r="L903" t="s">
        <v>91</v>
      </c>
      <c r="M903" t="s">
        <v>440</v>
      </c>
      <c r="N903" t="str">
        <f>O903&amp;P903</f>
        <v>Семенова Ирина ВалерьевнаСтепанов Кирилл Павлович</v>
      </c>
      <c r="O903" t="s">
        <v>57</v>
      </c>
      <c r="P903" t="s">
        <v>123</v>
      </c>
      <c r="Q903" t="s">
        <v>122</v>
      </c>
    </row>
    <row r="904">
      <c r="J904" t="str">
        <f>K904&amp;L904</f>
        <v>Сидорова Елена ВасильевнаСидорова Ольга Олеговна</v>
      </c>
      <c r="K904" t="s">
        <v>15</v>
      </c>
      <c r="L904" t="s">
        <v>177</v>
      </c>
      <c r="M904" t="s">
        <v>441</v>
      </c>
      <c r="N904" t="str">
        <f>O904&amp;P904</f>
        <v>Иванова Анна СергеевнаНиколаева Алиса Ивановна</v>
      </c>
      <c r="O904" t="s">
        <v>11</v>
      </c>
      <c r="P904" t="s">
        <v>119</v>
      </c>
      <c r="Q904" t="s">
        <v>120</v>
      </c>
    </row>
    <row r="905">
      <c r="J905" t="str">
        <f>K905&amp;L905</f>
        <v>Иванова Анна СергеевнаВасильев Алексей Андреевич</v>
      </c>
      <c r="K905" t="s">
        <v>11</v>
      </c>
      <c r="L905" t="s">
        <v>81</v>
      </c>
      <c r="M905" t="s">
        <v>441</v>
      </c>
      <c r="N905" t="str">
        <f>O905&amp;P905</f>
        <v>Громова Мария ИльиничнаИванова София Геннадьевна</v>
      </c>
      <c r="O905" t="s">
        <v>13</v>
      </c>
      <c r="P905" t="s">
        <v>121</v>
      </c>
      <c r="Q905" t="s">
        <v>120</v>
      </c>
    </row>
    <row r="906">
      <c r="J906" t="str">
        <f>K906&amp;L906</f>
        <v>Петров Владимир КирилловичКозлова Полина Викторовна</v>
      </c>
      <c r="K906" t="s">
        <v>28</v>
      </c>
      <c r="L906" t="s">
        <v>217</v>
      </c>
      <c r="M906" t="s">
        <v>441</v>
      </c>
      <c r="N906" t="str">
        <f>O906&amp;P906</f>
        <v>Белов Алексей КонстантиновичСеменов Константин Артемович</v>
      </c>
      <c r="O906" t="s">
        <v>47</v>
      </c>
      <c r="P906" t="s">
        <v>102</v>
      </c>
      <c r="Q906" t="s">
        <v>120</v>
      </c>
    </row>
    <row r="907">
      <c r="J907" t="str">
        <f>K907&amp;L907</f>
        <v>Новикова Ольга ПетровнаЕгорова Валерия Сергеевна</v>
      </c>
      <c r="K907" t="s">
        <v>17</v>
      </c>
      <c r="L907" t="s">
        <v>85</v>
      </c>
      <c r="M907" t="s">
        <v>441</v>
      </c>
      <c r="N907" t="str">
        <f>O907&amp;P907</f>
        <v>Фролов Сергей ВикторовичАлексеева Екатерина Павловна</v>
      </c>
      <c r="O907" t="s">
        <v>5</v>
      </c>
      <c r="P907" t="s">
        <v>96</v>
      </c>
      <c r="Q907" t="s">
        <v>120</v>
      </c>
    </row>
    <row r="908">
      <c r="J908" t="str">
        <f>K908&amp;L908</f>
        <v>Иванова Анна СергеевнаОрлова Алиса Дмитриевна</v>
      </c>
      <c r="K908" t="s">
        <v>11</v>
      </c>
      <c r="L908" t="s">
        <v>154</v>
      </c>
      <c r="M908" t="s">
        <v>441</v>
      </c>
      <c r="N908" t="str">
        <f>O908&amp;P908</f>
        <v>Иванова Анна СергеевнаПопов Матвей Викторович</v>
      </c>
      <c r="O908" t="s">
        <v>11</v>
      </c>
      <c r="P908" t="s">
        <v>113</v>
      </c>
      <c r="Q908" t="s">
        <v>114</v>
      </c>
    </row>
    <row r="909">
      <c r="J909" t="str">
        <f>K909&amp;L909</f>
        <v>Яковлев Артем ИгоревичКозлов Дмитрий Сергеевич</v>
      </c>
      <c r="K909" t="s">
        <v>21</v>
      </c>
      <c r="L909" t="s">
        <v>222</v>
      </c>
      <c r="M909" t="s">
        <v>442</v>
      </c>
      <c r="N909" t="str">
        <f>O909&amp;P909</f>
        <v>Новикова Ольга ПетровнаКозлов Андрей Ильич</v>
      </c>
      <c r="O909" t="s">
        <v>17</v>
      </c>
      <c r="P909" t="s">
        <v>115</v>
      </c>
      <c r="Q909" t="s">
        <v>114</v>
      </c>
    </row>
    <row r="910">
      <c r="J910" t="str">
        <f>K910&amp;L910</f>
        <v>Ткаченко Андрей ОлеговичВасильев Алексей Андреевич</v>
      </c>
      <c r="K910" t="s">
        <v>24</v>
      </c>
      <c r="L910" t="s">
        <v>81</v>
      </c>
      <c r="M910" t="s">
        <v>442</v>
      </c>
      <c r="N910" t="str">
        <f>O910&amp;P910</f>
        <v>Громова Мария ИльиничнаЕгорова Татьяна Ильинична</v>
      </c>
      <c r="O910" t="s">
        <v>13</v>
      </c>
      <c r="P910" t="s">
        <v>12</v>
      </c>
      <c r="Q910" t="s">
        <v>114</v>
      </c>
    </row>
    <row r="911">
      <c r="J911" t="str">
        <f>K911&amp;L911</f>
        <v>Петров Владимир КирилловичСмирнова Наталья Артемовна</v>
      </c>
      <c r="K911" t="s">
        <v>28</v>
      </c>
      <c r="L911" t="s">
        <v>331</v>
      </c>
      <c r="M911" t="s">
        <v>442</v>
      </c>
      <c r="N911" t="str">
        <f>O911&amp;P911</f>
        <v>Орлов Павел ДенисовичНовикова Людмила Павловна</v>
      </c>
      <c r="O911" t="s">
        <v>43</v>
      </c>
      <c r="P911" t="s">
        <v>116</v>
      </c>
      <c r="Q911" t="s">
        <v>114</v>
      </c>
    </row>
    <row r="912">
      <c r="J912" t="str">
        <f>K912&amp;L912</f>
        <v>Сидорова Елена ВасильевнаНиколаева Алиса Романовна</v>
      </c>
      <c r="K912" t="s">
        <v>15</v>
      </c>
      <c r="L912" t="s">
        <v>168</v>
      </c>
      <c r="M912" t="s">
        <v>442</v>
      </c>
      <c r="N912" t="str">
        <f>O912&amp;P912</f>
        <v>Иванова Анна СергеевнаПетров Егор Викторович</v>
      </c>
      <c r="O912" t="s">
        <v>11</v>
      </c>
      <c r="P912" t="s">
        <v>117</v>
      </c>
      <c r="Q912" t="s">
        <v>114</v>
      </c>
    </row>
    <row r="913">
      <c r="J913" t="str">
        <f>K913&amp;L913</f>
        <v>Новикова Ольга ПетровнаАлексеев Иван Иванович</v>
      </c>
      <c r="K913" t="s">
        <v>17</v>
      </c>
      <c r="L913" t="s">
        <v>70</v>
      </c>
      <c r="M913" t="s">
        <v>442</v>
      </c>
      <c r="N913" t="str">
        <f>O913&amp;P913</f>
        <v>Семенова Ирина ВалерьевнаИванова Елена Алексеевна</v>
      </c>
      <c r="O913" t="s">
        <v>57</v>
      </c>
      <c r="P913" t="s">
        <v>118</v>
      </c>
      <c r="Q913" t="s">
        <v>114</v>
      </c>
    </row>
    <row r="914">
      <c r="J914" t="str">
        <f>K914&amp;L914</f>
        <v>Новикова Ольга ПетровнаФедоров Максим Дмитриевич</v>
      </c>
      <c r="K914" t="s">
        <v>17</v>
      </c>
      <c r="L914" t="s">
        <v>105</v>
      </c>
      <c r="M914" t="s">
        <v>442</v>
      </c>
      <c r="N914" t="str">
        <f>O914&amp;P914</f>
        <v>Сидорова Елена ВасильевнаИванова Виктория Михайловна</v>
      </c>
      <c r="O914" t="s">
        <v>15</v>
      </c>
      <c r="P914" t="s">
        <v>33</v>
      </c>
      <c r="Q914" t="s">
        <v>114</v>
      </c>
    </row>
    <row r="915">
      <c r="J915" t="str">
        <f>K915&amp;L915</f>
        <v>Громова Мария ИльиничнаНовикова Людмила Павловна</v>
      </c>
      <c r="K915" t="s">
        <v>13</v>
      </c>
      <c r="L915" t="s">
        <v>116</v>
      </c>
      <c r="M915" t="s">
        <v>443</v>
      </c>
      <c r="N915" t="str">
        <f>O915&amp;P915</f>
        <v>Сидорова Елена ВасильевнаПавлова София Артемовна</v>
      </c>
      <c r="O915" t="s">
        <v>15</v>
      </c>
      <c r="P915" t="s">
        <v>111</v>
      </c>
      <c r="Q915" t="s">
        <v>112</v>
      </c>
    </row>
    <row r="916">
      <c r="J916" t="str">
        <f>K916&amp;L916</f>
        <v>Белов Алексей КонстантиновичАлексеев Иван Иванович</v>
      </c>
      <c r="K916" t="s">
        <v>47</v>
      </c>
      <c r="L916" t="s">
        <v>70</v>
      </c>
      <c r="M916" t="s">
        <v>443</v>
      </c>
      <c r="N916" t="str">
        <f>O916&amp;P916</f>
        <v>Орлов Павел ДенисовичМорозова Светлана Сергеевна</v>
      </c>
      <c r="O916" t="s">
        <v>43</v>
      </c>
      <c r="P916" t="s">
        <v>108</v>
      </c>
      <c r="Q916" t="s">
        <v>109</v>
      </c>
    </row>
    <row r="917">
      <c r="J917" t="str">
        <f>K917&amp;L917</f>
        <v>Громова Мария ИльиничнаФедорова Анна Михайловна</v>
      </c>
      <c r="K917" t="s">
        <v>13</v>
      </c>
      <c r="L917" t="s">
        <v>157</v>
      </c>
      <c r="M917" t="s">
        <v>443</v>
      </c>
      <c r="N917" t="str">
        <f>O917&amp;P917</f>
        <v>Петров Владимир КирилловичКузнецов Алексей Иванович</v>
      </c>
      <c r="O917" t="s">
        <v>28</v>
      </c>
      <c r="P917" t="s">
        <v>110</v>
      </c>
      <c r="Q917" t="s">
        <v>109</v>
      </c>
    </row>
    <row r="918">
      <c r="J918" t="str">
        <f>K918&amp;L918</f>
        <v>Громова Мария ИльиничнаМорозова Вероника Олеговна</v>
      </c>
      <c r="K918" t="s">
        <v>13</v>
      </c>
      <c r="L918" t="s">
        <v>68</v>
      </c>
      <c r="M918" t="s">
        <v>443</v>
      </c>
      <c r="N918" t="str">
        <f>O918&amp;P918</f>
        <v>Петров Владимир КирилловичПопов Роман Сергеевич</v>
      </c>
      <c r="O918" t="s">
        <v>28</v>
      </c>
      <c r="P918" t="s">
        <v>106</v>
      </c>
      <c r="Q918" t="s">
        <v>107</v>
      </c>
    </row>
    <row r="919">
      <c r="J919" t="str">
        <f>K919&amp;L919</f>
        <v>Белов Алексей КонстантиновичНиколаева Ксения Викторовна</v>
      </c>
      <c r="K919" t="s">
        <v>47</v>
      </c>
      <c r="L919" t="s">
        <v>208</v>
      </c>
      <c r="M919" t="s">
        <v>444</v>
      </c>
      <c r="N919" t="str">
        <f>O919&amp;P919</f>
        <v>Фролов Сергей ВикторовичИванов Павел Сергеевич</v>
      </c>
      <c r="O919" t="s">
        <v>5</v>
      </c>
      <c r="P919" t="s">
        <v>103</v>
      </c>
      <c r="Q919" t="s">
        <v>104</v>
      </c>
    </row>
    <row r="920">
      <c r="J920" t="str">
        <f>K920&amp;L920</f>
        <v>Белов Алексей КонстантиновичПавлов Андрей Викторович</v>
      </c>
      <c r="K920" t="s">
        <v>47</v>
      </c>
      <c r="L920" t="s">
        <v>131</v>
      </c>
      <c r="M920" t="s">
        <v>445</v>
      </c>
      <c r="N920" t="str">
        <f>O920&amp;P920</f>
        <v>Сидорова Елена ВасильевнаФедоров Максим Дмитриевич</v>
      </c>
      <c r="O920" t="s">
        <v>15</v>
      </c>
      <c r="P920" t="s">
        <v>105</v>
      </c>
      <c r="Q920" t="s">
        <v>104</v>
      </c>
    </row>
    <row r="921">
      <c r="J921" t="str">
        <f>K921&amp;L921</f>
        <v>Семенова Ирина ВалерьевнаКозлов Дмитрий Сергеевич</v>
      </c>
      <c r="K921" t="s">
        <v>57</v>
      </c>
      <c r="L921" t="s">
        <v>222</v>
      </c>
      <c r="M921" t="s">
        <v>446</v>
      </c>
      <c r="N921" t="str">
        <f>O921&amp;P921</f>
        <v>Петров Владимир КирилловичСтепанова Юлия Владимировна</v>
      </c>
      <c r="O921" t="s">
        <v>28</v>
      </c>
      <c r="P921" t="s">
        <v>93</v>
      </c>
      <c r="Q921" t="s">
        <v>94</v>
      </c>
    </row>
    <row r="922">
      <c r="J922" t="str">
        <f>K922&amp;L922</f>
        <v>Кузнецов Дмитрий ЛьвовичЛебедев Дмитрий Олегович</v>
      </c>
      <c r="K922" t="s">
        <v>8</v>
      </c>
      <c r="L922" t="s">
        <v>75</v>
      </c>
      <c r="M922" t="s">
        <v>446</v>
      </c>
      <c r="N922" t="str">
        <f>O922&amp;P922</f>
        <v>Иванова Анна СергеевнаВолкова Мария Ильинична</v>
      </c>
      <c r="O922" t="s">
        <v>11</v>
      </c>
      <c r="P922" t="s">
        <v>95</v>
      </c>
      <c r="Q922" t="s">
        <v>94</v>
      </c>
    </row>
    <row r="923">
      <c r="J923" t="str">
        <f>K923&amp;L923</f>
        <v>Яковлев Артем ИгоревичКузнецова Виктория Ивановна</v>
      </c>
      <c r="K923" t="s">
        <v>21</v>
      </c>
      <c r="L923" t="s">
        <v>287</v>
      </c>
      <c r="M923" t="s">
        <v>446</v>
      </c>
      <c r="N923" t="str">
        <f>O923&amp;P923</f>
        <v>Яковлев Артем ИгоревичАлексеева Екатерина Павловна</v>
      </c>
      <c r="O923" t="s">
        <v>21</v>
      </c>
      <c r="P923" t="s">
        <v>96</v>
      </c>
      <c r="Q923" t="s">
        <v>94</v>
      </c>
    </row>
    <row r="924">
      <c r="J924" t="str">
        <f>K924&amp;L924</f>
        <v>Сидорова Елена ВасильевнаПавлова Елена Викторовна</v>
      </c>
      <c r="K924" t="s">
        <v>15</v>
      </c>
      <c r="L924" t="s">
        <v>305</v>
      </c>
      <c r="M924" t="s">
        <v>446</v>
      </c>
      <c r="N924" t="str">
        <f>O924&amp;P924</f>
        <v>Иванова Анна СергеевнаОрлова Дарья Сергеевна</v>
      </c>
      <c r="O924" t="s">
        <v>11</v>
      </c>
      <c r="P924" t="s">
        <v>97</v>
      </c>
      <c r="Q924" t="s">
        <v>94</v>
      </c>
    </row>
    <row r="925">
      <c r="J925" t="str">
        <f>K925&amp;L925</f>
        <v>Иванова Анна СергеевнаМорозова Вероника Олеговна</v>
      </c>
      <c r="K925" t="s">
        <v>11</v>
      </c>
      <c r="L925" t="s">
        <v>68</v>
      </c>
      <c r="M925" t="s">
        <v>446</v>
      </c>
      <c r="N925" t="str">
        <f>O925&amp;P925</f>
        <v>Семенова Ирина ВалерьевнаКозлов Артур Андреевич</v>
      </c>
      <c r="O925" t="s">
        <v>57</v>
      </c>
      <c r="P925" t="s">
        <v>98</v>
      </c>
      <c r="Q925" t="s">
        <v>94</v>
      </c>
    </row>
    <row r="926">
      <c r="J926" t="str">
        <f>K926&amp;L926</f>
        <v>Ткаченко Андрей ОлеговичНиколаева Екатерина Никитична</v>
      </c>
      <c r="K926" t="s">
        <v>24</v>
      </c>
      <c r="L926" t="s">
        <v>270</v>
      </c>
      <c r="M926" t="s">
        <v>446</v>
      </c>
      <c r="N926" t="str">
        <f>O926&amp;P926</f>
        <v>Ткаченко Андрей ОлеговичСтепанова Валерия Романовна</v>
      </c>
      <c r="O926" t="s">
        <v>24</v>
      </c>
      <c r="P926" t="s">
        <v>99</v>
      </c>
      <c r="Q926" t="s">
        <v>94</v>
      </c>
    </row>
    <row r="927">
      <c r="J927" t="str">
        <f>K927&amp;L927</f>
        <v>Громова Мария ИльиничнаКузнецова Дарья Ильинична</v>
      </c>
      <c r="K927" t="s">
        <v>13</v>
      </c>
      <c r="L927" t="s">
        <v>214</v>
      </c>
      <c r="M927" t="s">
        <v>446</v>
      </c>
      <c r="N927" t="str">
        <f>O927&amp;P927</f>
        <v>Ткаченко Андрей ОлеговичПетров Артем Иванович</v>
      </c>
      <c r="O927" t="s">
        <v>24</v>
      </c>
      <c r="P927" t="s">
        <v>100</v>
      </c>
      <c r="Q927" t="s">
        <v>94</v>
      </c>
    </row>
    <row r="928">
      <c r="J928" t="str">
        <f>K928&amp;L928</f>
        <v>Кузнецов Дмитрий ЛьвовичКозлов Дмитрий Сергеевич</v>
      </c>
      <c r="K928" t="s">
        <v>8</v>
      </c>
      <c r="L928" t="s">
        <v>222</v>
      </c>
      <c r="M928" t="s">
        <v>446</v>
      </c>
      <c r="N928" t="str">
        <f>O928&amp;P928</f>
        <v>Яковлев Артем ИгоревичПавлова Анна Ивановна</v>
      </c>
      <c r="O928" t="s">
        <v>21</v>
      </c>
      <c r="P928" t="s">
        <v>101</v>
      </c>
      <c r="Q928" t="s">
        <v>94</v>
      </c>
    </row>
    <row r="929">
      <c r="J929" t="str">
        <f>K929&amp;L929</f>
        <v>Фролов Сергей ВикторовичПопова Ксения Никитична</v>
      </c>
      <c r="K929" t="s">
        <v>5</v>
      </c>
      <c r="L929" t="s">
        <v>20</v>
      </c>
      <c r="M929" t="s">
        <v>446</v>
      </c>
      <c r="N929" t="str">
        <f>O929&amp;P929</f>
        <v>Петров Владимир КирилловичСеменов Константин Артемович</v>
      </c>
      <c r="O929" t="s">
        <v>28</v>
      </c>
      <c r="P929" t="s">
        <v>102</v>
      </c>
      <c r="Q929" t="s">
        <v>94</v>
      </c>
    </row>
    <row r="930">
      <c r="J930" t="str">
        <f>K930&amp;L930</f>
        <v>Ткаченко Андрей ОлеговичСтепанов Егор Геннадьевич</v>
      </c>
      <c r="K930" t="s">
        <v>24</v>
      </c>
      <c r="L930" t="s">
        <v>302</v>
      </c>
      <c r="M930" t="s">
        <v>447</v>
      </c>
      <c r="N930" t="str">
        <f>O930&amp;P930</f>
        <v>Ткаченко Андрей ОлеговичМорозова Вероника Олеговна</v>
      </c>
      <c r="O930" t="s">
        <v>24</v>
      </c>
      <c r="P930" t="s">
        <v>68</v>
      </c>
      <c r="Q930" t="s">
        <v>90</v>
      </c>
    </row>
    <row r="931">
      <c r="J931" t="str">
        <f>K931&amp;L931</f>
        <v>Орлов Павел ДенисовичПопова Дарья Сергеевна</v>
      </c>
      <c r="K931" t="s">
        <v>43</v>
      </c>
      <c r="L931" t="s">
        <v>206</v>
      </c>
      <c r="M931" t="s">
        <v>447</v>
      </c>
      <c r="N931" t="str">
        <f>O931&amp;P931</f>
        <v>Ткаченко Андрей ОлеговичНиколаев Георгий Ильич</v>
      </c>
      <c r="O931" t="s">
        <v>24</v>
      </c>
      <c r="P931" t="s">
        <v>91</v>
      </c>
      <c r="Q931" t="s">
        <v>90</v>
      </c>
    </row>
    <row r="932">
      <c r="J932" t="str">
        <f>K932&amp;L932</f>
        <v>Семенова Ирина ВалерьевнаКозлова София Олеговна</v>
      </c>
      <c r="K932" t="s">
        <v>57</v>
      </c>
      <c r="L932" t="s">
        <v>185</v>
      </c>
      <c r="M932" t="s">
        <v>447</v>
      </c>
      <c r="N932" t="str">
        <f>O932&amp;P932</f>
        <v>Новикова Ольга ПетровнаКузнецова Екатерина Александровна</v>
      </c>
      <c r="O932" t="s">
        <v>17</v>
      </c>
      <c r="P932" t="s">
        <v>92</v>
      </c>
      <c r="Q932" t="s">
        <v>90</v>
      </c>
    </row>
    <row r="933">
      <c r="J933" t="str">
        <f>K933&amp;L933</f>
        <v>Фролов Сергей ВикторовичКозлова Полина Викторовна</v>
      </c>
      <c r="K933" t="s">
        <v>5</v>
      </c>
      <c r="L933" t="s">
        <v>217</v>
      </c>
      <c r="M933" t="s">
        <v>447</v>
      </c>
      <c r="N933" t="str">
        <f>O933&amp;P933</f>
        <v>Громова Мария ИльиничнаОрлова Дарья Владимировна</v>
      </c>
      <c r="O933" t="s">
        <v>13</v>
      </c>
      <c r="P933" t="s">
        <v>87</v>
      </c>
      <c r="Q933" t="s">
        <v>88</v>
      </c>
    </row>
    <row r="934">
      <c r="J934" t="str">
        <f>K934&amp;L934</f>
        <v>Петров Владимир КирилловичИванов Павел Сергеевич</v>
      </c>
      <c r="K934" t="s">
        <v>28</v>
      </c>
      <c r="L934" t="s">
        <v>103</v>
      </c>
      <c r="M934" t="s">
        <v>447</v>
      </c>
      <c r="N934" t="str">
        <f>O934&amp;P934</f>
        <v>Семенова Ирина ВалерьевнаПетров Сергей Александрович</v>
      </c>
      <c r="O934" t="s">
        <v>57</v>
      </c>
      <c r="P934" t="s">
        <v>89</v>
      </c>
      <c r="Q934" t="s">
        <v>88</v>
      </c>
    </row>
    <row r="935">
      <c r="J935" t="str">
        <f>K935&amp;L935</f>
        <v>Новикова Ольга ПетровнаКузнецова Вероника Геннадьевна</v>
      </c>
      <c r="K935" t="s">
        <v>17</v>
      </c>
      <c r="L935" t="s">
        <v>278</v>
      </c>
      <c r="M935" t="s">
        <v>448</v>
      </c>
      <c r="N935" t="str">
        <f>O935&amp;P935</f>
        <v>Кузнецов Дмитрий ЛьвовичЕгоров Никита Станиславович</v>
      </c>
      <c r="O935" t="s">
        <v>8</v>
      </c>
      <c r="P935" t="s">
        <v>49</v>
      </c>
      <c r="Q935" t="s">
        <v>86</v>
      </c>
    </row>
    <row r="936">
      <c r="J936" t="str">
        <f>K936&amp;L936</f>
        <v>Яковлев Артем ИгоревичНиколаева Дарья Юрьевна</v>
      </c>
      <c r="K936" t="s">
        <v>21</v>
      </c>
      <c r="L936" t="s">
        <v>227</v>
      </c>
      <c r="M936" t="s">
        <v>448</v>
      </c>
      <c r="N936" t="str">
        <f>O936&amp;P936</f>
        <v>Семенова Ирина ВалерьевнаПавлов Кирилл Иванович</v>
      </c>
      <c r="O936" t="s">
        <v>57</v>
      </c>
      <c r="P936" t="s">
        <v>25</v>
      </c>
      <c r="Q936" t="s">
        <v>86</v>
      </c>
    </row>
    <row r="937">
      <c r="J937" t="str">
        <f>K937&amp;L937</f>
        <v>Кузнецов Дмитрий ЛьвовичОрлова Дарья Сергеевна</v>
      </c>
      <c r="K937" t="s">
        <v>8</v>
      </c>
      <c r="L937" t="s">
        <v>97</v>
      </c>
      <c r="M937" t="s">
        <v>448</v>
      </c>
      <c r="N937" t="str">
        <f>O937&amp;P937</f>
        <v>Новикова Ольга ПетровнаЕгорова Ольга Юрьевна</v>
      </c>
      <c r="O937" t="s">
        <v>17</v>
      </c>
      <c r="P937" t="s">
        <v>83</v>
      </c>
      <c r="Q937" t="s">
        <v>84</v>
      </c>
    </row>
    <row r="938">
      <c r="J938" t="str">
        <f>K938&amp;L938</f>
        <v>Громова Мария ИльиничнаФедорова Мария Ивановна</v>
      </c>
      <c r="K938" t="s">
        <v>13</v>
      </c>
      <c r="L938" t="s">
        <v>344</v>
      </c>
      <c r="M938" t="s">
        <v>448</v>
      </c>
      <c r="N938" t="str">
        <f>O938&amp;P938</f>
        <v>Орлов Павел ДенисовичОрлова Анна Владимировна</v>
      </c>
      <c r="O938" t="s">
        <v>43</v>
      </c>
      <c r="P938" t="s">
        <v>6</v>
      </c>
      <c r="Q938" t="s">
        <v>84</v>
      </c>
    </row>
    <row r="939">
      <c r="J939" t="str">
        <f>K939&amp;L939</f>
        <v>Семенова Ирина ВалерьевнаЕгоров Андрей Дмитриевич</v>
      </c>
      <c r="K939" t="s">
        <v>57</v>
      </c>
      <c r="L939" t="s">
        <v>272</v>
      </c>
      <c r="M939" t="s">
        <v>449</v>
      </c>
      <c r="N939" t="str">
        <f>O939&amp;P939</f>
        <v>Яковлев Артем ИгоревичСтепанов Алексей Михайлович</v>
      </c>
      <c r="O939" t="s">
        <v>21</v>
      </c>
      <c r="P939" t="s">
        <v>60</v>
      </c>
      <c r="Q939" t="s">
        <v>84</v>
      </c>
    </row>
    <row r="940">
      <c r="J940" t="str">
        <f>K940&amp;L940</f>
        <v>Петров Владимир КирилловичФедорова Екатерина Михайловна</v>
      </c>
      <c r="K940" t="s">
        <v>28</v>
      </c>
      <c r="L940" t="s">
        <v>204</v>
      </c>
      <c r="M940" t="s">
        <v>449</v>
      </c>
      <c r="N940" t="str">
        <f>O940&amp;P940</f>
        <v>Новикова Ольга ПетровнаКузнецова Ольга Геннадьевна</v>
      </c>
      <c r="O940" t="s">
        <v>17</v>
      </c>
      <c r="P940" t="s">
        <v>61</v>
      </c>
      <c r="Q940" t="s">
        <v>84</v>
      </c>
    </row>
    <row r="941">
      <c r="J941" t="str">
        <f>K941&amp;L941</f>
        <v>Яковлев Артем ИгоревичПавлов Андрей Викторович</v>
      </c>
      <c r="K941" t="s">
        <v>21</v>
      </c>
      <c r="L941" t="s">
        <v>131</v>
      </c>
      <c r="M941" t="s">
        <v>449</v>
      </c>
      <c r="N941" t="str">
        <f>O941&amp;P941</f>
        <v>Кузнецов Дмитрий ЛьвовичЕгорова Валерия Сергеевна</v>
      </c>
      <c r="O941" t="s">
        <v>8</v>
      </c>
      <c r="P941" t="s">
        <v>85</v>
      </c>
      <c r="Q941" t="s">
        <v>84</v>
      </c>
    </row>
    <row r="942">
      <c r="J942" t="str">
        <f>K942&amp;L942</f>
        <v>Громова Мария ИльиничнаОрлова Дарья Владимировна</v>
      </c>
      <c r="K942" t="s">
        <v>13</v>
      </c>
      <c r="L942" t="s">
        <v>87</v>
      </c>
      <c r="M942" t="s">
        <v>449</v>
      </c>
      <c r="N942" t="str">
        <f>O942&amp;P942</f>
        <v>Ткаченко Андрей ОлеговичЛебедев Дмитрий Олегович</v>
      </c>
      <c r="O942" t="s">
        <v>24</v>
      </c>
      <c r="P942" t="s">
        <v>75</v>
      </c>
      <c r="Q942" t="s">
        <v>76</v>
      </c>
    </row>
    <row r="943">
      <c r="J943" t="str">
        <f>K943&amp;L943</f>
        <v>Иванова Анна СергеевнаФедоров Георгий Егорович</v>
      </c>
      <c r="K943" t="s">
        <v>11</v>
      </c>
      <c r="L943" t="s">
        <v>370</v>
      </c>
      <c r="M943" t="s">
        <v>449</v>
      </c>
      <c r="N943" t="str">
        <f>O943&amp;P943</f>
        <v>Сидорова Елена ВасильевнаПавлова Виктория Викторовна</v>
      </c>
      <c r="O943" t="s">
        <v>15</v>
      </c>
      <c r="P943" t="s">
        <v>77</v>
      </c>
      <c r="Q943" t="s">
        <v>76</v>
      </c>
    </row>
    <row r="944">
      <c r="J944" t="str">
        <f>K944&amp;L944</f>
        <v>Новикова Ольга ПетровнаИванов Матвей Юрьевич</v>
      </c>
      <c r="K944" t="s">
        <v>17</v>
      </c>
      <c r="L944" t="s">
        <v>16</v>
      </c>
      <c r="M944" t="s">
        <v>450</v>
      </c>
      <c r="N944" t="str">
        <f>O944&amp;P944</f>
        <v>Семенова Ирина ВалерьевнаПавлова Дарья Андреевна</v>
      </c>
      <c r="O944" t="s">
        <v>57</v>
      </c>
      <c r="P944" t="s">
        <v>78</v>
      </c>
      <c r="Q944" t="s">
        <v>76</v>
      </c>
    </row>
    <row r="945">
      <c r="J945" t="str">
        <f>K945&amp;L945</f>
        <v>Новикова Ольга ПетровнаНовиков Дмитрий Иванович</v>
      </c>
      <c r="K945" t="s">
        <v>17</v>
      </c>
      <c r="L945" t="s">
        <v>184</v>
      </c>
      <c r="M945" t="s">
        <v>450</v>
      </c>
      <c r="N945" t="str">
        <f>O945&amp;P945</f>
        <v>Громова Мария ИльиничнаВолков Константин Дмитриевич</v>
      </c>
      <c r="O945" t="s">
        <v>13</v>
      </c>
      <c r="P945" t="s">
        <v>79</v>
      </c>
      <c r="Q945" t="s">
        <v>76</v>
      </c>
    </row>
    <row r="946">
      <c r="J946" t="str">
        <f>K946&amp;L946</f>
        <v>Яковлев Артем ИгоревичПопова Светлана Дмитриевна</v>
      </c>
      <c r="K946" t="s">
        <v>21</v>
      </c>
      <c r="L946" t="s">
        <v>69</v>
      </c>
      <c r="M946" t="s">
        <v>450</v>
      </c>
      <c r="N946" t="str">
        <f>O946&amp;P946</f>
        <v>Орлов Павел ДенисовичИванов Павел Павлович</v>
      </c>
      <c r="O946" t="s">
        <v>43</v>
      </c>
      <c r="P946" t="s">
        <v>80</v>
      </c>
      <c r="Q946" t="s">
        <v>76</v>
      </c>
    </row>
    <row r="947">
      <c r="J947" t="str">
        <f>K947&amp;L947</f>
        <v>Яковлев Артем ИгоревичПетров Егор Викторович</v>
      </c>
      <c r="K947" t="s">
        <v>21</v>
      </c>
      <c r="L947" t="s">
        <v>117</v>
      </c>
      <c r="M947" t="s">
        <v>451</v>
      </c>
      <c r="N947" t="str">
        <f>O947&amp;P947</f>
        <v>Громова Мария ИльиничнаВасильев Алексей Андреевич</v>
      </c>
      <c r="O947" t="s">
        <v>13</v>
      </c>
      <c r="P947" t="s">
        <v>81</v>
      </c>
      <c r="Q947" t="s">
        <v>76</v>
      </c>
    </row>
    <row r="948">
      <c r="J948" t="str">
        <f>K948&amp;L948</f>
        <v>Новикова Ольга ПетровнаЕгоров Андрей Дмитриевич</v>
      </c>
      <c r="K948" t="s">
        <v>17</v>
      </c>
      <c r="L948" t="s">
        <v>272</v>
      </c>
      <c r="M948" t="s">
        <v>451</v>
      </c>
      <c r="N948" t="str">
        <f>O948&amp;P948</f>
        <v>Фролов Сергей ВикторовичВолкова Дарья Юрьевна</v>
      </c>
      <c r="O948" t="s">
        <v>5</v>
      </c>
      <c r="P948" t="s">
        <v>82</v>
      </c>
      <c r="Q948" t="s">
        <v>76</v>
      </c>
    </row>
    <row r="949">
      <c r="J949" t="str">
        <f>K949&amp;L949</f>
        <v>Фролов Сергей ВикторовичВасильев Александр Павлович</v>
      </c>
      <c r="K949" t="s">
        <v>5</v>
      </c>
      <c r="L949" t="s">
        <v>291</v>
      </c>
      <c r="M949" t="s">
        <v>451</v>
      </c>
      <c r="N949" t="str">
        <f>O949&amp;P949</f>
        <v>Фролов Сергей ВикторовичНиколаева Елена Геннадьевна</v>
      </c>
      <c r="O949" t="s">
        <v>5</v>
      </c>
      <c r="P949" t="s">
        <v>73</v>
      </c>
      <c r="Q949" t="s">
        <v>74</v>
      </c>
    </row>
    <row r="950">
      <c r="J950" t="str">
        <f>K950&amp;L950</f>
        <v>Белов Алексей КонстантиновичПопова Полина Романовна</v>
      </c>
      <c r="K950" t="s">
        <v>47</v>
      </c>
      <c r="L950" t="s">
        <v>192</v>
      </c>
      <c r="M950" t="s">
        <v>451</v>
      </c>
      <c r="N950" t="str">
        <f>O950&amp;P950</f>
        <v>Фролов Сергей ВикторовичИванов Никита Павлович</v>
      </c>
      <c r="O950" t="s">
        <v>5</v>
      </c>
      <c r="P950" t="s">
        <v>71</v>
      </c>
      <c r="Q950" t="s">
        <v>72</v>
      </c>
    </row>
    <row r="951">
      <c r="J951" t="str">
        <f>K951&amp;L951</f>
        <v>Громова Мария ИльиничнаПетров Михаил Егорович</v>
      </c>
      <c r="K951" t="s">
        <v>13</v>
      </c>
      <c r="L951" t="s">
        <v>149</v>
      </c>
      <c r="M951" t="s">
        <v>451</v>
      </c>
      <c r="N951" t="str">
        <f>O951&amp;P951</f>
        <v>Кузнецов Дмитрий ЛьвовичСтепанов Георгий Иванович</v>
      </c>
      <c r="O951" t="s">
        <v>8</v>
      </c>
      <c r="P951" t="s">
        <v>44</v>
      </c>
      <c r="Q951" t="s">
        <v>72</v>
      </c>
    </row>
    <row r="952">
      <c r="J952" t="str">
        <f>K952&amp;L952</f>
        <v>Яковлев Артем ИгоревичСтепанов Георгий Иванович</v>
      </c>
      <c r="K952" t="s">
        <v>21</v>
      </c>
      <c r="L952" t="s">
        <v>44</v>
      </c>
      <c r="M952" t="s">
        <v>452</v>
      </c>
      <c r="N952" t="str">
        <f>O952&amp;P952</f>
        <v>Белов Алексей КонстантиновичКузнецов Дмитрий Андреевич</v>
      </c>
      <c r="O952" t="s">
        <v>47</v>
      </c>
      <c r="P952" t="s">
        <v>22</v>
      </c>
      <c r="Q952" t="s">
        <v>66</v>
      </c>
    </row>
    <row r="953">
      <c r="J953" t="str">
        <f>K953&amp;L953</f>
        <v>Орлов Павел ДенисовичВолкова Мария Ильинична</v>
      </c>
      <c r="K953" t="s">
        <v>43</v>
      </c>
      <c r="L953" t="s">
        <v>95</v>
      </c>
      <c r="M953" t="s">
        <v>452</v>
      </c>
      <c r="N953" t="str">
        <f>O953&amp;P953</f>
        <v>Фролов Сергей ВикторовичСтепанова Алиса Станиславовна</v>
      </c>
      <c r="O953" t="s">
        <v>5</v>
      </c>
      <c r="P953" t="s">
        <v>67</v>
      </c>
      <c r="Q953" t="s">
        <v>66</v>
      </c>
    </row>
    <row r="954">
      <c r="J954" t="str">
        <f>K954&amp;L954</f>
        <v>Громова Мария ИльиничнаИванов Георгий Иванович</v>
      </c>
      <c r="K954" t="s">
        <v>13</v>
      </c>
      <c r="L954" t="s">
        <v>240</v>
      </c>
      <c r="M954" t="s">
        <v>452</v>
      </c>
      <c r="N954" t="str">
        <f>O954&amp;P954</f>
        <v>Петров Владимир КирилловичМорозова Вероника Олеговна</v>
      </c>
      <c r="O954" t="s">
        <v>28</v>
      </c>
      <c r="P954" t="s">
        <v>68</v>
      </c>
      <c r="Q954" t="s">
        <v>66</v>
      </c>
    </row>
    <row r="955">
      <c r="J955" t="str">
        <f>K955&amp;L955</f>
        <v>Белов Алексей КонстантиновичСтепанов Алексей Михайлович</v>
      </c>
      <c r="K955" t="s">
        <v>47</v>
      </c>
      <c r="L955" t="s">
        <v>60</v>
      </c>
      <c r="M955" t="s">
        <v>453</v>
      </c>
      <c r="N955" t="str">
        <f>O955&amp;P955</f>
        <v>Кузнецов Дмитрий ЛьвовичПопова Светлана Дмитриевна</v>
      </c>
      <c r="O955" t="s">
        <v>8</v>
      </c>
      <c r="P955" t="s">
        <v>69</v>
      </c>
      <c r="Q955" t="s">
        <v>66</v>
      </c>
    </row>
    <row r="956">
      <c r="J956" t="str">
        <f>K956&amp;L956</f>
        <v>Новикова Ольга ПетровнаСтепанов Егор Геннадьевич</v>
      </c>
      <c r="K956" t="s">
        <v>17</v>
      </c>
      <c r="L956" t="s">
        <v>302</v>
      </c>
      <c r="M956" t="s">
        <v>453</v>
      </c>
      <c r="N956" t="str">
        <f>O956&amp;P956</f>
        <v>Белов Алексей КонстантиновичАлексеев Иван Иванович</v>
      </c>
      <c r="O956" t="s">
        <v>47</v>
      </c>
      <c r="P956" t="s">
        <v>70</v>
      </c>
      <c r="Q956" t="s">
        <v>66</v>
      </c>
    </row>
    <row r="957">
      <c r="J957" t="str">
        <f>K957&amp;L957</f>
        <v>Ткаченко Андрей ОлеговичФедорова Анна Михайловна</v>
      </c>
      <c r="K957" t="s">
        <v>24</v>
      </c>
      <c r="L957" t="s">
        <v>157</v>
      </c>
      <c r="M957" t="s">
        <v>454</v>
      </c>
      <c r="N957" t="str">
        <f>O957&amp;P957</f>
        <v>Кузнецов Дмитрий ЛьвовичКузнецова Ольга Геннадьевна</v>
      </c>
      <c r="O957" t="s">
        <v>8</v>
      </c>
      <c r="P957" t="s">
        <v>61</v>
      </c>
      <c r="Q957" t="s">
        <v>62</v>
      </c>
    </row>
    <row r="958">
      <c r="J958" t="str">
        <f>K958&amp;L958</f>
        <v>Сидорова Елена ВасильевнаНиколаева Дарья Алексеевна</v>
      </c>
      <c r="K958" t="s">
        <v>15</v>
      </c>
      <c r="L958" t="s">
        <v>252</v>
      </c>
      <c r="M958" t="s">
        <v>454</v>
      </c>
      <c r="N958" t="str">
        <f>O958&amp;P958</f>
        <v>Белов Алексей КонстантиновичКузнецов Дмитрий Андреевич</v>
      </c>
      <c r="O958" t="s">
        <v>47</v>
      </c>
      <c r="P958" t="s">
        <v>22</v>
      </c>
      <c r="Q958" t="s">
        <v>62</v>
      </c>
    </row>
    <row r="959">
      <c r="J959" t="str">
        <f>K959&amp;L959</f>
        <v>Петров Владимир КирилловичЕгоров Дмитрий Ильич</v>
      </c>
      <c r="K959" t="s">
        <v>28</v>
      </c>
      <c r="L959" t="s">
        <v>365</v>
      </c>
      <c r="M959" t="s">
        <v>454</v>
      </c>
      <c r="N959" t="str">
        <f>O959&amp;P959</f>
        <v>Орлов Павел ДенисовичСмирнова Валерия Викторовна</v>
      </c>
      <c r="O959" t="s">
        <v>43</v>
      </c>
      <c r="P959" t="s">
        <v>63</v>
      </c>
      <c r="Q959" t="s">
        <v>62</v>
      </c>
    </row>
    <row r="960">
      <c r="J960" t="str">
        <f>K960&amp;L960</f>
        <v>Белов Алексей КонстантиновичСтепанова Валерия Романовна</v>
      </c>
      <c r="K960" t="s">
        <v>47</v>
      </c>
      <c r="L960" t="s">
        <v>99</v>
      </c>
      <c r="M960" t="s">
        <v>454</v>
      </c>
      <c r="N960" t="str">
        <f>O960&amp;P960</f>
        <v>Ткаченко Андрей ОлеговичСидоров Матвей Владимирович</v>
      </c>
      <c r="O960" t="s">
        <v>24</v>
      </c>
      <c r="P960" t="s">
        <v>64</v>
      </c>
      <c r="Q960" t="s">
        <v>62</v>
      </c>
    </row>
    <row r="961">
      <c r="J961" t="str">
        <f>K961&amp;L961</f>
        <v>Петров Владимир КирилловичНиколаев Владимир Геннадьевич</v>
      </c>
      <c r="K961" t="s">
        <v>28</v>
      </c>
      <c r="L961" t="s">
        <v>267</v>
      </c>
      <c r="M961" t="s">
        <v>455</v>
      </c>
      <c r="N961" t="str">
        <f>O961&amp;P961</f>
        <v>Сидорова Елена ВасильевнаМорозова Екатерина Олеговна</v>
      </c>
      <c r="O961" t="s">
        <v>15</v>
      </c>
      <c r="P961" t="s">
        <v>65</v>
      </c>
      <c r="Q961" t="s">
        <v>62</v>
      </c>
    </row>
    <row r="962">
      <c r="J962" t="str">
        <f>K962&amp;L962</f>
        <v>Яковлев Артем ИгоревичОрлова Дарья Станиславовна</v>
      </c>
      <c r="K962" t="s">
        <v>21</v>
      </c>
      <c r="L962" t="s">
        <v>41</v>
      </c>
      <c r="M962" t="s">
        <v>455</v>
      </c>
      <c r="N962" t="str">
        <f>O962&amp;P962</f>
        <v>Кузнецов Дмитрий ЛьвовичКузнецова София Александровна</v>
      </c>
      <c r="O962" t="s">
        <v>8</v>
      </c>
      <c r="P962" t="s">
        <v>40</v>
      </c>
      <c r="Q962" t="s">
        <v>54</v>
      </c>
    </row>
    <row r="963">
      <c r="J963" t="str">
        <f>K963&amp;L963</f>
        <v>Яковлев Артем ИгоревичКозлов Дмитрий Сергеевич</v>
      </c>
      <c r="K963" t="s">
        <v>21</v>
      </c>
      <c r="L963" t="s">
        <v>222</v>
      </c>
      <c r="M963" t="s">
        <v>455</v>
      </c>
      <c r="N963" t="str">
        <f>O963&amp;P963</f>
        <v>Новикова Ольга ПетровнаКузнецова Людмила Сергеевна</v>
      </c>
      <c r="O963" t="s">
        <v>17</v>
      </c>
      <c r="P963" t="s">
        <v>55</v>
      </c>
      <c r="Q963" t="s">
        <v>54</v>
      </c>
    </row>
    <row r="964">
      <c r="J964" t="str">
        <f>K964&amp;L964</f>
        <v>Новикова Ольга ПетровнаСмирнова Екатерина Егоровна</v>
      </c>
      <c r="K964" t="s">
        <v>17</v>
      </c>
      <c r="L964" t="s">
        <v>212</v>
      </c>
      <c r="M964" t="s">
        <v>455</v>
      </c>
      <c r="N964" t="str">
        <f>O964&amp;P964</f>
        <v>Сидорова Елена ВасильевнаФедоров Дмитрий Сергеевич</v>
      </c>
      <c r="O964" t="s">
        <v>15</v>
      </c>
      <c r="P964" t="s">
        <v>56</v>
      </c>
      <c r="Q964" t="s">
        <v>54</v>
      </c>
    </row>
    <row r="965">
      <c r="J965" t="str">
        <f>K965&amp;L965</f>
        <v>Семенова Ирина ВалерьевнаПетрова Татьяна Дмитриевна</v>
      </c>
      <c r="K965" t="s">
        <v>57</v>
      </c>
      <c r="L965" t="s">
        <v>234</v>
      </c>
      <c r="M965" t="s">
        <v>456</v>
      </c>
      <c r="N965" t="str">
        <f>O965&amp;P965</f>
        <v>Семенова Ирина ВалерьевнаПетров Андрей Алексеевич</v>
      </c>
      <c r="O965" t="s">
        <v>57</v>
      </c>
      <c r="P965" t="s">
        <v>58</v>
      </c>
      <c r="Q965" t="s">
        <v>54</v>
      </c>
    </row>
    <row r="966">
      <c r="J966" t="str">
        <f>K966&amp;L966</f>
        <v>Кузнецов Дмитрий ЛьвовичИванов Кирилл Кириллович</v>
      </c>
      <c r="K966" t="s">
        <v>8</v>
      </c>
      <c r="L966" t="s">
        <v>250</v>
      </c>
      <c r="M966" t="s">
        <v>456</v>
      </c>
      <c r="N966" t="str">
        <f>O966&amp;P966</f>
        <v>Петров Владимир КирилловичИванова Людмила Алексеевна</v>
      </c>
      <c r="O966" t="s">
        <v>28</v>
      </c>
      <c r="P966" t="s">
        <v>59</v>
      </c>
      <c r="Q966" t="s">
        <v>54</v>
      </c>
    </row>
    <row r="967">
      <c r="J967" t="str">
        <f>K967&amp;L967</f>
        <v>Яковлев Артем ИгоревичНиколаева Дарья Алексеевна</v>
      </c>
      <c r="K967" t="s">
        <v>21</v>
      </c>
      <c r="L967" t="s">
        <v>252</v>
      </c>
      <c r="M967" t="s">
        <v>456</v>
      </c>
      <c r="N967" t="str">
        <f>O967&amp;P967</f>
        <v>Громова Мария ИльиничнаОрлова Анна Владимировна</v>
      </c>
      <c r="O967" t="s">
        <v>13</v>
      </c>
      <c r="P967" t="s">
        <v>6</v>
      </c>
      <c r="Q967" t="s">
        <v>54</v>
      </c>
    </row>
    <row r="968">
      <c r="J968" t="str">
        <f>K968&amp;L968</f>
        <v>Орлов Павел ДенисовичИванова Людмила Алексеевна</v>
      </c>
      <c r="K968" t="s">
        <v>43</v>
      </c>
      <c r="L968" t="s">
        <v>59</v>
      </c>
      <c r="M968" t="s">
        <v>456</v>
      </c>
      <c r="N968" t="str">
        <f>O968&amp;P968</f>
        <v>Новикова Ольга ПетровнаСтепанов Алексей Михайлович</v>
      </c>
      <c r="O968" t="s">
        <v>17</v>
      </c>
      <c r="P968" t="s">
        <v>60</v>
      </c>
      <c r="Q968" t="s">
        <v>54</v>
      </c>
    </row>
    <row r="969">
      <c r="J969" t="str">
        <f>K969&amp;L969</f>
        <v>Орлов Павел ДенисовичЕгорова Ольга Юрьевна</v>
      </c>
      <c r="K969" t="s">
        <v>43</v>
      </c>
      <c r="L969" t="s">
        <v>83</v>
      </c>
      <c r="M969" t="s">
        <v>456</v>
      </c>
      <c r="N969" t="str">
        <f>O969&amp;P969</f>
        <v>Кузнецов Дмитрий ЛьвовичСидоров Артур Алексеевич</v>
      </c>
      <c r="O969" t="s">
        <v>8</v>
      </c>
      <c r="P969" t="s">
        <v>50</v>
      </c>
      <c r="Q969" t="s">
        <v>53</v>
      </c>
    </row>
    <row r="970">
      <c r="J970" t="str">
        <f>K970&amp;L970</f>
        <v>Семенова Ирина ВалерьевнаНиколаева Алиса Ивановна</v>
      </c>
      <c r="K970" t="s">
        <v>57</v>
      </c>
      <c r="L970" t="s">
        <v>119</v>
      </c>
      <c r="M970" t="s">
        <v>456</v>
      </c>
      <c r="N970" t="str">
        <f>O970&amp;P970</f>
        <v>Яковлев Артем ИгоревичСидоров Артур Алексеевич</v>
      </c>
      <c r="O970" t="s">
        <v>21</v>
      </c>
      <c r="P970" t="s">
        <v>50</v>
      </c>
      <c r="Q970" t="s">
        <v>51</v>
      </c>
    </row>
    <row r="971">
      <c r="J971" t="str">
        <f>K971&amp;L971</f>
        <v>Петров Владимир КирилловичПетров Сергей Александрович</v>
      </c>
      <c r="K971" t="s">
        <v>28</v>
      </c>
      <c r="L971" t="s">
        <v>89</v>
      </c>
      <c r="M971" t="s">
        <v>456</v>
      </c>
      <c r="N971" t="str">
        <f>O971&amp;P971</f>
        <v>Кузнецов Дмитрий ЛьвовичПетров Сергей Андреевич</v>
      </c>
      <c r="O971" t="s">
        <v>8</v>
      </c>
      <c r="P971" t="s">
        <v>52</v>
      </c>
      <c r="Q971" t="s">
        <v>51</v>
      </c>
    </row>
    <row r="972">
      <c r="J972" t="str">
        <f>K972&amp;L972</f>
        <v>Орлов Павел ДенисовичМорозова Вероника Олеговна</v>
      </c>
      <c r="K972" t="s">
        <v>43</v>
      </c>
      <c r="L972" t="s">
        <v>68</v>
      </c>
      <c r="M972" t="s">
        <v>456</v>
      </c>
      <c r="N972" t="str">
        <f>O972&amp;P972</f>
        <v>Кузнецов Дмитрий ЛьвовичСидоров Алексей Кириллович</v>
      </c>
      <c r="O972" t="s">
        <v>8</v>
      </c>
      <c r="P972" t="s">
        <v>14</v>
      </c>
      <c r="Q972" t="s">
        <v>46</v>
      </c>
    </row>
    <row r="973">
      <c r="J973" t="str">
        <f>K973&amp;L973</f>
        <v>Яковлев Артем ИгоревичСтепанов Егор Геннадьевич</v>
      </c>
      <c r="K973" t="s">
        <v>21</v>
      </c>
      <c r="L973" t="s">
        <v>302</v>
      </c>
      <c r="M973" t="s">
        <v>457</v>
      </c>
      <c r="N973" t="str">
        <f>O973&amp;P973</f>
        <v>Белов Алексей КонстантиновичВасильева Юлия Геннадьевна</v>
      </c>
      <c r="O973" t="s">
        <v>47</v>
      </c>
      <c r="P973" t="s">
        <v>48</v>
      </c>
      <c r="Q973" t="s">
        <v>46</v>
      </c>
    </row>
    <row r="974">
      <c r="J974" t="str">
        <f>K974&amp;L974</f>
        <v>Петров Владимир КирилловичСеменов Константин Артемович</v>
      </c>
      <c r="K974" t="s">
        <v>28</v>
      </c>
      <c r="L974" t="s">
        <v>102</v>
      </c>
      <c r="M974" t="s">
        <v>458</v>
      </c>
      <c r="N974" t="str">
        <f>O974&amp;P974</f>
        <v>Кузнецов Дмитрий ЛьвовичИванова Валерия Алексеевна</v>
      </c>
      <c r="O974" t="s">
        <v>8</v>
      </c>
      <c r="P974" t="s">
        <v>38</v>
      </c>
      <c r="Q974" t="s">
        <v>46</v>
      </c>
    </row>
    <row r="975">
      <c r="J975" t="str">
        <f>K975&amp;L975</f>
        <v>Петров Владимир КирилловичЛебедев Владимир Ильич</v>
      </c>
      <c r="K975" t="s">
        <v>28</v>
      </c>
      <c r="L975" t="s">
        <v>237</v>
      </c>
      <c r="M975" t="s">
        <v>458</v>
      </c>
      <c r="N975" t="str">
        <f>O975&amp;P975</f>
        <v>Орлов Павел ДенисовичЕгоров Никита Станиславович</v>
      </c>
      <c r="O975" t="s">
        <v>43</v>
      </c>
      <c r="P975" t="s">
        <v>49</v>
      </c>
      <c r="Q975" t="s">
        <v>46</v>
      </c>
    </row>
    <row r="976">
      <c r="J976" t="str">
        <f>K976&amp;L976</f>
        <v>Орлов Павел ДенисовичИванов Андрей Владимирович</v>
      </c>
      <c r="K976" t="s">
        <v>43</v>
      </c>
      <c r="L976" t="s">
        <v>198</v>
      </c>
      <c r="M976" t="s">
        <v>458</v>
      </c>
      <c r="N976" t="str">
        <f>O976&amp;P976</f>
        <v>Петров Владимир КирилловичКузнецов Дмитрий Андреевич</v>
      </c>
      <c r="O976" t="s">
        <v>28</v>
      </c>
      <c r="P976" t="s">
        <v>22</v>
      </c>
      <c r="Q976" t="s">
        <v>36</v>
      </c>
    </row>
    <row r="977">
      <c r="J977" t="str">
        <f>K977&amp;L977</f>
        <v>Семенова Ирина ВалерьевнаСеменов Михаил Никитич</v>
      </c>
      <c r="K977" t="s">
        <v>57</v>
      </c>
      <c r="L977" t="s">
        <v>172</v>
      </c>
      <c r="M977" t="s">
        <v>458</v>
      </c>
      <c r="N977" t="str">
        <f>O977&amp;P977</f>
        <v>Петров Владимир КирилловичНиколаев Дмитрий Павлович</v>
      </c>
      <c r="O977" t="s">
        <v>28</v>
      </c>
      <c r="P977" t="s">
        <v>37</v>
      </c>
      <c r="Q977" t="s">
        <v>36</v>
      </c>
    </row>
    <row r="978">
      <c r="J978" t="str">
        <f>K978&amp;L978</f>
        <v>Ткаченко Андрей ОлеговичСидорова Екатерина Романовна</v>
      </c>
      <c r="K978" t="s">
        <v>24</v>
      </c>
      <c r="L978" t="s">
        <v>257</v>
      </c>
      <c r="M978" t="s">
        <v>459</v>
      </c>
      <c r="N978" t="str">
        <f>O978&amp;P978</f>
        <v>Сидорова Елена ВасильевнаИванова Валерия Алексеевна</v>
      </c>
      <c r="O978" t="s">
        <v>15</v>
      </c>
      <c r="P978" t="s">
        <v>38</v>
      </c>
      <c r="Q978" t="s">
        <v>36</v>
      </c>
    </row>
    <row r="979">
      <c r="J979" t="str">
        <f>K979&amp;L979</f>
        <v>Новикова Ольга ПетровнаНиколаев Артем Александрович</v>
      </c>
      <c r="K979" t="s">
        <v>17</v>
      </c>
      <c r="L979" t="s">
        <v>248</v>
      </c>
      <c r="M979" t="s">
        <v>459</v>
      </c>
      <c r="N979" t="str">
        <f>O979&amp;P979</f>
        <v>Яковлев Артем ИгоревичМорозов Матвей Романович</v>
      </c>
      <c r="O979" t="s">
        <v>21</v>
      </c>
      <c r="P979" t="s">
        <v>39</v>
      </c>
      <c r="Q979" t="s">
        <v>36</v>
      </c>
    </row>
    <row r="980">
      <c r="J980" t="str">
        <f>K980&amp;L980</f>
        <v>Ткаченко Андрей ОлеговичОрлова Людмила Артемовна</v>
      </c>
      <c r="K980" t="s">
        <v>24</v>
      </c>
      <c r="L980" t="s">
        <v>19</v>
      </c>
      <c r="M980" t="s">
        <v>460</v>
      </c>
      <c r="N980" t="str">
        <f>O980&amp;P980</f>
        <v>Кузнецов Дмитрий ЛьвовичКузнецова София Александровна</v>
      </c>
      <c r="O980" t="s">
        <v>8</v>
      </c>
      <c r="P980" t="s">
        <v>40</v>
      </c>
      <c r="Q980" t="s">
        <v>36</v>
      </c>
    </row>
    <row r="981">
      <c r="J981" t="str">
        <f>K981&amp;L981</f>
        <v>Орлов Павел ДенисовичСидоров Сергей Егорович</v>
      </c>
      <c r="K981" t="s">
        <v>43</v>
      </c>
      <c r="L981" t="s">
        <v>128</v>
      </c>
      <c r="M981" t="s">
        <v>460</v>
      </c>
      <c r="N981" t="str">
        <f>O981&amp;P981</f>
        <v>Сидорова Елена ВасильевнаОрлова Дарья Станиславовна</v>
      </c>
      <c r="O981" t="s">
        <v>15</v>
      </c>
      <c r="P981" t="s">
        <v>41</v>
      </c>
      <c r="Q981" t="s">
        <v>36</v>
      </c>
    </row>
    <row r="982">
      <c r="J982" t="str">
        <f>K982&amp;L982</f>
        <v>Кузнецов Дмитрий ЛьвовичФедорова Анна Михайловна</v>
      </c>
      <c r="K982" t="s">
        <v>8</v>
      </c>
      <c r="L982" t="s">
        <v>157</v>
      </c>
      <c r="M982" t="s">
        <v>460</v>
      </c>
      <c r="N982" t="str">
        <f>O982&amp;P982</f>
        <v>Громова Мария ИльиничнаАлексеева Наталья Андреевна</v>
      </c>
      <c r="O982" t="s">
        <v>13</v>
      </c>
      <c r="P982" t="s">
        <v>42</v>
      </c>
      <c r="Q982" t="s">
        <v>36</v>
      </c>
    </row>
    <row r="983">
      <c r="J983" t="str">
        <f>K983&amp;L983</f>
        <v>Кузнецов Дмитрий ЛьвовичАлексеева Ирина Андреевна</v>
      </c>
      <c r="K983" t="s">
        <v>8</v>
      </c>
      <c r="L983" t="s">
        <v>189</v>
      </c>
      <c r="M983" t="s">
        <v>460</v>
      </c>
      <c r="N983" t="str">
        <f>O983&amp;P983</f>
        <v>Фролов Сергей ВикторовичСидоров Алексей Кириллович</v>
      </c>
      <c r="O983" t="s">
        <v>5</v>
      </c>
      <c r="P983" t="s">
        <v>14</v>
      </c>
      <c r="Q983" t="s">
        <v>36</v>
      </c>
    </row>
    <row r="984">
      <c r="J984" t="str">
        <f>K984&amp;L984</f>
        <v>Новикова Ольга ПетровнаФедорова Анна Кирилловна</v>
      </c>
      <c r="K984" t="s">
        <v>17</v>
      </c>
      <c r="L984" t="s">
        <v>363</v>
      </c>
      <c r="M984" t="s">
        <v>460</v>
      </c>
      <c r="N984" t="str">
        <f>O984&amp;P984</f>
        <v>Орлов Павел ДенисовичСтепанов Георгий Иванович</v>
      </c>
      <c r="O984" t="s">
        <v>43</v>
      </c>
      <c r="P984" t="s">
        <v>44</v>
      </c>
      <c r="Q984" t="s">
        <v>36</v>
      </c>
    </row>
    <row r="985">
      <c r="J985" t="str">
        <f>K985&amp;L985</f>
        <v>Кузнецов Дмитрий ЛьвовичАлексеева София Андреевна</v>
      </c>
      <c r="K985" t="s">
        <v>8</v>
      </c>
      <c r="L985" t="s">
        <v>276</v>
      </c>
      <c r="M985" t="s">
        <v>460</v>
      </c>
      <c r="N985" t="str">
        <f>O985&amp;P985</f>
        <v>Кузнецов Дмитрий ЛьвовичСтепанова Ирина Артемовна</v>
      </c>
      <c r="O985" t="s">
        <v>8</v>
      </c>
      <c r="P985" t="s">
        <v>45</v>
      </c>
      <c r="Q985" t="s">
        <v>36</v>
      </c>
    </row>
    <row r="986">
      <c r="J986" t="str">
        <f>K986&amp;L986</f>
        <v>Иванова Анна СергеевнаСмирнов Константин Егорович</v>
      </c>
      <c r="K986" t="s">
        <v>11</v>
      </c>
      <c r="L986" t="s">
        <v>403</v>
      </c>
      <c r="M986" t="s">
        <v>460</v>
      </c>
      <c r="N986" t="str">
        <f>O986&amp;P986</f>
        <v>Новикова Ольга ПетровнаИванова Виктория Михайловна</v>
      </c>
      <c r="O986" t="s">
        <v>17</v>
      </c>
      <c r="P986" t="s">
        <v>33</v>
      </c>
      <c r="Q986" t="s">
        <v>34</v>
      </c>
    </row>
    <row r="987">
      <c r="J987" t="str">
        <f>K987&amp;L987</f>
        <v>Кузнецов Дмитрий ЛьвовичИванова Валерия Алексеевна</v>
      </c>
      <c r="K987" t="s">
        <v>8</v>
      </c>
      <c r="L987" t="s">
        <v>38</v>
      </c>
      <c r="M987" t="s">
        <v>460</v>
      </c>
      <c r="N987" t="str">
        <f>O987&amp;P987</f>
        <v>Ткаченко Андрей ОлеговичНовикова Анна Ильинична</v>
      </c>
      <c r="O987" t="s">
        <v>24</v>
      </c>
      <c r="P987" t="s">
        <v>35</v>
      </c>
      <c r="Q987" t="s">
        <v>34</v>
      </c>
    </row>
    <row r="988">
      <c r="J988" t="str">
        <f>K988&amp;L988</f>
        <v>Семенова Ирина ВалерьевнаАлексеева Наталья Андреевна</v>
      </c>
      <c r="K988" t="s">
        <v>57</v>
      </c>
      <c r="L988" t="s">
        <v>42</v>
      </c>
      <c r="M988" t="s">
        <v>461</v>
      </c>
      <c r="N988" t="str">
        <f>O988&amp;P988</f>
        <v>Кузнецов Дмитрий ЛьвовичСмирнова Алиса Артемовна</v>
      </c>
      <c r="O988" t="s">
        <v>8</v>
      </c>
      <c r="P988" t="s">
        <v>31</v>
      </c>
      <c r="Q988" t="s">
        <v>32</v>
      </c>
    </row>
    <row r="989">
      <c r="J989" t="str">
        <f>K989&amp;L989</f>
        <v>Белов Алексей КонстантиновичИванов Михаил Никитич</v>
      </c>
      <c r="K989" t="s">
        <v>47</v>
      </c>
      <c r="L989" t="s">
        <v>462</v>
      </c>
      <c r="M989" t="s">
        <v>461</v>
      </c>
      <c r="N989" t="str">
        <f>O989&amp;P989</f>
        <v>Новикова Ольга ПетровнаЕгоров Владимир Артемович</v>
      </c>
      <c r="O989" t="s">
        <v>17</v>
      </c>
      <c r="P989" t="s">
        <v>26</v>
      </c>
      <c r="Q989" t="s">
        <v>27</v>
      </c>
    </row>
    <row r="990">
      <c r="J990" t="str">
        <f>K990&amp;L990</f>
        <v>Новикова Ольга ПетровнаСтепанов Матвей Михайлович</v>
      </c>
      <c r="K990" t="s">
        <v>17</v>
      </c>
      <c r="L990" t="s">
        <v>144</v>
      </c>
      <c r="M990" t="s">
        <v>461</v>
      </c>
      <c r="N990" t="str">
        <f>O990&amp;P990</f>
        <v>Петров Владимир КирилловичКузнецова Юлия Павловна</v>
      </c>
      <c r="O990" t="s">
        <v>28</v>
      </c>
      <c r="P990" t="s">
        <v>29</v>
      </c>
      <c r="Q990" t="s">
        <v>27</v>
      </c>
    </row>
    <row r="991">
      <c r="J991" t="str">
        <f>K991&amp;L991</f>
        <v>Сидорова Елена ВасильевнаСидоров Сергей Егорович</v>
      </c>
      <c r="K991" t="s">
        <v>15</v>
      </c>
      <c r="L991" t="s">
        <v>128</v>
      </c>
      <c r="M991" t="s">
        <v>461</v>
      </c>
      <c r="N991" t="str">
        <f>O991&amp;P991</f>
        <v>Иванова Анна СергеевнаСеменов Сергей Викторович</v>
      </c>
      <c r="O991" t="s">
        <v>11</v>
      </c>
      <c r="P991" t="s">
        <v>30</v>
      </c>
      <c r="Q991" t="s">
        <v>27</v>
      </c>
    </row>
    <row r="992">
      <c r="J992" t="str">
        <f>K992&amp;L992</f>
        <v>Яковлев Артем ИгоревичФедорова Екатерина Сергеевна</v>
      </c>
      <c r="K992" t="s">
        <v>21</v>
      </c>
      <c r="L992" t="s">
        <v>143</v>
      </c>
      <c r="M992" t="s">
        <v>463</v>
      </c>
      <c r="N992" t="str">
        <f>O992&amp;P992</f>
        <v>Яковлев Артем ИгоревичКузнецов Дмитрий Андреевич</v>
      </c>
      <c r="O992" t="s">
        <v>21</v>
      </c>
      <c r="P992" t="s">
        <v>22</v>
      </c>
      <c r="Q992" t="s">
        <v>23</v>
      </c>
    </row>
    <row r="993">
      <c r="J993" t="str">
        <f>K993&amp;L993</f>
        <v>Орлов Павел ДенисовичВасильев Алексей Андреевич</v>
      </c>
      <c r="K993" t="s">
        <v>43</v>
      </c>
      <c r="L993" t="s">
        <v>81</v>
      </c>
      <c r="M993" t="s">
        <v>463</v>
      </c>
      <c r="N993" t="str">
        <f>O993&amp;P993</f>
        <v>Ткаченко Андрей ОлеговичПавлов Кирилл Иванович</v>
      </c>
      <c r="O993" t="s">
        <v>24</v>
      </c>
      <c r="P993" t="s">
        <v>25</v>
      </c>
      <c r="Q993" t="s">
        <v>23</v>
      </c>
    </row>
    <row r="994">
      <c r="J994" t="str">
        <f>K994&amp;L994</f>
        <v>Кузнецов Дмитрий ЛьвовичНиколаев Артем Александрович</v>
      </c>
      <c r="K994" t="s">
        <v>8</v>
      </c>
      <c r="L994" t="s">
        <v>248</v>
      </c>
      <c r="M994" t="s">
        <v>464</v>
      </c>
      <c r="N994" t="str">
        <f>O994&amp;P994</f>
        <v>Кузнецов Дмитрий ЛьвовичИванова Анна Геннадьевна</v>
      </c>
      <c r="O994" t="s">
        <v>8</v>
      </c>
      <c r="P994" t="s">
        <v>9</v>
      </c>
      <c r="Q994" t="s">
        <v>10</v>
      </c>
    </row>
    <row r="995">
      <c r="J995" t="str">
        <f>K995&amp;L995</f>
        <v>Семенова Ирина ВалерьевнаВасильева Ирина Артемовна</v>
      </c>
      <c r="K995" t="s">
        <v>57</v>
      </c>
      <c r="L995" t="s">
        <v>231</v>
      </c>
      <c r="M995" t="s">
        <v>464</v>
      </c>
      <c r="N995" t="str">
        <f>O995&amp;P995</f>
        <v>Иванова Анна СергеевнаЕгорова Татьяна Ильинична</v>
      </c>
      <c r="O995" t="s">
        <v>11</v>
      </c>
      <c r="P995" t="s">
        <v>12</v>
      </c>
      <c r="Q995" t="s">
        <v>10</v>
      </c>
    </row>
    <row r="996">
      <c r="J996" t="str">
        <f>K996&amp;L996</f>
        <v>Кузнецов Дмитрий ЛьвовичСтепанова Анна Олеговна</v>
      </c>
      <c r="K996" t="s">
        <v>8</v>
      </c>
      <c r="L996" t="s">
        <v>263</v>
      </c>
      <c r="M996" t="s">
        <v>464</v>
      </c>
      <c r="N996" t="str">
        <f>O996&amp;P996</f>
        <v>Громова Мария ИльиничнаСидоров Алексей Кириллович</v>
      </c>
      <c r="O996" t="s">
        <v>13</v>
      </c>
      <c r="P996" t="s">
        <v>14</v>
      </c>
      <c r="Q996" t="s">
        <v>10</v>
      </c>
    </row>
    <row r="997">
      <c r="J997" t="str">
        <f>K997&amp;L997</f>
        <v>Новикова Ольга ПетровнаВасильева Анна Ильинична</v>
      </c>
      <c r="K997" t="s">
        <v>17</v>
      </c>
      <c r="L997" t="s">
        <v>142</v>
      </c>
      <c r="M997" t="s">
        <v>465</v>
      </c>
      <c r="N997" t="str">
        <f>O997&amp;P997</f>
        <v>Сидорова Елена ВасильевнаИванов Матвей Юрьевич</v>
      </c>
      <c r="O997" t="s">
        <v>15</v>
      </c>
      <c r="P997" t="s">
        <v>16</v>
      </c>
      <c r="Q997" t="s">
        <v>10</v>
      </c>
    </row>
    <row r="998">
      <c r="J998" t="str">
        <f>K998&amp;L998</f>
        <v>Орлов Павел ДенисовичНиколаева Дарья Юрьевна</v>
      </c>
      <c r="K998" t="s">
        <v>43</v>
      </c>
      <c r="L998" t="s">
        <v>227</v>
      </c>
      <c r="M998" t="s">
        <v>465</v>
      </c>
      <c r="N998" t="str">
        <f>O998&amp;P998</f>
        <v>Новикова Ольга ПетровнаВасильев Дмитрий Алексеевич</v>
      </c>
      <c r="O998" t="s">
        <v>17</v>
      </c>
      <c r="P998" t="s">
        <v>18</v>
      </c>
      <c r="Q998" t="s">
        <v>10</v>
      </c>
    </row>
    <row r="999">
      <c r="J999" t="str">
        <f>K999&amp;L999</f>
        <v>Ткаченко Андрей ОлеговичСмирнов Артем Егорович</v>
      </c>
      <c r="K999" t="s">
        <v>24</v>
      </c>
      <c r="L999" t="s">
        <v>316</v>
      </c>
      <c r="M999" t="s">
        <v>465</v>
      </c>
      <c r="N999" t="str">
        <f>O999&amp;P999</f>
        <v>Кузнецов Дмитрий ЛьвовичОрлова Людмила Артемовна</v>
      </c>
      <c r="O999" t="s">
        <v>8</v>
      </c>
      <c r="P999" t="s">
        <v>19</v>
      </c>
      <c r="Q999" t="s">
        <v>10</v>
      </c>
    </row>
    <row r="1000">
      <c r="J1000" t="str">
        <f>K1000&amp;L1000</f>
        <v>Ткаченко Андрей ОлеговичСидорова Екатерина Романовна</v>
      </c>
      <c r="K1000" t="s">
        <v>24</v>
      </c>
      <c r="L1000" t="s">
        <v>257</v>
      </c>
      <c r="M1000" t="s">
        <v>465</v>
      </c>
      <c r="N1000" t="str">
        <f>O1000&amp;P1000</f>
        <v>Иванова Анна СергеевнаПопова Ксения Никитична</v>
      </c>
      <c r="O1000" t="s">
        <v>11</v>
      </c>
      <c r="P1000" t="s">
        <v>20</v>
      </c>
      <c r="Q1000" t="s">
        <v>10</v>
      </c>
    </row>
    <row r="1001">
      <c r="J1001" t="str">
        <f>K1001&amp;L1001</f>
        <v>Фролов Сергей ВикторовичФедоров Алексей Павлович</v>
      </c>
      <c r="K1001" t="s">
        <v>5</v>
      </c>
      <c r="L1001" t="s">
        <v>174</v>
      </c>
      <c r="M1001" t="s">
        <v>466</v>
      </c>
      <c r="N1001" t="str">
        <f>O1001&amp;P1001</f>
        <v>Фролов Сергей ВикторовичОрлова Анна Владимировна</v>
      </c>
      <c r="O1001" t="s">
        <v>5</v>
      </c>
      <c r="P1001" t="s">
        <v>6</v>
      </c>
      <c r="Q100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E2" activeCellId="0" sqref="E2"/>
    </sheetView>
  </sheetViews>
  <sheetFormatPr defaultRowHeight="15" outlineLevelRow="0" outlineLevelCol="0"/>
  <cols>
    <col min="1" max="1" width="27" customWidth="1"/>
    <col min="2" max="2" width="26.33203125" customWidth="1"/>
    <col min="3" max="3" width="13.21875" customWidth="1"/>
    <col min="4" max="4" width="13.21875" customWidth="1"/>
  </cols>
  <sheetData>
    <row r="1">
      <c r="A1" t="s">
        <v>0</v>
      </c>
      <c r="B1" t="s">
        <v>1</v>
      </c>
      <c r="C1" t="s">
        <v>542</v>
      </c>
      <c r="D1" t="s">
        <v>544</v>
      </c>
      <c r="E1" t="s">
        <v>547</v>
      </c>
    </row>
    <row r="2">
      <c r="A2" t="s">
        <v>8</v>
      </c>
      <c r="B2" t="s">
        <v>38</v>
      </c>
      <c r="C2" t="s">
        <v>46</v>
      </c>
      <c r="D2" t="s">
        <v>460</v>
      </c>
      <c r="E2">
        <v>349</v>
      </c>
    </row>
    <row r="3">
      <c r="A3" t="s">
        <v>28</v>
      </c>
      <c r="B3" t="s">
        <v>102</v>
      </c>
      <c r="C3" t="s">
        <v>94</v>
      </c>
      <c r="D3" t="s">
        <v>458</v>
      </c>
      <c r="E3">
        <v>325</v>
      </c>
    </row>
    <row r="4">
      <c r="A4" t="s">
        <v>13</v>
      </c>
      <c r="B4" t="s">
        <v>14</v>
      </c>
      <c r="C4" t="s">
        <v>10</v>
      </c>
      <c r="D4" t="s">
        <v>437</v>
      </c>
      <c r="E4">
        <v>322</v>
      </c>
    </row>
    <row r="5">
      <c r="A5" t="s">
        <v>47</v>
      </c>
      <c r="B5" t="s">
        <v>70</v>
      </c>
      <c r="C5" t="s">
        <v>66</v>
      </c>
      <c r="D5" t="s">
        <v>443</v>
      </c>
      <c r="E5">
        <v>315</v>
      </c>
    </row>
    <row r="6">
      <c r="A6" t="s">
        <v>13</v>
      </c>
      <c r="B6" t="s">
        <v>87</v>
      </c>
      <c r="C6" t="s">
        <v>88</v>
      </c>
      <c r="D6" t="s">
        <v>449</v>
      </c>
      <c r="E6">
        <v>315</v>
      </c>
    </row>
    <row r="7">
      <c r="A7" t="s">
        <v>57</v>
      </c>
      <c r="B7" t="s">
        <v>42</v>
      </c>
      <c r="C7" t="s">
        <v>134</v>
      </c>
      <c r="D7" t="s">
        <v>461</v>
      </c>
      <c r="E7">
        <v>315</v>
      </c>
    </row>
    <row r="8">
      <c r="A8" t="s">
        <v>17</v>
      </c>
      <c r="B8" t="s">
        <v>144</v>
      </c>
      <c r="C8" t="s">
        <v>173</v>
      </c>
      <c r="D8" t="s">
        <v>461</v>
      </c>
      <c r="E8">
        <v>295</v>
      </c>
    </row>
    <row r="9">
      <c r="A9" t="s">
        <v>24</v>
      </c>
      <c r="B9" t="s">
        <v>157</v>
      </c>
      <c r="C9" t="s">
        <v>156</v>
      </c>
      <c r="D9" t="s">
        <v>454</v>
      </c>
      <c r="E9">
        <v>293</v>
      </c>
    </row>
    <row r="10">
      <c r="A10" t="s">
        <v>11</v>
      </c>
      <c r="B10" t="s">
        <v>20</v>
      </c>
      <c r="C10" t="s">
        <v>10</v>
      </c>
      <c r="D10" t="s">
        <v>408</v>
      </c>
      <c r="E10">
        <v>280</v>
      </c>
    </row>
    <row r="11">
      <c r="A11" t="s">
        <v>15</v>
      </c>
      <c r="B11" t="s">
        <v>135</v>
      </c>
      <c r="C11" t="s">
        <v>136</v>
      </c>
      <c r="D11" t="s">
        <v>432</v>
      </c>
      <c r="E11">
        <v>268</v>
      </c>
    </row>
    <row r="12">
      <c r="A12" t="s">
        <v>13</v>
      </c>
      <c r="B12" t="s">
        <v>116</v>
      </c>
      <c r="C12" t="s">
        <v>183</v>
      </c>
      <c r="D12" t="s">
        <v>443</v>
      </c>
      <c r="E12">
        <v>261</v>
      </c>
    </row>
    <row r="13">
      <c r="A13" t="s">
        <v>17</v>
      </c>
      <c r="B13" t="s">
        <v>212</v>
      </c>
      <c r="C13" t="s">
        <v>213</v>
      </c>
      <c r="D13" t="s">
        <v>455</v>
      </c>
      <c r="E13">
        <v>261</v>
      </c>
    </row>
    <row r="14">
      <c r="A14" t="s">
        <v>57</v>
      </c>
      <c r="B14" t="s">
        <v>58</v>
      </c>
      <c r="C14" t="s">
        <v>54</v>
      </c>
      <c r="D14" t="s">
        <v>402</v>
      </c>
      <c r="E14">
        <v>259</v>
      </c>
    </row>
    <row r="15">
      <c r="A15" t="s">
        <v>8</v>
      </c>
      <c r="B15" t="s">
        <v>83</v>
      </c>
      <c r="C15" t="s">
        <v>122</v>
      </c>
      <c r="D15" t="s">
        <v>413</v>
      </c>
      <c r="E15">
        <v>250</v>
      </c>
    </row>
    <row r="16">
      <c r="A16" t="s">
        <v>21</v>
      </c>
      <c r="B16" t="s">
        <v>144</v>
      </c>
      <c r="C16" t="s">
        <v>176</v>
      </c>
      <c r="D16" t="s">
        <v>430</v>
      </c>
      <c r="E16">
        <v>246</v>
      </c>
    </row>
    <row r="17">
      <c r="A17" t="s">
        <v>21</v>
      </c>
      <c r="B17" t="s">
        <v>44</v>
      </c>
      <c r="C17" t="s">
        <v>238</v>
      </c>
      <c r="D17" t="s">
        <v>452</v>
      </c>
      <c r="E17">
        <v>239</v>
      </c>
    </row>
    <row r="18">
      <c r="A18" t="s">
        <v>8</v>
      </c>
      <c r="B18" t="s">
        <v>250</v>
      </c>
      <c r="C18" t="s">
        <v>249</v>
      </c>
      <c r="D18" t="s">
        <v>456</v>
      </c>
      <c r="E18">
        <v>238</v>
      </c>
    </row>
    <row r="19">
      <c r="A19" t="s">
        <v>5</v>
      </c>
      <c r="B19" t="s">
        <v>217</v>
      </c>
      <c r="C19" t="s">
        <v>233</v>
      </c>
      <c r="D19" t="s">
        <v>447</v>
      </c>
      <c r="E19">
        <v>237</v>
      </c>
    </row>
    <row r="20">
      <c r="A20" t="s">
        <v>8</v>
      </c>
      <c r="B20" t="s">
        <v>222</v>
      </c>
      <c r="C20" t="s">
        <v>236</v>
      </c>
      <c r="D20" t="s">
        <v>446</v>
      </c>
      <c r="E20">
        <v>234</v>
      </c>
    </row>
    <row r="21">
      <c r="A21" t="s">
        <v>17</v>
      </c>
      <c r="B21" t="s">
        <v>92</v>
      </c>
      <c r="C21" t="s">
        <v>90</v>
      </c>
      <c r="D21" t="s">
        <v>388</v>
      </c>
      <c r="E21">
        <v>227</v>
      </c>
    </row>
    <row r="22">
      <c r="A22" t="s">
        <v>57</v>
      </c>
      <c r="B22" t="s">
        <v>123</v>
      </c>
      <c r="C22" t="s">
        <v>122</v>
      </c>
      <c r="D22" t="s">
        <v>392</v>
      </c>
      <c r="E22">
        <v>222</v>
      </c>
    </row>
    <row r="23">
      <c r="A23" t="s">
        <v>21</v>
      </c>
      <c r="B23" t="s">
        <v>12</v>
      </c>
      <c r="C23" t="s">
        <v>199</v>
      </c>
      <c r="D23" t="s">
        <v>418</v>
      </c>
      <c r="E23">
        <v>216</v>
      </c>
    </row>
    <row r="24">
      <c r="A24" t="s">
        <v>8</v>
      </c>
      <c r="B24" t="s">
        <v>234</v>
      </c>
      <c r="C24" t="s">
        <v>235</v>
      </c>
      <c r="D24" t="s">
        <v>432</v>
      </c>
      <c r="E24">
        <v>211</v>
      </c>
    </row>
    <row r="25">
      <c r="A25" t="s">
        <v>15</v>
      </c>
      <c r="B25" t="s">
        <v>172</v>
      </c>
      <c r="C25" t="s">
        <v>203</v>
      </c>
      <c r="D25" t="s">
        <v>417</v>
      </c>
      <c r="E25">
        <v>210</v>
      </c>
    </row>
    <row r="26">
      <c r="A26" t="s">
        <v>57</v>
      </c>
      <c r="B26" t="s">
        <v>78</v>
      </c>
      <c r="C26" t="s">
        <v>76</v>
      </c>
      <c r="D26" t="s">
        <v>367</v>
      </c>
      <c r="E26">
        <v>206</v>
      </c>
    </row>
    <row r="27">
      <c r="A27" t="s">
        <v>57</v>
      </c>
      <c r="B27" t="s">
        <v>118</v>
      </c>
      <c r="C27" t="s">
        <v>114</v>
      </c>
      <c r="D27" t="s">
        <v>378</v>
      </c>
      <c r="E27">
        <v>205</v>
      </c>
    </row>
    <row r="28">
      <c r="A28" t="s">
        <v>17</v>
      </c>
      <c r="B28" t="s">
        <v>98</v>
      </c>
      <c r="C28" t="s">
        <v>183</v>
      </c>
      <c r="D28" t="s">
        <v>402</v>
      </c>
      <c r="E28">
        <v>203</v>
      </c>
    </row>
    <row r="29">
      <c r="A29" t="s">
        <v>17</v>
      </c>
      <c r="B29" t="s">
        <v>248</v>
      </c>
      <c r="C29" t="s">
        <v>300</v>
      </c>
      <c r="D29" t="s">
        <v>459</v>
      </c>
      <c r="E29">
        <v>203</v>
      </c>
    </row>
    <row r="30">
      <c r="A30" t="s">
        <v>43</v>
      </c>
      <c r="B30" t="s">
        <v>227</v>
      </c>
      <c r="C30" t="s">
        <v>311</v>
      </c>
      <c r="D30" t="s">
        <v>465</v>
      </c>
      <c r="E30">
        <v>199</v>
      </c>
    </row>
    <row r="31">
      <c r="A31" t="s">
        <v>17</v>
      </c>
      <c r="B31" t="s">
        <v>142</v>
      </c>
      <c r="C31" t="s">
        <v>313</v>
      </c>
      <c r="D31" t="s">
        <v>465</v>
      </c>
      <c r="E31">
        <v>197</v>
      </c>
    </row>
    <row r="32">
      <c r="A32" t="s">
        <v>43</v>
      </c>
      <c r="B32" t="s">
        <v>49</v>
      </c>
      <c r="C32" t="s">
        <v>46</v>
      </c>
      <c r="D32" t="s">
        <v>346</v>
      </c>
      <c r="E32">
        <v>195</v>
      </c>
    </row>
    <row r="33">
      <c r="A33" t="s">
        <v>24</v>
      </c>
      <c r="B33" t="s">
        <v>316</v>
      </c>
      <c r="C33" t="s">
        <v>317</v>
      </c>
      <c r="D33" t="s">
        <v>465</v>
      </c>
      <c r="E33">
        <v>193</v>
      </c>
    </row>
    <row r="34">
      <c r="A34" t="s">
        <v>24</v>
      </c>
      <c r="B34" t="s">
        <v>35</v>
      </c>
      <c r="C34" t="s">
        <v>34</v>
      </c>
      <c r="D34" t="s">
        <v>338</v>
      </c>
      <c r="E34">
        <v>192</v>
      </c>
    </row>
    <row r="35">
      <c r="A35" t="s">
        <v>8</v>
      </c>
      <c r="B35" t="s">
        <v>69</v>
      </c>
      <c r="C35" t="s">
        <v>66</v>
      </c>
      <c r="D35" t="s">
        <v>350</v>
      </c>
      <c r="E35">
        <v>191</v>
      </c>
    </row>
    <row r="36">
      <c r="A36" t="s">
        <v>15</v>
      </c>
      <c r="B36" t="s">
        <v>138</v>
      </c>
      <c r="C36" t="s">
        <v>139</v>
      </c>
      <c r="D36" t="s">
        <v>375</v>
      </c>
      <c r="E36">
        <v>190</v>
      </c>
    </row>
    <row r="37">
      <c r="A37" t="s">
        <v>5</v>
      </c>
      <c r="B37" t="s">
        <v>9</v>
      </c>
      <c r="C37" t="s">
        <v>238</v>
      </c>
      <c r="D37" t="s">
        <v>418</v>
      </c>
      <c r="E37">
        <v>189</v>
      </c>
    </row>
    <row r="38">
      <c r="A38" t="s">
        <v>5</v>
      </c>
      <c r="B38" t="s">
        <v>131</v>
      </c>
      <c r="C38" t="s">
        <v>127</v>
      </c>
      <c r="D38" t="s">
        <v>369</v>
      </c>
      <c r="E38">
        <v>189</v>
      </c>
    </row>
    <row r="39">
      <c r="A39" t="s">
        <v>24</v>
      </c>
      <c r="B39" t="s">
        <v>108</v>
      </c>
      <c r="C39" t="s">
        <v>203</v>
      </c>
      <c r="D39" t="s">
        <v>397</v>
      </c>
      <c r="E39">
        <v>185</v>
      </c>
    </row>
    <row r="40">
      <c r="A40" t="s">
        <v>17</v>
      </c>
      <c r="B40" t="s">
        <v>18</v>
      </c>
      <c r="C40" t="s">
        <v>10</v>
      </c>
      <c r="D40" t="s">
        <v>330</v>
      </c>
      <c r="E40">
        <v>184</v>
      </c>
    </row>
    <row r="41">
      <c r="A41" t="s">
        <v>11</v>
      </c>
      <c r="B41" t="s">
        <v>160</v>
      </c>
      <c r="C41" t="s">
        <v>286</v>
      </c>
      <c r="D41" t="s">
        <v>437</v>
      </c>
      <c r="E41">
        <v>182</v>
      </c>
    </row>
    <row r="42">
      <c r="A42" t="s">
        <v>21</v>
      </c>
      <c r="B42" t="s">
        <v>252</v>
      </c>
      <c r="C42" t="s">
        <v>317</v>
      </c>
      <c r="D42" t="s">
        <v>456</v>
      </c>
      <c r="E42">
        <v>182</v>
      </c>
    </row>
    <row r="43">
      <c r="A43" t="s">
        <v>17</v>
      </c>
      <c r="B43" t="s">
        <v>148</v>
      </c>
      <c r="C43" t="s">
        <v>145</v>
      </c>
      <c r="D43" t="s">
        <v>368</v>
      </c>
      <c r="E43">
        <v>179</v>
      </c>
    </row>
    <row r="44">
      <c r="A44" t="s">
        <v>15</v>
      </c>
      <c r="B44" t="s">
        <v>142</v>
      </c>
      <c r="C44" t="s">
        <v>279</v>
      </c>
      <c r="D44" t="s">
        <v>432</v>
      </c>
      <c r="E44">
        <v>179</v>
      </c>
    </row>
    <row r="45">
      <c r="A45" t="s">
        <v>13</v>
      </c>
      <c r="B45" t="s">
        <v>161</v>
      </c>
      <c r="C45" t="s">
        <v>159</v>
      </c>
      <c r="D45" t="s">
        <v>371</v>
      </c>
      <c r="E45">
        <v>176</v>
      </c>
    </row>
    <row r="46">
      <c r="A46" t="s">
        <v>17</v>
      </c>
      <c r="B46" t="s">
        <v>302</v>
      </c>
      <c r="C46" t="s">
        <v>319</v>
      </c>
      <c r="D46" t="s">
        <v>453</v>
      </c>
      <c r="E46">
        <v>174</v>
      </c>
    </row>
    <row r="47">
      <c r="A47" t="s">
        <v>15</v>
      </c>
      <c r="B47" t="s">
        <v>147</v>
      </c>
      <c r="C47" t="s">
        <v>145</v>
      </c>
      <c r="D47" t="s">
        <v>360</v>
      </c>
      <c r="E47">
        <v>172</v>
      </c>
    </row>
    <row r="48">
      <c r="A48" t="s">
        <v>17</v>
      </c>
      <c r="B48" t="s">
        <v>151</v>
      </c>
      <c r="C48" t="s">
        <v>150</v>
      </c>
      <c r="D48" t="s">
        <v>360</v>
      </c>
      <c r="E48">
        <v>171</v>
      </c>
    </row>
    <row r="49">
      <c r="A49" t="s">
        <v>57</v>
      </c>
      <c r="B49" t="s">
        <v>196</v>
      </c>
      <c r="C49" t="s">
        <v>205</v>
      </c>
      <c r="D49" t="s">
        <v>389</v>
      </c>
      <c r="E49">
        <v>170</v>
      </c>
    </row>
    <row r="50">
      <c r="A50" t="s">
        <v>11</v>
      </c>
      <c r="B50" t="s">
        <v>255</v>
      </c>
      <c r="C50" t="s">
        <v>253</v>
      </c>
      <c r="D50" t="s">
        <v>409</v>
      </c>
      <c r="E50">
        <v>167</v>
      </c>
    </row>
    <row r="51">
      <c r="A51" t="s">
        <v>11</v>
      </c>
      <c r="B51" t="s">
        <v>265</v>
      </c>
      <c r="C51" t="s">
        <v>264</v>
      </c>
      <c r="D51" t="s">
        <v>413</v>
      </c>
      <c r="E51">
        <v>166</v>
      </c>
    </row>
    <row r="52">
      <c r="A52" t="s">
        <v>8</v>
      </c>
      <c r="B52" t="s">
        <v>31</v>
      </c>
      <c r="C52" t="s">
        <v>32</v>
      </c>
      <c r="D52" t="s">
        <v>317</v>
      </c>
      <c r="E52">
        <v>165</v>
      </c>
    </row>
    <row r="53">
      <c r="A53" t="s">
        <v>28</v>
      </c>
      <c r="B53" t="s">
        <v>19</v>
      </c>
      <c r="C53" t="s">
        <v>169</v>
      </c>
      <c r="D53" t="s">
        <v>364</v>
      </c>
      <c r="E53">
        <v>165</v>
      </c>
    </row>
    <row r="54">
      <c r="A54" t="s">
        <v>11</v>
      </c>
      <c r="B54" t="s">
        <v>204</v>
      </c>
      <c r="C54" t="s">
        <v>205</v>
      </c>
      <c r="D54" t="s">
        <v>381</v>
      </c>
      <c r="E54">
        <v>161</v>
      </c>
    </row>
    <row r="55">
      <c r="A55" t="s">
        <v>21</v>
      </c>
      <c r="B55" t="s">
        <v>147</v>
      </c>
      <c r="C55" t="s">
        <v>195</v>
      </c>
      <c r="D55" t="s">
        <v>376</v>
      </c>
      <c r="E55">
        <v>161</v>
      </c>
    </row>
    <row r="56">
      <c r="A56" t="s">
        <v>17</v>
      </c>
      <c r="B56" t="s">
        <v>172</v>
      </c>
      <c r="C56" t="s">
        <v>173</v>
      </c>
      <c r="D56" t="s">
        <v>359</v>
      </c>
      <c r="E56">
        <v>157</v>
      </c>
    </row>
    <row r="57">
      <c r="A57" t="s">
        <v>15</v>
      </c>
      <c r="B57" t="s">
        <v>137</v>
      </c>
      <c r="C57" t="s">
        <v>279</v>
      </c>
      <c r="D57" t="s">
        <v>408</v>
      </c>
      <c r="E57">
        <v>147</v>
      </c>
    </row>
    <row r="58">
      <c r="A58" t="s">
        <v>11</v>
      </c>
      <c r="B58" t="s">
        <v>212</v>
      </c>
      <c r="C58" t="s">
        <v>283</v>
      </c>
      <c r="D58" t="s">
        <v>410</v>
      </c>
      <c r="E58">
        <v>146</v>
      </c>
    </row>
    <row r="59">
      <c r="A59" t="s">
        <v>43</v>
      </c>
      <c r="B59" t="s">
        <v>291</v>
      </c>
      <c r="C59" t="s">
        <v>328</v>
      </c>
      <c r="D59" t="s">
        <v>439</v>
      </c>
      <c r="E59">
        <v>142</v>
      </c>
    </row>
    <row r="60">
      <c r="A60" t="s">
        <v>8</v>
      </c>
      <c r="B60" t="s">
        <v>257</v>
      </c>
      <c r="C60" t="s">
        <v>253</v>
      </c>
      <c r="D60" t="s">
        <v>390</v>
      </c>
      <c r="E60">
        <v>141</v>
      </c>
    </row>
    <row r="61">
      <c r="A61" t="s">
        <v>15</v>
      </c>
      <c r="B61" t="s">
        <v>185</v>
      </c>
      <c r="C61" t="s">
        <v>183</v>
      </c>
      <c r="D61" t="s">
        <v>351</v>
      </c>
      <c r="E61">
        <v>140</v>
      </c>
    </row>
    <row r="62">
      <c r="A62" t="s">
        <v>24</v>
      </c>
      <c r="B62" t="s">
        <v>174</v>
      </c>
      <c r="C62" t="s">
        <v>303</v>
      </c>
      <c r="D62" t="s">
        <v>413</v>
      </c>
      <c r="E62">
        <v>132</v>
      </c>
    </row>
    <row r="63">
      <c r="A63" t="s">
        <v>8</v>
      </c>
      <c r="B63" t="s">
        <v>185</v>
      </c>
      <c r="C63" t="s">
        <v>275</v>
      </c>
      <c r="D63" t="s">
        <v>392</v>
      </c>
      <c r="E63">
        <v>130</v>
      </c>
    </row>
    <row r="64">
      <c r="A64" t="s">
        <v>15</v>
      </c>
      <c r="B64" t="s">
        <v>16</v>
      </c>
      <c r="C64" t="s">
        <v>10</v>
      </c>
      <c r="D64" t="s">
        <v>277</v>
      </c>
      <c r="E64">
        <v>130</v>
      </c>
    </row>
    <row r="65">
      <c r="A65" t="s">
        <v>21</v>
      </c>
      <c r="B65" t="s">
        <v>33</v>
      </c>
      <c r="C65" t="s">
        <v>159</v>
      </c>
      <c r="D65" t="s">
        <v>332</v>
      </c>
      <c r="E65">
        <v>130</v>
      </c>
    </row>
    <row r="66">
      <c r="A66" t="s">
        <v>5</v>
      </c>
      <c r="B66" t="s">
        <v>82</v>
      </c>
      <c r="C66" t="s">
        <v>76</v>
      </c>
      <c r="D66" t="s">
        <v>290</v>
      </c>
      <c r="E66">
        <v>121</v>
      </c>
    </row>
    <row r="67">
      <c r="A67" t="s">
        <v>47</v>
      </c>
      <c r="B67" t="s">
        <v>140</v>
      </c>
      <c r="C67" t="s">
        <v>349</v>
      </c>
      <c r="D67" t="s">
        <v>437</v>
      </c>
      <c r="E67">
        <v>116</v>
      </c>
    </row>
    <row r="68">
      <c r="A68" t="s">
        <v>43</v>
      </c>
      <c r="B68" t="s">
        <v>56</v>
      </c>
      <c r="C68" t="s">
        <v>351</v>
      </c>
      <c r="D68" t="s">
        <v>439</v>
      </c>
      <c r="E68">
        <v>114</v>
      </c>
    </row>
    <row r="69">
      <c r="A69" t="s">
        <v>11</v>
      </c>
      <c r="B69" t="s">
        <v>192</v>
      </c>
      <c r="C69" t="s">
        <v>325</v>
      </c>
      <c r="D69" t="s">
        <v>417</v>
      </c>
      <c r="E69">
        <v>113</v>
      </c>
    </row>
    <row r="70">
      <c r="A70" t="s">
        <v>13</v>
      </c>
      <c r="B70" t="s">
        <v>222</v>
      </c>
      <c r="C70" t="s">
        <v>338</v>
      </c>
      <c r="D70" t="s">
        <v>428</v>
      </c>
      <c r="E70">
        <v>112</v>
      </c>
    </row>
    <row r="71">
      <c r="A71" t="s">
        <v>5</v>
      </c>
      <c r="B71" t="s">
        <v>55</v>
      </c>
      <c r="C71" t="s">
        <v>317</v>
      </c>
      <c r="D71" t="s">
        <v>408</v>
      </c>
      <c r="E71">
        <v>112</v>
      </c>
    </row>
    <row r="72">
      <c r="A72" t="s">
        <v>13</v>
      </c>
      <c r="B72" t="s">
        <v>284</v>
      </c>
      <c r="C72" t="s">
        <v>298</v>
      </c>
      <c r="D72" t="s">
        <v>392</v>
      </c>
      <c r="E72">
        <v>109</v>
      </c>
    </row>
    <row r="73">
      <c r="A73" t="s">
        <v>15</v>
      </c>
      <c r="B73" t="s">
        <v>123</v>
      </c>
      <c r="C73" t="s">
        <v>180</v>
      </c>
      <c r="D73" t="s">
        <v>322</v>
      </c>
      <c r="E73">
        <v>108</v>
      </c>
    </row>
    <row r="74">
      <c r="A74" t="s">
        <v>47</v>
      </c>
      <c r="B74" t="s">
        <v>20</v>
      </c>
      <c r="C74" t="s">
        <v>337</v>
      </c>
      <c r="D74" t="s">
        <v>418</v>
      </c>
      <c r="E74">
        <v>101</v>
      </c>
    </row>
    <row r="75">
      <c r="A75" t="s">
        <v>15</v>
      </c>
      <c r="B75" t="s">
        <v>38</v>
      </c>
      <c r="C75" t="s">
        <v>36</v>
      </c>
      <c r="D75" t="s">
        <v>242</v>
      </c>
      <c r="E75">
        <v>99</v>
      </c>
    </row>
    <row r="76">
      <c r="A76" t="s">
        <v>24</v>
      </c>
      <c r="B76" t="s">
        <v>70</v>
      </c>
      <c r="C76" t="s">
        <v>336</v>
      </c>
      <c r="D76" t="s">
        <v>416</v>
      </c>
      <c r="E76">
        <v>98</v>
      </c>
    </row>
    <row r="77">
      <c r="A77" t="s">
        <v>43</v>
      </c>
      <c r="B77" t="s">
        <v>158</v>
      </c>
      <c r="C77" t="s">
        <v>210</v>
      </c>
      <c r="D77" t="s">
        <v>325</v>
      </c>
      <c r="E77">
        <v>93</v>
      </c>
    </row>
    <row r="78">
      <c r="A78" t="s">
        <v>57</v>
      </c>
      <c r="B78" t="s">
        <v>185</v>
      </c>
      <c r="C78" t="s">
        <v>381</v>
      </c>
      <c r="D78" t="s">
        <v>447</v>
      </c>
      <c r="E78">
        <v>92</v>
      </c>
    </row>
    <row r="79">
      <c r="A79" t="s">
        <v>11</v>
      </c>
      <c r="B79" t="s">
        <v>6</v>
      </c>
      <c r="C79" t="s">
        <v>346</v>
      </c>
      <c r="D79" t="s">
        <v>418</v>
      </c>
      <c r="E79">
        <v>91</v>
      </c>
    </row>
    <row r="80">
      <c r="A80" t="s">
        <v>57</v>
      </c>
      <c r="B80" t="s">
        <v>273</v>
      </c>
      <c r="C80" t="s">
        <v>274</v>
      </c>
      <c r="D80" t="s">
        <v>358</v>
      </c>
      <c r="E80">
        <v>91</v>
      </c>
    </row>
    <row r="81">
      <c r="A81" t="s">
        <v>8</v>
      </c>
      <c r="B81" t="s">
        <v>14</v>
      </c>
      <c r="C81" t="s">
        <v>46</v>
      </c>
      <c r="D81" t="s">
        <v>230</v>
      </c>
      <c r="E81">
        <v>90</v>
      </c>
    </row>
    <row r="82">
      <c r="A82" t="s">
        <v>5</v>
      </c>
      <c r="B82" t="s">
        <v>186</v>
      </c>
      <c r="C82" t="s">
        <v>183</v>
      </c>
      <c r="D82" t="s">
        <v>307</v>
      </c>
      <c r="E82">
        <v>88</v>
      </c>
    </row>
    <row r="83">
      <c r="A83" t="s">
        <v>28</v>
      </c>
      <c r="B83" t="s">
        <v>207</v>
      </c>
      <c r="C83" t="s">
        <v>205</v>
      </c>
      <c r="D83" t="s">
        <v>317</v>
      </c>
      <c r="E83">
        <v>84</v>
      </c>
    </row>
    <row r="84">
      <c r="A84" t="s">
        <v>15</v>
      </c>
      <c r="B84" t="s">
        <v>248</v>
      </c>
      <c r="C84" t="s">
        <v>304</v>
      </c>
      <c r="D84" t="s">
        <v>376</v>
      </c>
      <c r="E84">
        <v>82</v>
      </c>
    </row>
    <row r="85">
      <c r="A85" t="s">
        <v>24</v>
      </c>
      <c r="B85" t="s">
        <v>160</v>
      </c>
      <c r="C85" t="s">
        <v>233</v>
      </c>
      <c r="D85" t="s">
        <v>328</v>
      </c>
      <c r="E85">
        <v>82</v>
      </c>
    </row>
    <row r="86">
      <c r="A86" t="s">
        <v>47</v>
      </c>
      <c r="B86" t="s">
        <v>45</v>
      </c>
      <c r="C86" t="s">
        <v>271</v>
      </c>
      <c r="D86" t="s">
        <v>350</v>
      </c>
      <c r="E86">
        <v>80</v>
      </c>
    </row>
    <row r="87">
      <c r="A87" t="s">
        <v>11</v>
      </c>
      <c r="B87" t="s">
        <v>77</v>
      </c>
      <c r="C87" t="s">
        <v>281</v>
      </c>
      <c r="D87" t="s">
        <v>355</v>
      </c>
      <c r="E87">
        <v>80</v>
      </c>
    </row>
    <row r="88">
      <c r="A88" t="s">
        <v>43</v>
      </c>
      <c r="B88" t="s">
        <v>44</v>
      </c>
      <c r="C88" t="s">
        <v>36</v>
      </c>
      <c r="D88" t="s">
        <v>216</v>
      </c>
      <c r="E88">
        <v>80</v>
      </c>
    </row>
    <row r="89">
      <c r="A89" t="s">
        <v>28</v>
      </c>
      <c r="B89" t="s">
        <v>316</v>
      </c>
      <c r="C89" t="s">
        <v>346</v>
      </c>
      <c r="D89" t="s">
        <v>411</v>
      </c>
      <c r="E89">
        <v>80</v>
      </c>
    </row>
    <row r="90">
      <c r="A90" t="s">
        <v>8</v>
      </c>
      <c r="B90" t="s">
        <v>96</v>
      </c>
      <c r="C90" t="s">
        <v>167</v>
      </c>
      <c r="D90" t="s">
        <v>283</v>
      </c>
      <c r="E90">
        <v>77</v>
      </c>
    </row>
    <row r="91">
      <c r="A91" t="s">
        <v>24</v>
      </c>
      <c r="B91" t="s">
        <v>209</v>
      </c>
      <c r="C91" t="s">
        <v>205</v>
      </c>
      <c r="D91" t="s">
        <v>309</v>
      </c>
      <c r="E91">
        <v>77</v>
      </c>
    </row>
    <row r="92">
      <c r="A92" t="s">
        <v>11</v>
      </c>
      <c r="B92" t="s">
        <v>119</v>
      </c>
      <c r="C92" t="s">
        <v>120</v>
      </c>
      <c r="D92" t="s">
        <v>249</v>
      </c>
      <c r="E92">
        <v>76</v>
      </c>
    </row>
    <row r="93">
      <c r="A93" t="s">
        <v>17</v>
      </c>
      <c r="B93" t="s">
        <v>184</v>
      </c>
      <c r="C93" t="s">
        <v>397</v>
      </c>
      <c r="D93" t="s">
        <v>450</v>
      </c>
      <c r="E93">
        <v>74</v>
      </c>
    </row>
    <row r="94">
      <c r="A94" t="s">
        <v>15</v>
      </c>
      <c r="B94" t="s">
        <v>77</v>
      </c>
      <c r="C94" t="s">
        <v>76</v>
      </c>
      <c r="D94" t="s">
        <v>229</v>
      </c>
      <c r="E94">
        <v>74</v>
      </c>
    </row>
    <row r="95">
      <c r="A95" t="s">
        <v>21</v>
      </c>
      <c r="B95" t="s">
        <v>181</v>
      </c>
      <c r="C95" t="s">
        <v>261</v>
      </c>
      <c r="D95" t="s">
        <v>337</v>
      </c>
      <c r="E95">
        <v>74</v>
      </c>
    </row>
    <row r="96">
      <c r="A96" t="s">
        <v>57</v>
      </c>
      <c r="B96" t="s">
        <v>108</v>
      </c>
      <c r="C96" t="s">
        <v>309</v>
      </c>
      <c r="D96" t="s">
        <v>373</v>
      </c>
      <c r="E96">
        <v>73</v>
      </c>
    </row>
    <row r="97">
      <c r="A97" t="s">
        <v>28</v>
      </c>
      <c r="B97" t="s">
        <v>37</v>
      </c>
      <c r="C97" t="s">
        <v>36</v>
      </c>
      <c r="D97" t="s">
        <v>201</v>
      </c>
      <c r="E97">
        <v>72</v>
      </c>
    </row>
    <row r="98">
      <c r="A98" t="s">
        <v>47</v>
      </c>
      <c r="B98" t="s">
        <v>339</v>
      </c>
      <c r="C98" t="s">
        <v>340</v>
      </c>
      <c r="D98" t="s">
        <v>399</v>
      </c>
      <c r="E98">
        <v>71</v>
      </c>
    </row>
    <row r="99">
      <c r="A99" t="s">
        <v>5</v>
      </c>
      <c r="B99" t="s">
        <v>190</v>
      </c>
      <c r="C99" t="s">
        <v>199</v>
      </c>
      <c r="D99" t="s">
        <v>297</v>
      </c>
      <c r="E99">
        <v>71</v>
      </c>
    </row>
    <row r="100">
      <c r="A100" t="s">
        <v>43</v>
      </c>
      <c r="B100" t="s">
        <v>58</v>
      </c>
      <c r="C100" t="s">
        <v>311</v>
      </c>
      <c r="D100" t="s">
        <v>369</v>
      </c>
      <c r="E100">
        <v>69</v>
      </c>
    </row>
    <row r="101">
      <c r="A101" t="s">
        <v>47</v>
      </c>
      <c r="B101" t="s">
        <v>185</v>
      </c>
      <c r="C101" t="s">
        <v>380</v>
      </c>
      <c r="D101" t="s">
        <v>430</v>
      </c>
      <c r="E101">
        <v>68</v>
      </c>
    </row>
    <row r="102">
      <c r="A102" t="s">
        <v>5</v>
      </c>
      <c r="B102" t="s">
        <v>189</v>
      </c>
      <c r="C102" t="s">
        <v>348</v>
      </c>
      <c r="D102" t="s">
        <v>402</v>
      </c>
      <c r="E102">
        <v>68</v>
      </c>
    </row>
    <row r="103">
      <c r="A103" t="s">
        <v>43</v>
      </c>
      <c r="B103" t="s">
        <v>108</v>
      </c>
      <c r="C103" t="s">
        <v>109</v>
      </c>
      <c r="D103" t="s">
        <v>230</v>
      </c>
      <c r="E103">
        <v>67</v>
      </c>
    </row>
    <row r="104">
      <c r="A104" t="s">
        <v>8</v>
      </c>
      <c r="B104" t="s">
        <v>19</v>
      </c>
      <c r="C104" t="s">
        <v>10</v>
      </c>
      <c r="D104" t="s">
        <v>179</v>
      </c>
      <c r="E104">
        <v>66</v>
      </c>
    </row>
    <row r="105">
      <c r="A105" t="s">
        <v>17</v>
      </c>
      <c r="B105" t="s">
        <v>192</v>
      </c>
      <c r="C105" t="s">
        <v>193</v>
      </c>
      <c r="D105" t="s">
        <v>285</v>
      </c>
      <c r="E105">
        <v>64</v>
      </c>
    </row>
    <row r="106">
      <c r="A106" t="s">
        <v>43</v>
      </c>
      <c r="B106" t="s">
        <v>174</v>
      </c>
      <c r="C106" t="s">
        <v>173</v>
      </c>
      <c r="D106" t="s">
        <v>269</v>
      </c>
      <c r="E106">
        <v>63</v>
      </c>
    </row>
    <row r="107">
      <c r="A107" t="s">
        <v>57</v>
      </c>
      <c r="B107" t="s">
        <v>119</v>
      </c>
      <c r="C107" t="s">
        <v>413</v>
      </c>
      <c r="D107" t="s">
        <v>456</v>
      </c>
      <c r="E107">
        <v>63</v>
      </c>
    </row>
    <row r="108">
      <c r="A108" t="s">
        <v>43</v>
      </c>
      <c r="B108" t="s">
        <v>186</v>
      </c>
      <c r="C108" t="s">
        <v>353</v>
      </c>
      <c r="D108" t="s">
        <v>402</v>
      </c>
      <c r="E108">
        <v>61</v>
      </c>
    </row>
    <row r="109">
      <c r="A109" t="s">
        <v>47</v>
      </c>
      <c r="B109" t="s">
        <v>42</v>
      </c>
      <c r="C109" t="s">
        <v>301</v>
      </c>
      <c r="D109" t="s">
        <v>354</v>
      </c>
      <c r="E109">
        <v>59</v>
      </c>
    </row>
    <row r="110">
      <c r="A110" t="s">
        <v>43</v>
      </c>
      <c r="B110" t="s">
        <v>119</v>
      </c>
      <c r="C110" t="s">
        <v>279</v>
      </c>
      <c r="D110" t="s">
        <v>336</v>
      </c>
      <c r="E110">
        <v>59</v>
      </c>
    </row>
    <row r="111">
      <c r="A111" t="s">
        <v>28</v>
      </c>
      <c r="B111" t="s">
        <v>222</v>
      </c>
      <c r="C111" t="s">
        <v>356</v>
      </c>
      <c r="D111" t="s">
        <v>406</v>
      </c>
      <c r="E111">
        <v>59</v>
      </c>
    </row>
    <row r="112">
      <c r="A112" t="s">
        <v>57</v>
      </c>
      <c r="B112" t="s">
        <v>174</v>
      </c>
      <c r="C112" t="s">
        <v>329</v>
      </c>
      <c r="D112" t="s">
        <v>376</v>
      </c>
      <c r="E112">
        <v>55</v>
      </c>
    </row>
    <row r="113">
      <c r="A113" t="s">
        <v>24</v>
      </c>
      <c r="B113" t="s">
        <v>270</v>
      </c>
      <c r="C113" t="s">
        <v>411</v>
      </c>
      <c r="D113" t="s">
        <v>446</v>
      </c>
      <c r="E113">
        <v>53</v>
      </c>
    </row>
    <row r="114">
      <c r="A114" t="s">
        <v>15</v>
      </c>
      <c r="B114" t="s">
        <v>92</v>
      </c>
      <c r="C114" t="s">
        <v>269</v>
      </c>
      <c r="D114" t="s">
        <v>323</v>
      </c>
      <c r="E114">
        <v>50</v>
      </c>
    </row>
    <row r="115">
      <c r="A115" t="s">
        <v>8</v>
      </c>
      <c r="B115" t="s">
        <v>192</v>
      </c>
      <c r="C115" t="s">
        <v>191</v>
      </c>
      <c r="D115" t="s">
        <v>264</v>
      </c>
      <c r="E115">
        <v>49</v>
      </c>
    </row>
    <row r="116">
      <c r="A116" t="s">
        <v>47</v>
      </c>
      <c r="B116" t="s">
        <v>256</v>
      </c>
      <c r="C116" t="s">
        <v>369</v>
      </c>
      <c r="D116" t="s">
        <v>407</v>
      </c>
      <c r="E116">
        <v>46</v>
      </c>
    </row>
    <row r="117">
      <c r="A117" t="s">
        <v>15</v>
      </c>
      <c r="B117" t="s">
        <v>168</v>
      </c>
      <c r="C117" t="s">
        <v>412</v>
      </c>
      <c r="D117" t="s">
        <v>442</v>
      </c>
      <c r="E117">
        <v>46</v>
      </c>
    </row>
    <row r="118">
      <c r="A118" t="s">
        <v>47</v>
      </c>
      <c r="B118" t="s">
        <v>63</v>
      </c>
      <c r="C118" t="s">
        <v>402</v>
      </c>
      <c r="D118" t="s">
        <v>435</v>
      </c>
      <c r="E118">
        <v>45</v>
      </c>
    </row>
    <row r="119">
      <c r="A119" t="s">
        <v>28</v>
      </c>
      <c r="B119" t="s">
        <v>59</v>
      </c>
      <c r="C119" t="s">
        <v>54</v>
      </c>
      <c r="D119" t="s">
        <v>164</v>
      </c>
      <c r="E119">
        <v>43</v>
      </c>
    </row>
    <row r="120">
      <c r="A120" t="s">
        <v>47</v>
      </c>
      <c r="B120" t="s">
        <v>288</v>
      </c>
      <c r="C120" t="s">
        <v>286</v>
      </c>
      <c r="D120" t="s">
        <v>328</v>
      </c>
      <c r="E120">
        <v>42</v>
      </c>
    </row>
    <row r="121">
      <c r="A121" t="s">
        <v>24</v>
      </c>
      <c r="B121" t="s">
        <v>128</v>
      </c>
      <c r="C121" t="s">
        <v>127</v>
      </c>
      <c r="D121" t="s">
        <v>205</v>
      </c>
      <c r="E121">
        <v>42</v>
      </c>
    </row>
    <row r="122">
      <c r="A122" t="s">
        <v>57</v>
      </c>
      <c r="B122" t="s">
        <v>172</v>
      </c>
      <c r="C122" t="s">
        <v>433</v>
      </c>
      <c r="D122" t="s">
        <v>458</v>
      </c>
      <c r="E122">
        <v>38</v>
      </c>
    </row>
    <row r="123">
      <c r="A123" t="s">
        <v>5</v>
      </c>
      <c r="B123" t="s">
        <v>65</v>
      </c>
      <c r="C123" t="s">
        <v>375</v>
      </c>
      <c r="D123" t="s">
        <v>402</v>
      </c>
      <c r="E123">
        <v>38</v>
      </c>
    </row>
    <row r="124">
      <c r="A124" t="s">
        <v>8</v>
      </c>
      <c r="B124" t="s">
        <v>59</v>
      </c>
      <c r="C124" t="s">
        <v>351</v>
      </c>
      <c r="D124" t="s">
        <v>385</v>
      </c>
      <c r="E124">
        <v>37</v>
      </c>
    </row>
    <row r="125">
      <c r="A125" t="s">
        <v>5</v>
      </c>
      <c r="B125" t="s">
        <v>103</v>
      </c>
      <c r="C125" t="s">
        <v>104</v>
      </c>
      <c r="D125" t="s">
        <v>179</v>
      </c>
      <c r="E125">
        <v>37</v>
      </c>
    </row>
    <row r="126">
      <c r="A126" t="s">
        <v>17</v>
      </c>
      <c r="B126" t="s">
        <v>270</v>
      </c>
      <c r="C126" t="s">
        <v>271</v>
      </c>
      <c r="D126" t="s">
        <v>312</v>
      </c>
      <c r="E126">
        <v>36</v>
      </c>
    </row>
    <row r="127">
      <c r="A127" t="s">
        <v>15</v>
      </c>
      <c r="B127" t="s">
        <v>160</v>
      </c>
      <c r="C127" t="s">
        <v>341</v>
      </c>
      <c r="D127" t="s">
        <v>372</v>
      </c>
      <c r="E127">
        <v>35</v>
      </c>
    </row>
    <row r="128">
      <c r="A128" t="s">
        <v>5</v>
      </c>
      <c r="B128" t="s">
        <v>198</v>
      </c>
      <c r="C128" t="s">
        <v>205</v>
      </c>
      <c r="D128" t="s">
        <v>261</v>
      </c>
      <c r="E128">
        <v>35</v>
      </c>
    </row>
    <row r="129">
      <c r="A129" t="s">
        <v>28</v>
      </c>
      <c r="B129" t="s">
        <v>49</v>
      </c>
      <c r="C129" t="s">
        <v>191</v>
      </c>
      <c r="D129" t="s">
        <v>238</v>
      </c>
      <c r="E129">
        <v>33</v>
      </c>
    </row>
    <row r="130">
      <c r="A130" t="s">
        <v>47</v>
      </c>
      <c r="B130" t="s">
        <v>280</v>
      </c>
      <c r="C130" t="s">
        <v>279</v>
      </c>
      <c r="D130" t="s">
        <v>309</v>
      </c>
      <c r="E130">
        <v>28</v>
      </c>
    </row>
    <row r="131">
      <c r="A131" t="s">
        <v>13</v>
      </c>
      <c r="B131" t="s">
        <v>149</v>
      </c>
      <c r="C131" t="s">
        <v>433</v>
      </c>
      <c r="D131" t="s">
        <v>451</v>
      </c>
      <c r="E131">
        <v>28</v>
      </c>
    </row>
    <row r="132">
      <c r="A132" t="s">
        <v>8</v>
      </c>
      <c r="B132" t="s">
        <v>223</v>
      </c>
      <c r="C132" t="s">
        <v>401</v>
      </c>
      <c r="D132" t="s">
        <v>422</v>
      </c>
      <c r="E132">
        <v>28</v>
      </c>
    </row>
    <row r="133">
      <c r="A133" t="s">
        <v>17</v>
      </c>
      <c r="B133" t="s">
        <v>99</v>
      </c>
      <c r="C133" t="s">
        <v>195</v>
      </c>
      <c r="D133" t="s">
        <v>238</v>
      </c>
      <c r="E133">
        <v>28</v>
      </c>
    </row>
    <row r="134">
      <c r="A134" t="s">
        <v>43</v>
      </c>
      <c r="B134" t="s">
        <v>185</v>
      </c>
      <c r="C134" t="s">
        <v>336</v>
      </c>
      <c r="D134" t="s">
        <v>358</v>
      </c>
      <c r="E134">
        <v>27</v>
      </c>
    </row>
    <row r="135">
      <c r="A135" t="s">
        <v>43</v>
      </c>
      <c r="B135" t="s">
        <v>89</v>
      </c>
      <c r="C135" t="s">
        <v>194</v>
      </c>
      <c r="D135" t="s">
        <v>235</v>
      </c>
      <c r="E135">
        <v>27</v>
      </c>
    </row>
    <row r="136">
      <c r="A136" t="s">
        <v>21</v>
      </c>
      <c r="B136" t="s">
        <v>30</v>
      </c>
      <c r="C136" t="s">
        <v>353</v>
      </c>
      <c r="D136" t="s">
        <v>377</v>
      </c>
      <c r="E136">
        <v>27</v>
      </c>
    </row>
    <row r="137">
      <c r="A137" t="s">
        <v>28</v>
      </c>
      <c r="B137" t="s">
        <v>299</v>
      </c>
      <c r="C137" t="s">
        <v>412</v>
      </c>
      <c r="D137" t="s">
        <v>428</v>
      </c>
      <c r="E137">
        <v>24</v>
      </c>
    </row>
    <row r="138">
      <c r="A138" t="s">
        <v>28</v>
      </c>
      <c r="B138" t="s">
        <v>93</v>
      </c>
      <c r="C138" t="s">
        <v>94</v>
      </c>
      <c r="D138" t="s">
        <v>152</v>
      </c>
      <c r="E138">
        <v>23</v>
      </c>
    </row>
    <row r="139">
      <c r="A139" t="s">
        <v>28</v>
      </c>
      <c r="B139" t="s">
        <v>103</v>
      </c>
      <c r="C139" t="s">
        <v>433</v>
      </c>
      <c r="D139" t="s">
        <v>447</v>
      </c>
      <c r="E139">
        <v>22</v>
      </c>
    </row>
    <row r="140">
      <c r="A140" t="s">
        <v>47</v>
      </c>
      <c r="B140" t="s">
        <v>239</v>
      </c>
      <c r="C140" t="s">
        <v>238</v>
      </c>
      <c r="D140" t="s">
        <v>269</v>
      </c>
      <c r="E140">
        <v>21</v>
      </c>
    </row>
    <row r="141">
      <c r="A141" t="s">
        <v>43</v>
      </c>
      <c r="B141" t="s">
        <v>267</v>
      </c>
      <c r="C141" t="s">
        <v>295</v>
      </c>
      <c r="D141" t="s">
        <v>317</v>
      </c>
      <c r="E141">
        <v>21</v>
      </c>
    </row>
    <row r="142">
      <c r="A142" t="s">
        <v>21</v>
      </c>
      <c r="B142" t="s">
        <v>222</v>
      </c>
      <c r="C142" t="s">
        <v>442</v>
      </c>
      <c r="D142" t="s">
        <v>455</v>
      </c>
      <c r="E142">
        <v>17</v>
      </c>
    </row>
    <row r="143">
      <c r="A143" t="s">
        <v>28</v>
      </c>
      <c r="B143" t="s">
        <v>272</v>
      </c>
      <c r="C143" t="s">
        <v>271</v>
      </c>
      <c r="D143" t="s">
        <v>293</v>
      </c>
      <c r="E143">
        <v>16</v>
      </c>
    </row>
    <row r="144">
      <c r="A144" t="s">
        <v>57</v>
      </c>
      <c r="B144" t="s">
        <v>382</v>
      </c>
      <c r="C144" t="s">
        <v>381</v>
      </c>
      <c r="D144" t="s">
        <v>392</v>
      </c>
      <c r="E144">
        <v>14</v>
      </c>
    </row>
    <row r="145">
      <c r="A145" t="s">
        <v>5</v>
      </c>
      <c r="B145" t="s">
        <v>99</v>
      </c>
      <c r="C145" t="s">
        <v>351</v>
      </c>
      <c r="D145" t="s">
        <v>361</v>
      </c>
      <c r="E145">
        <v>14</v>
      </c>
    </row>
    <row r="146">
      <c r="A146" t="s">
        <v>11</v>
      </c>
      <c r="B146" t="s">
        <v>217</v>
      </c>
      <c r="C146" t="s">
        <v>245</v>
      </c>
      <c r="D146" t="s">
        <v>262</v>
      </c>
      <c r="E146">
        <v>12</v>
      </c>
    </row>
    <row r="147">
      <c r="A147" t="s">
        <v>17</v>
      </c>
      <c r="B147" t="s">
        <v>115</v>
      </c>
      <c r="C147" t="s">
        <v>114</v>
      </c>
      <c r="D147" t="s">
        <v>139</v>
      </c>
      <c r="E147">
        <v>10</v>
      </c>
    </row>
    <row r="148">
      <c r="A148" t="s">
        <v>47</v>
      </c>
      <c r="B148" t="s">
        <v>35</v>
      </c>
      <c r="C148" t="s">
        <v>413</v>
      </c>
      <c r="D148" t="s">
        <v>420</v>
      </c>
      <c r="E148">
        <v>9</v>
      </c>
    </row>
    <row r="149">
      <c r="A149" t="s">
        <v>17</v>
      </c>
      <c r="B149" t="s">
        <v>103</v>
      </c>
      <c r="C149" t="s">
        <v>249</v>
      </c>
      <c r="D149" t="s">
        <v>262</v>
      </c>
      <c r="E149">
        <v>8</v>
      </c>
    </row>
    <row r="150">
      <c r="A150" t="s">
        <v>8</v>
      </c>
      <c r="B150" t="s">
        <v>40</v>
      </c>
      <c r="C150" t="s">
        <v>36</v>
      </c>
      <c r="D150" t="s">
        <v>54</v>
      </c>
      <c r="E150">
        <v>7</v>
      </c>
    </row>
    <row r="151">
      <c r="A151" t="s">
        <v>24</v>
      </c>
      <c r="B151" t="s">
        <v>265</v>
      </c>
      <c r="C151" t="s">
        <v>351</v>
      </c>
      <c r="D151" t="s">
        <v>356</v>
      </c>
      <c r="E151">
        <v>7</v>
      </c>
    </row>
    <row r="152">
      <c r="A152" t="s">
        <v>24</v>
      </c>
      <c r="B152" t="s">
        <v>257</v>
      </c>
      <c r="C152" t="s">
        <v>459</v>
      </c>
      <c r="D152" t="s">
        <v>465</v>
      </c>
      <c r="E152">
        <v>7</v>
      </c>
    </row>
    <row r="153">
      <c r="A153" t="s">
        <v>11</v>
      </c>
      <c r="B153" t="s">
        <v>239</v>
      </c>
      <c r="C153" t="s">
        <v>432</v>
      </c>
      <c r="D153" t="s">
        <v>434</v>
      </c>
      <c r="E153">
        <v>5</v>
      </c>
    </row>
    <row r="154">
      <c r="A154" t="s">
        <v>47</v>
      </c>
      <c r="B154" t="s">
        <v>22</v>
      </c>
      <c r="C154" t="s">
        <v>62</v>
      </c>
      <c r="D154" t="s">
        <v>66</v>
      </c>
      <c r="E154">
        <v>1</v>
      </c>
    </row>
    <row r="155">
      <c r="A155" t="s">
        <v>17</v>
      </c>
      <c r="B155" t="s">
        <v>265</v>
      </c>
      <c r="C155" t="s">
        <v>416</v>
      </c>
      <c r="D155" t="s">
        <v>417</v>
      </c>
      <c r="E155">
        <v>1</v>
      </c>
    </row>
    <row r="156">
      <c r="A156" t="s">
        <v>47</v>
      </c>
      <c r="B156" t="s">
        <v>189</v>
      </c>
      <c r="C156" t="s">
        <v>367</v>
      </c>
      <c r="D156" t="s">
        <v>367</v>
      </c>
      <c r="E156">
        <v>0</v>
      </c>
    </row>
    <row r="157">
      <c r="A157" t="s">
        <v>47</v>
      </c>
      <c r="B157" t="s">
        <v>291</v>
      </c>
      <c r="C157" t="s">
        <v>389</v>
      </c>
      <c r="D157" t="s">
        <v>389</v>
      </c>
      <c r="E157">
        <v>0</v>
      </c>
    </row>
    <row r="158">
      <c r="A158" t="s">
        <v>47</v>
      </c>
      <c r="B158" t="s">
        <v>18</v>
      </c>
      <c r="C158" t="s">
        <v>400</v>
      </c>
      <c r="D158" t="s">
        <v>400</v>
      </c>
      <c r="E158">
        <v>0</v>
      </c>
    </row>
    <row r="159">
      <c r="A159" t="s">
        <v>47</v>
      </c>
      <c r="B159" t="s">
        <v>284</v>
      </c>
      <c r="C159" t="s">
        <v>361</v>
      </c>
      <c r="D159" t="s">
        <v>361</v>
      </c>
      <c r="E159">
        <v>0</v>
      </c>
    </row>
    <row r="160">
      <c r="A160" t="s">
        <v>47</v>
      </c>
      <c r="B160" t="s">
        <v>48</v>
      </c>
      <c r="C160" t="s">
        <v>46</v>
      </c>
      <c r="D160" t="s">
        <v>46</v>
      </c>
      <c r="E160">
        <v>0</v>
      </c>
    </row>
    <row r="161">
      <c r="A161" t="s">
        <v>47</v>
      </c>
      <c r="B161" t="s">
        <v>79</v>
      </c>
      <c r="C161" t="s">
        <v>249</v>
      </c>
      <c r="D161" t="s">
        <v>249</v>
      </c>
      <c r="E161">
        <v>0</v>
      </c>
    </row>
    <row r="162">
      <c r="A162" t="s">
        <v>47</v>
      </c>
      <c r="B162" t="s">
        <v>321</v>
      </c>
      <c r="C162" t="s">
        <v>320</v>
      </c>
      <c r="D162" t="s">
        <v>320</v>
      </c>
      <c r="E162">
        <v>0</v>
      </c>
    </row>
    <row r="163">
      <c r="A163" t="s">
        <v>47</v>
      </c>
      <c r="B163" t="s">
        <v>223</v>
      </c>
      <c r="C163" t="s">
        <v>369</v>
      </c>
      <c r="D163" t="s">
        <v>369</v>
      </c>
      <c r="E163">
        <v>0</v>
      </c>
    </row>
    <row r="164">
      <c r="A164" t="s">
        <v>47</v>
      </c>
      <c r="B164" t="s">
        <v>161</v>
      </c>
      <c r="C164" t="s">
        <v>202</v>
      </c>
      <c r="D164" t="s">
        <v>202</v>
      </c>
      <c r="E164">
        <v>0</v>
      </c>
    </row>
    <row r="165">
      <c r="A165" t="s">
        <v>47</v>
      </c>
      <c r="B165" t="s">
        <v>95</v>
      </c>
      <c r="C165" t="s">
        <v>392</v>
      </c>
      <c r="D165" t="s">
        <v>392</v>
      </c>
      <c r="E165">
        <v>0</v>
      </c>
    </row>
    <row r="166">
      <c r="A166" t="s">
        <v>47</v>
      </c>
      <c r="B166" t="s">
        <v>26</v>
      </c>
      <c r="C166" t="s">
        <v>368</v>
      </c>
      <c r="D166" t="s">
        <v>368</v>
      </c>
      <c r="E166">
        <v>0</v>
      </c>
    </row>
    <row r="167">
      <c r="A167" t="s">
        <v>47</v>
      </c>
      <c r="B167" t="s">
        <v>83</v>
      </c>
      <c r="C167" t="s">
        <v>269</v>
      </c>
      <c r="D167" t="s">
        <v>269</v>
      </c>
      <c r="E167">
        <v>0</v>
      </c>
    </row>
    <row r="168">
      <c r="A168" t="s">
        <v>47</v>
      </c>
      <c r="B168" t="s">
        <v>12</v>
      </c>
      <c r="C168" t="s">
        <v>371</v>
      </c>
      <c r="D168" t="s">
        <v>371</v>
      </c>
      <c r="E168">
        <v>0</v>
      </c>
    </row>
    <row r="169">
      <c r="A169" t="s">
        <v>47</v>
      </c>
      <c r="B169" t="s">
        <v>16</v>
      </c>
      <c r="C169" t="s">
        <v>295</v>
      </c>
      <c r="D169" t="s">
        <v>295</v>
      </c>
      <c r="E169">
        <v>0</v>
      </c>
    </row>
    <row r="170">
      <c r="A170" t="s">
        <v>47</v>
      </c>
      <c r="B170" t="s">
        <v>462</v>
      </c>
      <c r="C170" t="s">
        <v>461</v>
      </c>
      <c r="D170" t="s">
        <v>461</v>
      </c>
      <c r="E170">
        <v>0</v>
      </c>
    </row>
    <row r="171">
      <c r="A171" t="s">
        <v>47</v>
      </c>
      <c r="B171" t="s">
        <v>80</v>
      </c>
      <c r="C171" t="s">
        <v>283</v>
      </c>
      <c r="D171" t="s">
        <v>283</v>
      </c>
      <c r="E171">
        <v>0</v>
      </c>
    </row>
    <row r="172">
      <c r="A172" t="s">
        <v>47</v>
      </c>
      <c r="B172" t="s">
        <v>265</v>
      </c>
      <c r="C172" t="s">
        <v>380</v>
      </c>
      <c r="D172" t="s">
        <v>380</v>
      </c>
      <c r="E172">
        <v>0</v>
      </c>
    </row>
    <row r="173">
      <c r="A173" t="s">
        <v>47</v>
      </c>
      <c r="B173" t="s">
        <v>92</v>
      </c>
      <c r="C173" t="s">
        <v>381</v>
      </c>
      <c r="D173" t="s">
        <v>381</v>
      </c>
      <c r="E173">
        <v>0</v>
      </c>
    </row>
    <row r="174">
      <c r="A174" t="s">
        <v>47</v>
      </c>
      <c r="B174" t="s">
        <v>273</v>
      </c>
      <c r="C174" t="s">
        <v>439</v>
      </c>
      <c r="D174" t="s">
        <v>439</v>
      </c>
      <c r="E174">
        <v>0</v>
      </c>
    </row>
    <row r="175">
      <c r="A175" t="s">
        <v>47</v>
      </c>
      <c r="B175" t="s">
        <v>138</v>
      </c>
      <c r="C175" t="s">
        <v>187</v>
      </c>
      <c r="D175" t="s">
        <v>187</v>
      </c>
      <c r="E175">
        <v>0</v>
      </c>
    </row>
    <row r="176">
      <c r="A176" t="s">
        <v>47</v>
      </c>
      <c r="B176" t="s">
        <v>65</v>
      </c>
      <c r="C176" t="s">
        <v>428</v>
      </c>
      <c r="D176" t="s">
        <v>428</v>
      </c>
      <c r="E176">
        <v>0</v>
      </c>
    </row>
    <row r="177">
      <c r="A177" t="s">
        <v>47</v>
      </c>
      <c r="B177" t="s">
        <v>209</v>
      </c>
      <c r="C177" t="s">
        <v>232</v>
      </c>
      <c r="D177" t="s">
        <v>232</v>
      </c>
      <c r="E177">
        <v>0</v>
      </c>
    </row>
    <row r="178">
      <c r="A178" t="s">
        <v>47</v>
      </c>
      <c r="B178" t="s">
        <v>108</v>
      </c>
      <c r="C178" t="s">
        <v>269</v>
      </c>
      <c r="D178" t="s">
        <v>269</v>
      </c>
      <c r="E178">
        <v>0</v>
      </c>
    </row>
    <row r="179">
      <c r="A179" t="s">
        <v>47</v>
      </c>
      <c r="B179" t="s">
        <v>218</v>
      </c>
      <c r="C179" t="s">
        <v>219</v>
      </c>
      <c r="D179" t="s">
        <v>219</v>
      </c>
      <c r="E179">
        <v>0</v>
      </c>
    </row>
    <row r="180">
      <c r="A180" t="s">
        <v>47</v>
      </c>
      <c r="B180" t="s">
        <v>186</v>
      </c>
      <c r="C180" t="s">
        <v>372</v>
      </c>
      <c r="D180" t="s">
        <v>372</v>
      </c>
      <c r="E180">
        <v>0</v>
      </c>
    </row>
    <row r="181">
      <c r="A181" t="s">
        <v>47</v>
      </c>
      <c r="B181" t="s">
        <v>119</v>
      </c>
      <c r="C181" t="s">
        <v>343</v>
      </c>
      <c r="D181" t="s">
        <v>343</v>
      </c>
      <c r="E181">
        <v>0</v>
      </c>
    </row>
    <row r="182">
      <c r="A182" t="s">
        <v>47</v>
      </c>
      <c r="B182" t="s">
        <v>208</v>
      </c>
      <c r="C182" t="s">
        <v>444</v>
      </c>
      <c r="D182" t="s">
        <v>444</v>
      </c>
      <c r="E182">
        <v>0</v>
      </c>
    </row>
    <row r="183">
      <c r="A183" t="s">
        <v>47</v>
      </c>
      <c r="B183" t="s">
        <v>147</v>
      </c>
      <c r="C183" t="s">
        <v>393</v>
      </c>
      <c r="D183" t="s">
        <v>393</v>
      </c>
      <c r="E183">
        <v>0</v>
      </c>
    </row>
    <row r="184">
      <c r="A184" t="s">
        <v>47</v>
      </c>
      <c r="B184" t="s">
        <v>170</v>
      </c>
      <c r="C184" t="s">
        <v>194</v>
      </c>
      <c r="D184" t="s">
        <v>194</v>
      </c>
      <c r="E184">
        <v>0</v>
      </c>
    </row>
    <row r="185">
      <c r="A185" t="s">
        <v>47</v>
      </c>
      <c r="B185" t="s">
        <v>6</v>
      </c>
      <c r="C185" t="s">
        <v>195</v>
      </c>
      <c r="D185" t="s">
        <v>195</v>
      </c>
      <c r="E185">
        <v>0</v>
      </c>
    </row>
    <row r="186">
      <c r="A186" t="s">
        <v>47</v>
      </c>
      <c r="B186" t="s">
        <v>131</v>
      </c>
      <c r="C186" t="s">
        <v>445</v>
      </c>
      <c r="D186" t="s">
        <v>445</v>
      </c>
      <c r="E186">
        <v>0</v>
      </c>
    </row>
    <row r="187">
      <c r="A187" t="s">
        <v>47</v>
      </c>
      <c r="B187" t="s">
        <v>292</v>
      </c>
      <c r="C187" t="s">
        <v>290</v>
      </c>
      <c r="D187" t="s">
        <v>290</v>
      </c>
      <c r="E187">
        <v>0</v>
      </c>
    </row>
    <row r="188">
      <c r="A188" t="s">
        <v>47</v>
      </c>
      <c r="B188" t="s">
        <v>158</v>
      </c>
      <c r="C188" t="s">
        <v>396</v>
      </c>
      <c r="D188" t="s">
        <v>396</v>
      </c>
      <c r="E188">
        <v>0</v>
      </c>
    </row>
    <row r="189">
      <c r="A189" t="s">
        <v>47</v>
      </c>
      <c r="B189" t="s">
        <v>78</v>
      </c>
      <c r="C189" t="s">
        <v>402</v>
      </c>
      <c r="D189" t="s">
        <v>402</v>
      </c>
      <c r="E189">
        <v>0</v>
      </c>
    </row>
    <row r="190">
      <c r="A190" t="s">
        <v>47</v>
      </c>
      <c r="B190" t="s">
        <v>305</v>
      </c>
      <c r="C190" t="s">
        <v>309</v>
      </c>
      <c r="D190" t="s">
        <v>309</v>
      </c>
      <c r="E190">
        <v>0</v>
      </c>
    </row>
    <row r="191">
      <c r="A191" t="s">
        <v>47</v>
      </c>
      <c r="B191" t="s">
        <v>111</v>
      </c>
      <c r="C191" t="s">
        <v>283</v>
      </c>
      <c r="D191" t="s">
        <v>283</v>
      </c>
      <c r="E191">
        <v>0</v>
      </c>
    </row>
    <row r="192">
      <c r="A192" t="s">
        <v>47</v>
      </c>
      <c r="B192" t="s">
        <v>100</v>
      </c>
      <c r="C192" t="s">
        <v>247</v>
      </c>
      <c r="D192" t="s">
        <v>247</v>
      </c>
      <c r="E192">
        <v>0</v>
      </c>
    </row>
    <row r="193">
      <c r="A193" t="s">
        <v>47</v>
      </c>
      <c r="B193" t="s">
        <v>89</v>
      </c>
      <c r="C193" t="s">
        <v>155</v>
      </c>
      <c r="D193" t="s">
        <v>155</v>
      </c>
      <c r="E193">
        <v>0</v>
      </c>
    </row>
    <row r="194">
      <c r="A194" t="s">
        <v>47</v>
      </c>
      <c r="B194" t="s">
        <v>52</v>
      </c>
      <c r="C194" t="s">
        <v>326</v>
      </c>
      <c r="D194" t="s">
        <v>326</v>
      </c>
      <c r="E194">
        <v>0</v>
      </c>
    </row>
    <row r="195">
      <c r="A195" t="s">
        <v>47</v>
      </c>
      <c r="B195" t="s">
        <v>106</v>
      </c>
      <c r="C195" t="s">
        <v>313</v>
      </c>
      <c r="D195" t="s">
        <v>313</v>
      </c>
      <c r="E195">
        <v>0</v>
      </c>
    </row>
    <row r="196">
      <c r="A196" t="s">
        <v>47</v>
      </c>
      <c r="B196" t="s">
        <v>192</v>
      </c>
      <c r="C196" t="s">
        <v>451</v>
      </c>
      <c r="D196" t="s">
        <v>451</v>
      </c>
      <c r="E196">
        <v>0</v>
      </c>
    </row>
    <row r="197">
      <c r="A197" t="s">
        <v>47</v>
      </c>
      <c r="B197" t="s">
        <v>69</v>
      </c>
      <c r="C197" t="s">
        <v>423</v>
      </c>
      <c r="D197" t="s">
        <v>423</v>
      </c>
      <c r="E197">
        <v>0</v>
      </c>
    </row>
    <row r="198">
      <c r="A198" t="s">
        <v>47</v>
      </c>
      <c r="B198" t="s">
        <v>102</v>
      </c>
      <c r="C198" t="s">
        <v>120</v>
      </c>
      <c r="D198" t="s">
        <v>120</v>
      </c>
      <c r="E198">
        <v>0</v>
      </c>
    </row>
    <row r="199">
      <c r="A199" t="s">
        <v>47</v>
      </c>
      <c r="B199" t="s">
        <v>128</v>
      </c>
      <c r="C199" t="s">
        <v>230</v>
      </c>
      <c r="D199" t="s">
        <v>230</v>
      </c>
      <c r="E199">
        <v>0</v>
      </c>
    </row>
    <row r="200">
      <c r="A200" t="s">
        <v>47</v>
      </c>
      <c r="B200" t="s">
        <v>171</v>
      </c>
      <c r="C200" t="s">
        <v>361</v>
      </c>
      <c r="D200" t="s">
        <v>361</v>
      </c>
      <c r="E200">
        <v>0</v>
      </c>
    </row>
    <row r="201">
      <c r="A201" t="s">
        <v>47</v>
      </c>
      <c r="B201" t="s">
        <v>212</v>
      </c>
      <c r="C201" t="s">
        <v>412</v>
      </c>
      <c r="D201" t="s">
        <v>412</v>
      </c>
      <c r="E201">
        <v>0</v>
      </c>
    </row>
    <row r="202">
      <c r="A202" t="s">
        <v>47</v>
      </c>
      <c r="B202" t="s">
        <v>60</v>
      </c>
      <c r="C202" t="s">
        <v>453</v>
      </c>
      <c r="D202" t="s">
        <v>453</v>
      </c>
      <c r="E202">
        <v>0</v>
      </c>
    </row>
    <row r="203">
      <c r="A203" t="s">
        <v>47</v>
      </c>
      <c r="B203" t="s">
        <v>144</v>
      </c>
      <c r="C203" t="s">
        <v>328</v>
      </c>
      <c r="D203" t="s">
        <v>328</v>
      </c>
      <c r="E203">
        <v>0</v>
      </c>
    </row>
    <row r="204">
      <c r="A204" t="s">
        <v>47</v>
      </c>
      <c r="B204" t="s">
        <v>99</v>
      </c>
      <c r="C204" t="s">
        <v>454</v>
      </c>
      <c r="D204" t="s">
        <v>454</v>
      </c>
      <c r="E204">
        <v>0</v>
      </c>
    </row>
    <row r="205">
      <c r="A205" t="s">
        <v>47</v>
      </c>
      <c r="B205" t="s">
        <v>370</v>
      </c>
      <c r="C205" t="s">
        <v>369</v>
      </c>
      <c r="D205" t="s">
        <v>369</v>
      </c>
      <c r="E205">
        <v>0</v>
      </c>
    </row>
    <row r="206">
      <c r="A206" t="s">
        <v>47</v>
      </c>
      <c r="B206" t="s">
        <v>363</v>
      </c>
      <c r="C206" t="s">
        <v>361</v>
      </c>
      <c r="D206" t="s">
        <v>361</v>
      </c>
      <c r="E206">
        <v>0</v>
      </c>
    </row>
    <row r="207">
      <c r="A207" t="s">
        <v>47</v>
      </c>
      <c r="B207" t="s">
        <v>215</v>
      </c>
      <c r="C207" t="s">
        <v>245</v>
      </c>
      <c r="D207" t="s">
        <v>245</v>
      </c>
      <c r="E207">
        <v>0</v>
      </c>
    </row>
    <row r="208">
      <c r="A208" t="s">
        <v>13</v>
      </c>
      <c r="B208" t="s">
        <v>70</v>
      </c>
      <c r="C208" t="s">
        <v>266</v>
      </c>
      <c r="D208" t="s">
        <v>266</v>
      </c>
      <c r="E208">
        <v>0</v>
      </c>
    </row>
    <row r="209">
      <c r="A209" t="s">
        <v>13</v>
      </c>
      <c r="B209" t="s">
        <v>189</v>
      </c>
      <c r="C209" t="s">
        <v>320</v>
      </c>
      <c r="D209" t="s">
        <v>320</v>
      </c>
      <c r="E209">
        <v>0</v>
      </c>
    </row>
    <row r="210">
      <c r="A210" t="s">
        <v>13</v>
      </c>
      <c r="B210" t="s">
        <v>42</v>
      </c>
      <c r="C210" t="s">
        <v>36</v>
      </c>
      <c r="D210" t="s">
        <v>36</v>
      </c>
      <c r="E210">
        <v>0</v>
      </c>
    </row>
    <row r="211">
      <c r="A211" t="s">
        <v>13</v>
      </c>
      <c r="B211" t="s">
        <v>291</v>
      </c>
      <c r="C211" t="s">
        <v>390</v>
      </c>
      <c r="D211" t="s">
        <v>390</v>
      </c>
      <c r="E211">
        <v>0</v>
      </c>
    </row>
    <row r="212">
      <c r="A212" t="s">
        <v>13</v>
      </c>
      <c r="B212" t="s">
        <v>81</v>
      </c>
      <c r="C212" t="s">
        <v>76</v>
      </c>
      <c r="D212" t="s">
        <v>76</v>
      </c>
      <c r="E212">
        <v>0</v>
      </c>
    </row>
    <row r="213">
      <c r="A213" t="s">
        <v>13</v>
      </c>
      <c r="B213" t="s">
        <v>231</v>
      </c>
      <c r="C213" t="s">
        <v>405</v>
      </c>
      <c r="D213" t="s">
        <v>405</v>
      </c>
      <c r="E213">
        <v>0</v>
      </c>
    </row>
    <row r="214">
      <c r="A214" t="s">
        <v>13</v>
      </c>
      <c r="B214" t="s">
        <v>256</v>
      </c>
      <c r="C214" t="s">
        <v>312</v>
      </c>
      <c r="D214" t="s">
        <v>312</v>
      </c>
      <c r="E214">
        <v>0</v>
      </c>
    </row>
    <row r="215">
      <c r="A215" t="s">
        <v>13</v>
      </c>
      <c r="B215" t="s">
        <v>79</v>
      </c>
      <c r="C215" t="s">
        <v>76</v>
      </c>
      <c r="D215" t="s">
        <v>76</v>
      </c>
      <c r="E215">
        <v>0</v>
      </c>
    </row>
    <row r="216">
      <c r="A216" t="s">
        <v>13</v>
      </c>
      <c r="B216" t="s">
        <v>321</v>
      </c>
      <c r="C216" t="s">
        <v>341</v>
      </c>
      <c r="D216" t="s">
        <v>341</v>
      </c>
      <c r="E216">
        <v>0</v>
      </c>
    </row>
    <row r="217">
      <c r="A217" t="s">
        <v>13</v>
      </c>
      <c r="B217" t="s">
        <v>223</v>
      </c>
      <c r="C217" t="s">
        <v>224</v>
      </c>
      <c r="D217" t="s">
        <v>224</v>
      </c>
      <c r="E217">
        <v>0</v>
      </c>
    </row>
    <row r="218">
      <c r="A218" t="s">
        <v>13</v>
      </c>
      <c r="B218" t="s">
        <v>49</v>
      </c>
      <c r="C218" t="s">
        <v>361</v>
      </c>
      <c r="D218" t="s">
        <v>361</v>
      </c>
      <c r="E218">
        <v>0</v>
      </c>
    </row>
    <row r="219">
      <c r="A219" t="s">
        <v>13</v>
      </c>
      <c r="B219" t="s">
        <v>12</v>
      </c>
      <c r="C219" t="s">
        <v>114</v>
      </c>
      <c r="D219" t="s">
        <v>114</v>
      </c>
      <c r="E219">
        <v>0</v>
      </c>
    </row>
    <row r="220">
      <c r="A220" t="s">
        <v>13</v>
      </c>
      <c r="B220" t="s">
        <v>240</v>
      </c>
      <c r="C220" t="s">
        <v>452</v>
      </c>
      <c r="D220" t="s">
        <v>452</v>
      </c>
      <c r="E220">
        <v>0</v>
      </c>
    </row>
    <row r="221">
      <c r="A221" t="s">
        <v>13</v>
      </c>
      <c r="B221" t="s">
        <v>71</v>
      </c>
      <c r="C221" t="s">
        <v>328</v>
      </c>
      <c r="D221" t="s">
        <v>328</v>
      </c>
      <c r="E221">
        <v>0</v>
      </c>
    </row>
    <row r="222">
      <c r="A222" t="s">
        <v>13</v>
      </c>
      <c r="B222" t="s">
        <v>103</v>
      </c>
      <c r="C222" t="s">
        <v>261</v>
      </c>
      <c r="D222" t="s">
        <v>261</v>
      </c>
      <c r="E222">
        <v>0</v>
      </c>
    </row>
    <row r="223">
      <c r="A223" t="s">
        <v>13</v>
      </c>
      <c r="B223" t="s">
        <v>121</v>
      </c>
      <c r="C223" t="s">
        <v>120</v>
      </c>
      <c r="D223" t="s">
        <v>120</v>
      </c>
      <c r="E223">
        <v>0</v>
      </c>
    </row>
    <row r="224">
      <c r="A224" t="s">
        <v>13</v>
      </c>
      <c r="B224" t="s">
        <v>162</v>
      </c>
      <c r="C224" t="s">
        <v>294</v>
      </c>
      <c r="D224" t="s">
        <v>294</v>
      </c>
      <c r="E224">
        <v>0</v>
      </c>
    </row>
    <row r="225">
      <c r="A225" t="s">
        <v>13</v>
      </c>
      <c r="B225" t="s">
        <v>175</v>
      </c>
      <c r="C225" t="s">
        <v>205</v>
      </c>
      <c r="D225" t="s">
        <v>205</v>
      </c>
      <c r="E225">
        <v>0</v>
      </c>
    </row>
    <row r="226">
      <c r="A226" t="s">
        <v>13</v>
      </c>
      <c r="B226" t="s">
        <v>214</v>
      </c>
      <c r="C226" t="s">
        <v>446</v>
      </c>
      <c r="D226" t="s">
        <v>446</v>
      </c>
      <c r="E226">
        <v>0</v>
      </c>
    </row>
    <row r="227">
      <c r="A227" t="s">
        <v>13</v>
      </c>
      <c r="B227" t="s">
        <v>40</v>
      </c>
      <c r="C227" t="s">
        <v>397</v>
      </c>
      <c r="D227" t="s">
        <v>397</v>
      </c>
      <c r="E227">
        <v>0</v>
      </c>
    </row>
    <row r="228">
      <c r="A228" t="s">
        <v>13</v>
      </c>
      <c r="B228" t="s">
        <v>133</v>
      </c>
      <c r="C228" t="s">
        <v>300</v>
      </c>
      <c r="D228" t="s">
        <v>300</v>
      </c>
      <c r="E228">
        <v>0</v>
      </c>
    </row>
    <row r="229">
      <c r="A229" t="s">
        <v>13</v>
      </c>
      <c r="B229" t="s">
        <v>138</v>
      </c>
      <c r="C229" t="s">
        <v>437</v>
      </c>
      <c r="D229" t="s">
        <v>437</v>
      </c>
      <c r="E229">
        <v>0</v>
      </c>
    </row>
    <row r="230">
      <c r="A230" t="s">
        <v>13</v>
      </c>
      <c r="B230" t="s">
        <v>68</v>
      </c>
      <c r="C230" t="s">
        <v>443</v>
      </c>
      <c r="D230" t="s">
        <v>443</v>
      </c>
      <c r="E230">
        <v>0</v>
      </c>
    </row>
    <row r="231">
      <c r="A231" t="s">
        <v>13</v>
      </c>
      <c r="B231" t="s">
        <v>218</v>
      </c>
      <c r="C231" t="s">
        <v>421</v>
      </c>
      <c r="D231" t="s">
        <v>421</v>
      </c>
      <c r="E231">
        <v>0</v>
      </c>
    </row>
    <row r="232">
      <c r="A232" t="s">
        <v>13</v>
      </c>
      <c r="B232" t="s">
        <v>267</v>
      </c>
      <c r="C232" t="s">
        <v>425</v>
      </c>
      <c r="D232" t="s">
        <v>425</v>
      </c>
      <c r="E232">
        <v>0</v>
      </c>
    </row>
    <row r="233">
      <c r="A233" t="s">
        <v>13</v>
      </c>
      <c r="B233" t="s">
        <v>186</v>
      </c>
      <c r="C233" t="s">
        <v>412</v>
      </c>
      <c r="D233" t="s">
        <v>412</v>
      </c>
      <c r="E233">
        <v>0</v>
      </c>
    </row>
    <row r="234">
      <c r="A234" t="s">
        <v>13</v>
      </c>
      <c r="B234" t="s">
        <v>168</v>
      </c>
      <c r="C234" t="s">
        <v>169</v>
      </c>
      <c r="D234" t="s">
        <v>169</v>
      </c>
      <c r="E234">
        <v>0</v>
      </c>
    </row>
    <row r="235">
      <c r="A235" t="s">
        <v>13</v>
      </c>
      <c r="B235" t="s">
        <v>252</v>
      </c>
      <c r="C235" t="s">
        <v>253</v>
      </c>
      <c r="D235" t="s">
        <v>253</v>
      </c>
      <c r="E235">
        <v>0</v>
      </c>
    </row>
    <row r="236">
      <c r="A236" t="s">
        <v>13</v>
      </c>
      <c r="B236" t="s">
        <v>73</v>
      </c>
      <c r="C236" t="s">
        <v>437</v>
      </c>
      <c r="D236" t="s">
        <v>437</v>
      </c>
      <c r="E236">
        <v>0</v>
      </c>
    </row>
    <row r="237">
      <c r="A237" t="s">
        <v>13</v>
      </c>
      <c r="B237" t="s">
        <v>208</v>
      </c>
      <c r="C237" t="s">
        <v>205</v>
      </c>
      <c r="D237" t="s">
        <v>205</v>
      </c>
      <c r="E237">
        <v>0</v>
      </c>
    </row>
    <row r="238">
      <c r="A238" t="s">
        <v>13</v>
      </c>
      <c r="B238" t="s">
        <v>184</v>
      </c>
      <c r="C238" t="s">
        <v>297</v>
      </c>
      <c r="D238" t="s">
        <v>297</v>
      </c>
      <c r="E238">
        <v>0</v>
      </c>
    </row>
    <row r="239">
      <c r="A239" t="s">
        <v>13</v>
      </c>
      <c r="B239" t="s">
        <v>147</v>
      </c>
      <c r="C239" t="s">
        <v>388</v>
      </c>
      <c r="D239" t="s">
        <v>388</v>
      </c>
      <c r="E239">
        <v>0</v>
      </c>
    </row>
    <row r="240">
      <c r="A240" t="s">
        <v>13</v>
      </c>
      <c r="B240" t="s">
        <v>6</v>
      </c>
      <c r="C240" t="s">
        <v>54</v>
      </c>
      <c r="D240" t="s">
        <v>54</v>
      </c>
      <c r="E240">
        <v>0</v>
      </c>
    </row>
    <row r="241">
      <c r="A241" t="s">
        <v>13</v>
      </c>
      <c r="B241" t="s">
        <v>131</v>
      </c>
      <c r="C241" t="s">
        <v>296</v>
      </c>
      <c r="D241" t="s">
        <v>296</v>
      </c>
      <c r="E241">
        <v>0</v>
      </c>
    </row>
    <row r="242">
      <c r="A242" t="s">
        <v>13</v>
      </c>
      <c r="B242" t="s">
        <v>158</v>
      </c>
      <c r="C242" t="s">
        <v>159</v>
      </c>
      <c r="D242" t="s">
        <v>159</v>
      </c>
      <c r="E242">
        <v>0</v>
      </c>
    </row>
    <row r="243">
      <c r="A243" t="s">
        <v>13</v>
      </c>
      <c r="B243" t="s">
        <v>239</v>
      </c>
      <c r="C243" t="s">
        <v>379</v>
      </c>
      <c r="D243" t="s">
        <v>379</v>
      </c>
      <c r="E243">
        <v>0</v>
      </c>
    </row>
    <row r="244">
      <c r="A244" t="s">
        <v>13</v>
      </c>
      <c r="B244" t="s">
        <v>78</v>
      </c>
      <c r="C244" t="s">
        <v>334</v>
      </c>
      <c r="D244" t="s">
        <v>334</v>
      </c>
      <c r="E244">
        <v>0</v>
      </c>
    </row>
    <row r="245">
      <c r="A245" t="s">
        <v>13</v>
      </c>
      <c r="B245" t="s">
        <v>305</v>
      </c>
      <c r="C245" t="s">
        <v>304</v>
      </c>
      <c r="D245" t="s">
        <v>304</v>
      </c>
      <c r="E245">
        <v>0</v>
      </c>
    </row>
    <row r="246">
      <c r="A246" t="s">
        <v>13</v>
      </c>
      <c r="B246" t="s">
        <v>111</v>
      </c>
      <c r="C246" t="s">
        <v>262</v>
      </c>
      <c r="D246" t="s">
        <v>262</v>
      </c>
      <c r="E246">
        <v>0</v>
      </c>
    </row>
    <row r="247">
      <c r="A247" t="s">
        <v>13</v>
      </c>
      <c r="B247" t="s">
        <v>211</v>
      </c>
      <c r="C247" t="s">
        <v>213</v>
      </c>
      <c r="D247" t="s">
        <v>213</v>
      </c>
      <c r="E247">
        <v>0</v>
      </c>
    </row>
    <row r="248">
      <c r="A248" t="s">
        <v>13</v>
      </c>
      <c r="B248" t="s">
        <v>89</v>
      </c>
      <c r="C248" t="s">
        <v>301</v>
      </c>
      <c r="D248" t="s">
        <v>301</v>
      </c>
      <c r="E248">
        <v>0</v>
      </c>
    </row>
    <row r="249">
      <c r="A249" t="s">
        <v>13</v>
      </c>
      <c r="B249" t="s">
        <v>181</v>
      </c>
      <c r="C249" t="s">
        <v>317</v>
      </c>
      <c r="D249" t="s">
        <v>317</v>
      </c>
      <c r="E249">
        <v>0</v>
      </c>
    </row>
    <row r="250">
      <c r="A250" t="s">
        <v>13</v>
      </c>
      <c r="B250" t="s">
        <v>106</v>
      </c>
      <c r="C250" t="s">
        <v>253</v>
      </c>
      <c r="D250" t="s">
        <v>253</v>
      </c>
      <c r="E250">
        <v>0</v>
      </c>
    </row>
    <row r="251">
      <c r="A251" t="s">
        <v>13</v>
      </c>
      <c r="B251" t="s">
        <v>192</v>
      </c>
      <c r="C251" t="s">
        <v>438</v>
      </c>
      <c r="D251" t="s">
        <v>438</v>
      </c>
      <c r="E251">
        <v>0</v>
      </c>
    </row>
    <row r="252">
      <c r="A252" t="s">
        <v>13</v>
      </c>
      <c r="B252" t="s">
        <v>69</v>
      </c>
      <c r="C252" t="s">
        <v>400</v>
      </c>
      <c r="D252" t="s">
        <v>400</v>
      </c>
      <c r="E252">
        <v>0</v>
      </c>
    </row>
    <row r="253">
      <c r="A253" t="s">
        <v>13</v>
      </c>
      <c r="B253" t="s">
        <v>299</v>
      </c>
      <c r="C253" t="s">
        <v>300</v>
      </c>
      <c r="D253" t="s">
        <v>300</v>
      </c>
      <c r="E253">
        <v>0</v>
      </c>
    </row>
    <row r="254">
      <c r="A254" t="s">
        <v>13</v>
      </c>
      <c r="B254" t="s">
        <v>102</v>
      </c>
      <c r="C254" t="s">
        <v>369</v>
      </c>
      <c r="D254" t="s">
        <v>369</v>
      </c>
      <c r="E254">
        <v>0</v>
      </c>
    </row>
    <row r="255">
      <c r="A255" t="s">
        <v>13</v>
      </c>
      <c r="B255" t="s">
        <v>172</v>
      </c>
      <c r="C255" t="s">
        <v>373</v>
      </c>
      <c r="D255" t="s">
        <v>373</v>
      </c>
      <c r="E255">
        <v>0</v>
      </c>
    </row>
    <row r="256">
      <c r="A256" t="s">
        <v>13</v>
      </c>
      <c r="B256" t="s">
        <v>30</v>
      </c>
      <c r="C256" t="s">
        <v>337</v>
      </c>
      <c r="D256" t="s">
        <v>337</v>
      </c>
      <c r="E256">
        <v>0</v>
      </c>
    </row>
    <row r="257">
      <c r="A257" t="s">
        <v>13</v>
      </c>
      <c r="B257" t="s">
        <v>171</v>
      </c>
      <c r="C257" t="s">
        <v>428</v>
      </c>
      <c r="D257" t="s">
        <v>428</v>
      </c>
      <c r="E257">
        <v>0</v>
      </c>
    </row>
    <row r="258">
      <c r="A258" t="s">
        <v>13</v>
      </c>
      <c r="B258" t="s">
        <v>177</v>
      </c>
      <c r="C258" t="s">
        <v>176</v>
      </c>
      <c r="D258" t="s">
        <v>176</v>
      </c>
      <c r="E258">
        <v>0</v>
      </c>
    </row>
    <row r="259">
      <c r="A259" t="s">
        <v>13</v>
      </c>
      <c r="B259" t="s">
        <v>316</v>
      </c>
      <c r="C259" t="s">
        <v>416</v>
      </c>
      <c r="D259" t="s">
        <v>416</v>
      </c>
      <c r="E259">
        <v>0</v>
      </c>
    </row>
    <row r="260">
      <c r="A260" t="s">
        <v>13</v>
      </c>
      <c r="B260" t="s">
        <v>212</v>
      </c>
      <c r="C260" t="s">
        <v>266</v>
      </c>
      <c r="D260" t="s">
        <v>266</v>
      </c>
      <c r="E260">
        <v>0</v>
      </c>
    </row>
    <row r="261">
      <c r="A261" t="s">
        <v>13</v>
      </c>
      <c r="B261" t="s">
        <v>310</v>
      </c>
      <c r="C261" t="s">
        <v>392</v>
      </c>
      <c r="D261" t="s">
        <v>392</v>
      </c>
      <c r="E261">
        <v>0</v>
      </c>
    </row>
    <row r="262">
      <c r="A262" t="s">
        <v>13</v>
      </c>
      <c r="B262" t="s">
        <v>44</v>
      </c>
      <c r="C262" t="s">
        <v>238</v>
      </c>
      <c r="D262" t="s">
        <v>238</v>
      </c>
      <c r="E262">
        <v>0</v>
      </c>
    </row>
    <row r="263">
      <c r="A263" t="s">
        <v>13</v>
      </c>
      <c r="B263" t="s">
        <v>99</v>
      </c>
      <c r="C263" t="s">
        <v>261</v>
      </c>
      <c r="D263" t="s">
        <v>261</v>
      </c>
      <c r="E263">
        <v>0</v>
      </c>
    </row>
    <row r="264">
      <c r="A264" t="s">
        <v>13</v>
      </c>
      <c r="B264" t="s">
        <v>153</v>
      </c>
      <c r="C264" t="s">
        <v>152</v>
      </c>
      <c r="D264" t="s">
        <v>152</v>
      </c>
      <c r="E264">
        <v>0</v>
      </c>
    </row>
    <row r="265">
      <c r="A265" t="s">
        <v>13</v>
      </c>
      <c r="B265" t="s">
        <v>157</v>
      </c>
      <c r="C265" t="s">
        <v>443</v>
      </c>
      <c r="D265" t="s">
        <v>443</v>
      </c>
      <c r="E265">
        <v>0</v>
      </c>
    </row>
    <row r="266">
      <c r="A266" t="s">
        <v>13</v>
      </c>
      <c r="B266" t="s">
        <v>143</v>
      </c>
      <c r="C266" t="s">
        <v>141</v>
      </c>
      <c r="D266" t="s">
        <v>141</v>
      </c>
      <c r="E266">
        <v>0</v>
      </c>
    </row>
    <row r="267">
      <c r="A267" t="s">
        <v>13</v>
      </c>
      <c r="B267" t="s">
        <v>215</v>
      </c>
      <c r="C267" t="s">
        <v>213</v>
      </c>
      <c r="D267" t="s">
        <v>213</v>
      </c>
      <c r="E267">
        <v>0</v>
      </c>
    </row>
    <row r="268">
      <c r="A268" t="s">
        <v>13</v>
      </c>
      <c r="B268" t="s">
        <v>344</v>
      </c>
      <c r="C268" t="s">
        <v>448</v>
      </c>
      <c r="D268" t="s">
        <v>448</v>
      </c>
      <c r="E268">
        <v>0</v>
      </c>
    </row>
    <row r="269">
      <c r="A269" t="s">
        <v>11</v>
      </c>
      <c r="B269" t="s">
        <v>96</v>
      </c>
      <c r="C269" t="s">
        <v>346</v>
      </c>
      <c r="D269" t="s">
        <v>346</v>
      </c>
      <c r="E269">
        <v>0</v>
      </c>
    </row>
    <row r="270">
      <c r="A270" t="s">
        <v>11</v>
      </c>
      <c r="B270" t="s">
        <v>189</v>
      </c>
      <c r="C270" t="s">
        <v>312</v>
      </c>
      <c r="D270" t="s">
        <v>312</v>
      </c>
      <c r="E270">
        <v>0</v>
      </c>
    </row>
    <row r="271">
      <c r="A271" t="s">
        <v>11</v>
      </c>
      <c r="B271" t="s">
        <v>291</v>
      </c>
      <c r="C271" t="s">
        <v>378</v>
      </c>
      <c r="D271" t="s">
        <v>378</v>
      </c>
      <c r="E271">
        <v>0</v>
      </c>
    </row>
    <row r="272">
      <c r="A272" t="s">
        <v>11</v>
      </c>
      <c r="B272" t="s">
        <v>81</v>
      </c>
      <c r="C272" t="s">
        <v>441</v>
      </c>
      <c r="D272" t="s">
        <v>441</v>
      </c>
      <c r="E272">
        <v>0</v>
      </c>
    </row>
    <row r="273">
      <c r="A273" t="s">
        <v>11</v>
      </c>
      <c r="B273" t="s">
        <v>48</v>
      </c>
      <c r="C273" t="s">
        <v>242</v>
      </c>
      <c r="D273" t="s">
        <v>242</v>
      </c>
      <c r="E273">
        <v>0</v>
      </c>
    </row>
    <row r="274">
      <c r="A274" t="s">
        <v>11</v>
      </c>
      <c r="B274" t="s">
        <v>137</v>
      </c>
      <c r="C274" t="s">
        <v>366</v>
      </c>
      <c r="D274" t="s">
        <v>366</v>
      </c>
      <c r="E274">
        <v>0</v>
      </c>
    </row>
    <row r="275">
      <c r="A275" t="s">
        <v>11</v>
      </c>
      <c r="B275" t="s">
        <v>161</v>
      </c>
      <c r="C275" t="s">
        <v>337</v>
      </c>
      <c r="D275" t="s">
        <v>337</v>
      </c>
      <c r="E275">
        <v>0</v>
      </c>
    </row>
    <row r="276">
      <c r="A276" t="s">
        <v>11</v>
      </c>
      <c r="B276" t="s">
        <v>95</v>
      </c>
      <c r="C276" t="s">
        <v>94</v>
      </c>
      <c r="D276" t="s">
        <v>94</v>
      </c>
      <c r="E276">
        <v>0</v>
      </c>
    </row>
    <row r="277">
      <c r="A277" t="s">
        <v>11</v>
      </c>
      <c r="B277" t="s">
        <v>85</v>
      </c>
      <c r="C277" t="s">
        <v>319</v>
      </c>
      <c r="D277" t="s">
        <v>319</v>
      </c>
      <c r="E277">
        <v>0</v>
      </c>
    </row>
    <row r="278">
      <c r="A278" t="s">
        <v>11</v>
      </c>
      <c r="B278" t="s">
        <v>140</v>
      </c>
      <c r="C278" t="s">
        <v>366</v>
      </c>
      <c r="D278" t="s">
        <v>366</v>
      </c>
      <c r="E278">
        <v>0</v>
      </c>
    </row>
    <row r="279">
      <c r="A279" t="s">
        <v>11</v>
      </c>
      <c r="B279" t="s">
        <v>12</v>
      </c>
      <c r="C279" t="s">
        <v>10</v>
      </c>
      <c r="D279" t="s">
        <v>10</v>
      </c>
      <c r="E279">
        <v>0</v>
      </c>
    </row>
    <row r="280">
      <c r="A280" t="s">
        <v>11</v>
      </c>
      <c r="B280" t="s">
        <v>71</v>
      </c>
      <c r="C280" t="s">
        <v>395</v>
      </c>
      <c r="D280" t="s">
        <v>395</v>
      </c>
      <c r="E280">
        <v>0</v>
      </c>
    </row>
    <row r="281">
      <c r="A281" t="s">
        <v>11</v>
      </c>
      <c r="B281" t="s">
        <v>80</v>
      </c>
      <c r="C281" t="s">
        <v>388</v>
      </c>
      <c r="D281" t="s">
        <v>388</v>
      </c>
      <c r="E281">
        <v>0</v>
      </c>
    </row>
    <row r="282">
      <c r="A282" t="s">
        <v>11</v>
      </c>
      <c r="B282" t="s">
        <v>38</v>
      </c>
      <c r="C282" t="s">
        <v>312</v>
      </c>
      <c r="D282" t="s">
        <v>312</v>
      </c>
      <c r="E282">
        <v>0</v>
      </c>
    </row>
    <row r="283">
      <c r="A283" t="s">
        <v>11</v>
      </c>
      <c r="B283" t="s">
        <v>121</v>
      </c>
      <c r="C283" t="s">
        <v>145</v>
      </c>
      <c r="D283" t="s">
        <v>145</v>
      </c>
      <c r="E283">
        <v>0</v>
      </c>
    </row>
    <row r="284">
      <c r="A284" t="s">
        <v>11</v>
      </c>
      <c r="B284" t="s">
        <v>185</v>
      </c>
      <c r="C284" t="s">
        <v>294</v>
      </c>
      <c r="D284" t="s">
        <v>294</v>
      </c>
      <c r="E284">
        <v>0</v>
      </c>
    </row>
    <row r="285">
      <c r="A285" t="s">
        <v>11</v>
      </c>
      <c r="B285" t="s">
        <v>110</v>
      </c>
      <c r="C285" t="s">
        <v>127</v>
      </c>
      <c r="D285" t="s">
        <v>127</v>
      </c>
      <c r="E285">
        <v>0</v>
      </c>
    </row>
    <row r="286">
      <c r="A286" t="s">
        <v>11</v>
      </c>
      <c r="B286" t="s">
        <v>130</v>
      </c>
      <c r="C286" t="s">
        <v>127</v>
      </c>
      <c r="D286" t="s">
        <v>127</v>
      </c>
      <c r="E286">
        <v>0</v>
      </c>
    </row>
    <row r="287">
      <c r="A287" t="s">
        <v>11</v>
      </c>
      <c r="B287" t="s">
        <v>61</v>
      </c>
      <c r="C287" t="s">
        <v>202</v>
      </c>
      <c r="D287" t="s">
        <v>202</v>
      </c>
      <c r="E287">
        <v>0</v>
      </c>
    </row>
    <row r="288">
      <c r="A288" t="s">
        <v>11</v>
      </c>
      <c r="B288" t="s">
        <v>40</v>
      </c>
      <c r="C288" t="s">
        <v>333</v>
      </c>
      <c r="D288" t="s">
        <v>333</v>
      </c>
      <c r="E288">
        <v>0</v>
      </c>
    </row>
    <row r="289">
      <c r="A289" t="s">
        <v>11</v>
      </c>
      <c r="B289" t="s">
        <v>68</v>
      </c>
      <c r="C289" t="s">
        <v>446</v>
      </c>
      <c r="D289" t="s">
        <v>446</v>
      </c>
      <c r="E289">
        <v>0</v>
      </c>
    </row>
    <row r="290">
      <c r="A290" t="s">
        <v>11</v>
      </c>
      <c r="B290" t="s">
        <v>65</v>
      </c>
      <c r="C290" t="s">
        <v>341</v>
      </c>
      <c r="D290" t="s">
        <v>341</v>
      </c>
      <c r="E290">
        <v>0</v>
      </c>
    </row>
    <row r="291">
      <c r="A291" t="s">
        <v>11</v>
      </c>
      <c r="B291" t="s">
        <v>218</v>
      </c>
      <c r="C291" t="s">
        <v>395</v>
      </c>
      <c r="D291" t="s">
        <v>395</v>
      </c>
      <c r="E291">
        <v>0</v>
      </c>
    </row>
    <row r="292">
      <c r="A292" t="s">
        <v>11</v>
      </c>
      <c r="B292" t="s">
        <v>151</v>
      </c>
      <c r="C292" t="s">
        <v>285</v>
      </c>
      <c r="D292" t="s">
        <v>285</v>
      </c>
      <c r="E292">
        <v>0</v>
      </c>
    </row>
    <row r="293">
      <c r="A293" t="s">
        <v>11</v>
      </c>
      <c r="B293" t="s">
        <v>190</v>
      </c>
      <c r="C293" t="s">
        <v>191</v>
      </c>
      <c r="D293" t="s">
        <v>191</v>
      </c>
      <c r="E293">
        <v>0</v>
      </c>
    </row>
    <row r="294">
      <c r="A294" t="s">
        <v>11</v>
      </c>
      <c r="B294" t="s">
        <v>91</v>
      </c>
      <c r="C294" t="s">
        <v>320</v>
      </c>
      <c r="D294" t="s">
        <v>320</v>
      </c>
      <c r="E294">
        <v>0</v>
      </c>
    </row>
    <row r="295">
      <c r="A295" t="s">
        <v>11</v>
      </c>
      <c r="B295" t="s">
        <v>252</v>
      </c>
      <c r="C295" t="s">
        <v>337</v>
      </c>
      <c r="D295" t="s">
        <v>337</v>
      </c>
      <c r="E295">
        <v>0</v>
      </c>
    </row>
    <row r="296">
      <c r="A296" t="s">
        <v>11</v>
      </c>
      <c r="B296" t="s">
        <v>270</v>
      </c>
      <c r="C296" t="s">
        <v>295</v>
      </c>
      <c r="D296" t="s">
        <v>295</v>
      </c>
      <c r="E296">
        <v>0</v>
      </c>
    </row>
    <row r="297">
      <c r="A297" t="s">
        <v>11</v>
      </c>
      <c r="B297" t="s">
        <v>73</v>
      </c>
      <c r="C297" t="s">
        <v>371</v>
      </c>
      <c r="D297" t="s">
        <v>371</v>
      </c>
      <c r="E297">
        <v>0</v>
      </c>
    </row>
    <row r="298">
      <c r="A298" t="s">
        <v>11</v>
      </c>
      <c r="B298" t="s">
        <v>208</v>
      </c>
      <c r="C298" t="s">
        <v>416</v>
      </c>
      <c r="D298" t="s">
        <v>416</v>
      </c>
      <c r="E298">
        <v>0</v>
      </c>
    </row>
    <row r="299">
      <c r="A299" t="s">
        <v>11</v>
      </c>
      <c r="B299" t="s">
        <v>184</v>
      </c>
      <c r="C299" t="s">
        <v>216</v>
      </c>
      <c r="D299" t="s">
        <v>216</v>
      </c>
      <c r="E299">
        <v>0</v>
      </c>
    </row>
    <row r="300">
      <c r="A300" t="s">
        <v>11</v>
      </c>
      <c r="B300" t="s">
        <v>241</v>
      </c>
      <c r="C300" t="s">
        <v>430</v>
      </c>
      <c r="D300" t="s">
        <v>430</v>
      </c>
      <c r="E300">
        <v>0</v>
      </c>
    </row>
    <row r="301">
      <c r="A301" t="s">
        <v>11</v>
      </c>
      <c r="B301" t="s">
        <v>154</v>
      </c>
      <c r="C301" t="s">
        <v>441</v>
      </c>
      <c r="D301" t="s">
        <v>441</v>
      </c>
      <c r="E301">
        <v>0</v>
      </c>
    </row>
    <row r="302">
      <c r="A302" t="s">
        <v>11</v>
      </c>
      <c r="B302" t="s">
        <v>97</v>
      </c>
      <c r="C302" t="s">
        <v>94</v>
      </c>
      <c r="D302" t="s">
        <v>94</v>
      </c>
      <c r="E302">
        <v>0</v>
      </c>
    </row>
    <row r="303">
      <c r="A303" t="s">
        <v>11</v>
      </c>
      <c r="B303" t="s">
        <v>158</v>
      </c>
      <c r="C303" t="s">
        <v>277</v>
      </c>
      <c r="D303" t="s">
        <v>277</v>
      </c>
      <c r="E303">
        <v>0</v>
      </c>
    </row>
    <row r="304">
      <c r="A304" t="s">
        <v>11</v>
      </c>
      <c r="B304" t="s">
        <v>100</v>
      </c>
      <c r="C304" t="s">
        <v>376</v>
      </c>
      <c r="D304" t="s">
        <v>376</v>
      </c>
      <c r="E304">
        <v>0</v>
      </c>
    </row>
    <row r="305">
      <c r="A305" t="s">
        <v>11</v>
      </c>
      <c r="B305" t="s">
        <v>117</v>
      </c>
      <c r="C305" t="s">
        <v>114</v>
      </c>
      <c r="D305" t="s">
        <v>114</v>
      </c>
      <c r="E305">
        <v>0</v>
      </c>
    </row>
    <row r="306">
      <c r="A306" t="s">
        <v>11</v>
      </c>
      <c r="B306" t="s">
        <v>149</v>
      </c>
      <c r="C306" t="s">
        <v>396</v>
      </c>
      <c r="D306" t="s">
        <v>396</v>
      </c>
      <c r="E306">
        <v>0</v>
      </c>
    </row>
    <row r="307">
      <c r="A307" t="s">
        <v>11</v>
      </c>
      <c r="B307" t="s">
        <v>113</v>
      </c>
      <c r="C307" t="s">
        <v>114</v>
      </c>
      <c r="D307" t="s">
        <v>114</v>
      </c>
      <c r="E307">
        <v>0</v>
      </c>
    </row>
    <row r="308">
      <c r="A308" t="s">
        <v>11</v>
      </c>
      <c r="B308" t="s">
        <v>243</v>
      </c>
      <c r="C308" t="s">
        <v>244</v>
      </c>
      <c r="D308" t="s">
        <v>244</v>
      </c>
      <c r="E308">
        <v>0</v>
      </c>
    </row>
    <row r="309">
      <c r="A309" t="s">
        <v>11</v>
      </c>
      <c r="B309" t="s">
        <v>69</v>
      </c>
      <c r="C309" t="s">
        <v>221</v>
      </c>
      <c r="D309" t="s">
        <v>221</v>
      </c>
      <c r="E309">
        <v>0</v>
      </c>
    </row>
    <row r="310">
      <c r="A310" t="s">
        <v>11</v>
      </c>
      <c r="B310" t="s">
        <v>258</v>
      </c>
      <c r="C310" t="s">
        <v>377</v>
      </c>
      <c r="D310" t="s">
        <v>377</v>
      </c>
      <c r="E310">
        <v>0</v>
      </c>
    </row>
    <row r="311">
      <c r="A311" t="s">
        <v>11</v>
      </c>
      <c r="B311" t="s">
        <v>30</v>
      </c>
      <c r="C311" t="s">
        <v>27</v>
      </c>
      <c r="D311" t="s">
        <v>27</v>
      </c>
      <c r="E311">
        <v>0</v>
      </c>
    </row>
    <row r="312">
      <c r="A312" t="s">
        <v>11</v>
      </c>
      <c r="B312" t="s">
        <v>308</v>
      </c>
      <c r="C312" t="s">
        <v>417</v>
      </c>
      <c r="D312" t="s">
        <v>417</v>
      </c>
      <c r="E312">
        <v>0</v>
      </c>
    </row>
    <row r="313">
      <c r="A313" t="s">
        <v>11</v>
      </c>
      <c r="B313" t="s">
        <v>171</v>
      </c>
      <c r="C313" t="s">
        <v>169</v>
      </c>
      <c r="D313" t="s">
        <v>169</v>
      </c>
      <c r="E313">
        <v>0</v>
      </c>
    </row>
    <row r="314">
      <c r="A314" t="s">
        <v>11</v>
      </c>
      <c r="B314" t="s">
        <v>257</v>
      </c>
      <c r="C314" t="s">
        <v>324</v>
      </c>
      <c r="D314" t="s">
        <v>324</v>
      </c>
      <c r="E314">
        <v>0</v>
      </c>
    </row>
    <row r="315">
      <c r="A315" t="s">
        <v>11</v>
      </c>
      <c r="B315" t="s">
        <v>177</v>
      </c>
      <c r="C315" t="s">
        <v>312</v>
      </c>
      <c r="D315" t="s">
        <v>312</v>
      </c>
      <c r="E315">
        <v>0</v>
      </c>
    </row>
    <row r="316">
      <c r="A316" t="s">
        <v>11</v>
      </c>
      <c r="B316" t="s">
        <v>403</v>
      </c>
      <c r="C316" t="s">
        <v>460</v>
      </c>
      <c r="D316" t="s">
        <v>460</v>
      </c>
      <c r="E316">
        <v>0</v>
      </c>
    </row>
    <row r="317">
      <c r="A317" t="s">
        <v>11</v>
      </c>
      <c r="B317" t="s">
        <v>197</v>
      </c>
      <c r="C317" t="s">
        <v>236</v>
      </c>
      <c r="D317" t="s">
        <v>236</v>
      </c>
      <c r="E317">
        <v>0</v>
      </c>
    </row>
    <row r="318">
      <c r="A318" t="s">
        <v>11</v>
      </c>
      <c r="B318" t="s">
        <v>263</v>
      </c>
      <c r="C318" t="s">
        <v>375</v>
      </c>
      <c r="D318" t="s">
        <v>375</v>
      </c>
      <c r="E318">
        <v>0</v>
      </c>
    </row>
    <row r="319">
      <c r="A319" t="s">
        <v>11</v>
      </c>
      <c r="B319" t="s">
        <v>370</v>
      </c>
      <c r="C319" t="s">
        <v>449</v>
      </c>
      <c r="D319" t="s">
        <v>449</v>
      </c>
      <c r="E319">
        <v>0</v>
      </c>
    </row>
    <row r="320">
      <c r="A320" t="s">
        <v>8</v>
      </c>
      <c r="B320" t="s">
        <v>339</v>
      </c>
      <c r="C320" t="s">
        <v>360</v>
      </c>
      <c r="D320" t="s">
        <v>360</v>
      </c>
      <c r="E320">
        <v>0</v>
      </c>
    </row>
    <row r="321">
      <c r="A321" t="s">
        <v>8</v>
      </c>
      <c r="B321" t="s">
        <v>189</v>
      </c>
      <c r="C321" t="s">
        <v>460</v>
      </c>
      <c r="D321" t="s">
        <v>460</v>
      </c>
      <c r="E321">
        <v>0</v>
      </c>
    </row>
    <row r="322">
      <c r="A322" t="s">
        <v>8</v>
      </c>
      <c r="B322" t="s">
        <v>276</v>
      </c>
      <c r="C322" t="s">
        <v>460</v>
      </c>
      <c r="D322" t="s">
        <v>460</v>
      </c>
      <c r="E322">
        <v>0</v>
      </c>
    </row>
    <row r="323">
      <c r="A323" t="s">
        <v>8</v>
      </c>
      <c r="B323" t="s">
        <v>18</v>
      </c>
      <c r="C323" t="s">
        <v>205</v>
      </c>
      <c r="D323" t="s">
        <v>205</v>
      </c>
      <c r="E323">
        <v>0</v>
      </c>
    </row>
    <row r="324">
      <c r="A324" t="s">
        <v>8</v>
      </c>
      <c r="B324" t="s">
        <v>284</v>
      </c>
      <c r="C324" t="s">
        <v>283</v>
      </c>
      <c r="D324" t="s">
        <v>283</v>
      </c>
      <c r="E324">
        <v>0</v>
      </c>
    </row>
    <row r="325">
      <c r="A325" t="s">
        <v>8</v>
      </c>
      <c r="B325" t="s">
        <v>142</v>
      </c>
      <c r="C325" t="s">
        <v>295</v>
      </c>
      <c r="D325" t="s">
        <v>295</v>
      </c>
      <c r="E325">
        <v>0</v>
      </c>
    </row>
    <row r="326">
      <c r="A326" t="s">
        <v>8</v>
      </c>
      <c r="B326" t="s">
        <v>48</v>
      </c>
      <c r="C326" t="s">
        <v>377</v>
      </c>
      <c r="D326" t="s">
        <v>377</v>
      </c>
      <c r="E326">
        <v>0</v>
      </c>
    </row>
    <row r="327">
      <c r="A327" t="s">
        <v>8</v>
      </c>
      <c r="B327" t="s">
        <v>79</v>
      </c>
      <c r="C327" t="s">
        <v>386</v>
      </c>
      <c r="D327" t="s">
        <v>386</v>
      </c>
      <c r="E327">
        <v>0</v>
      </c>
    </row>
    <row r="328">
      <c r="A328" t="s">
        <v>8</v>
      </c>
      <c r="B328" t="s">
        <v>196</v>
      </c>
      <c r="C328" t="s">
        <v>195</v>
      </c>
      <c r="D328" t="s">
        <v>195</v>
      </c>
      <c r="E328">
        <v>0</v>
      </c>
    </row>
    <row r="329">
      <c r="A329" t="s">
        <v>8</v>
      </c>
      <c r="B329" t="s">
        <v>95</v>
      </c>
      <c r="C329" t="s">
        <v>369</v>
      </c>
      <c r="D329" t="s">
        <v>369</v>
      </c>
      <c r="E329">
        <v>0</v>
      </c>
    </row>
    <row r="330">
      <c r="A330" t="s">
        <v>8</v>
      </c>
      <c r="B330" t="s">
        <v>272</v>
      </c>
      <c r="C330" t="s">
        <v>438</v>
      </c>
      <c r="D330" t="s">
        <v>438</v>
      </c>
      <c r="E330">
        <v>0</v>
      </c>
    </row>
    <row r="331">
      <c r="A331" t="s">
        <v>8</v>
      </c>
      <c r="B331" t="s">
        <v>49</v>
      </c>
      <c r="C331" t="s">
        <v>86</v>
      </c>
      <c r="D331" t="s">
        <v>86</v>
      </c>
      <c r="E331">
        <v>0</v>
      </c>
    </row>
    <row r="332">
      <c r="A332" t="s">
        <v>8</v>
      </c>
      <c r="B332" t="s">
        <v>85</v>
      </c>
      <c r="C332" t="s">
        <v>84</v>
      </c>
      <c r="D332" t="s">
        <v>84</v>
      </c>
      <c r="E332">
        <v>0</v>
      </c>
    </row>
    <row r="333">
      <c r="A333" t="s">
        <v>8</v>
      </c>
      <c r="B333" t="s">
        <v>240</v>
      </c>
      <c r="C333" t="s">
        <v>262</v>
      </c>
      <c r="D333" t="s">
        <v>262</v>
      </c>
      <c r="E333">
        <v>0</v>
      </c>
    </row>
    <row r="334">
      <c r="A334" t="s">
        <v>8</v>
      </c>
      <c r="B334" t="s">
        <v>71</v>
      </c>
      <c r="C334" t="s">
        <v>334</v>
      </c>
      <c r="D334" t="s">
        <v>334</v>
      </c>
      <c r="E334">
        <v>0</v>
      </c>
    </row>
    <row r="335">
      <c r="A335" t="s">
        <v>8</v>
      </c>
      <c r="B335" t="s">
        <v>9</v>
      </c>
      <c r="C335" t="s">
        <v>10</v>
      </c>
      <c r="D335" t="s">
        <v>10</v>
      </c>
      <c r="E335">
        <v>0</v>
      </c>
    </row>
    <row r="336">
      <c r="A336" t="s">
        <v>8</v>
      </c>
      <c r="B336" t="s">
        <v>121</v>
      </c>
      <c r="C336" t="s">
        <v>205</v>
      </c>
      <c r="D336" t="s">
        <v>205</v>
      </c>
      <c r="E336">
        <v>0</v>
      </c>
    </row>
    <row r="337">
      <c r="A337" t="s">
        <v>8</v>
      </c>
      <c r="B337" t="s">
        <v>98</v>
      </c>
      <c r="C337" t="s">
        <v>436</v>
      </c>
      <c r="D337" t="s">
        <v>436</v>
      </c>
      <c r="E337">
        <v>0</v>
      </c>
    </row>
    <row r="338">
      <c r="A338" t="s">
        <v>8</v>
      </c>
      <c r="B338" t="s">
        <v>129</v>
      </c>
      <c r="C338" t="s">
        <v>127</v>
      </c>
      <c r="D338" t="s">
        <v>127</v>
      </c>
      <c r="E338">
        <v>0</v>
      </c>
    </row>
    <row r="339">
      <c r="A339" t="s">
        <v>8</v>
      </c>
      <c r="B339" t="s">
        <v>278</v>
      </c>
      <c r="C339" t="s">
        <v>277</v>
      </c>
      <c r="D339" t="s">
        <v>277</v>
      </c>
      <c r="E339">
        <v>0</v>
      </c>
    </row>
    <row r="340">
      <c r="A340" t="s">
        <v>8</v>
      </c>
      <c r="B340" t="s">
        <v>61</v>
      </c>
      <c r="C340" t="s">
        <v>62</v>
      </c>
      <c r="D340" t="s">
        <v>62</v>
      </c>
      <c r="E340">
        <v>0</v>
      </c>
    </row>
    <row r="341">
      <c r="A341" t="s">
        <v>8</v>
      </c>
      <c r="B341" t="s">
        <v>75</v>
      </c>
      <c r="C341" t="s">
        <v>446</v>
      </c>
      <c r="D341" t="s">
        <v>446</v>
      </c>
      <c r="E341">
        <v>0</v>
      </c>
    </row>
    <row r="342">
      <c r="A342" t="s">
        <v>8</v>
      </c>
      <c r="B342" t="s">
        <v>138</v>
      </c>
      <c r="C342" t="s">
        <v>317</v>
      </c>
      <c r="D342" t="s">
        <v>317</v>
      </c>
      <c r="E342">
        <v>0</v>
      </c>
    </row>
    <row r="343">
      <c r="A343" t="s">
        <v>8</v>
      </c>
      <c r="B343" t="s">
        <v>68</v>
      </c>
      <c r="C343" t="s">
        <v>413</v>
      </c>
      <c r="D343" t="s">
        <v>413</v>
      </c>
      <c r="E343">
        <v>0</v>
      </c>
    </row>
    <row r="344">
      <c r="A344" t="s">
        <v>8</v>
      </c>
      <c r="B344" t="s">
        <v>207</v>
      </c>
      <c r="C344" t="s">
        <v>376</v>
      </c>
      <c r="D344" t="s">
        <v>376</v>
      </c>
      <c r="E344">
        <v>0</v>
      </c>
    </row>
    <row r="345">
      <c r="A345" t="s">
        <v>8</v>
      </c>
      <c r="B345" t="s">
        <v>218</v>
      </c>
      <c r="C345" t="s">
        <v>260</v>
      </c>
      <c r="D345" t="s">
        <v>260</v>
      </c>
      <c r="E345">
        <v>0</v>
      </c>
    </row>
    <row r="346">
      <c r="A346" t="s">
        <v>8</v>
      </c>
      <c r="B346" t="s">
        <v>163</v>
      </c>
      <c r="C346" t="s">
        <v>314</v>
      </c>
      <c r="D346" t="s">
        <v>314</v>
      </c>
      <c r="E346">
        <v>0</v>
      </c>
    </row>
    <row r="347">
      <c r="A347" t="s">
        <v>8</v>
      </c>
      <c r="B347" t="s">
        <v>248</v>
      </c>
      <c r="C347" t="s">
        <v>464</v>
      </c>
      <c r="D347" t="s">
        <v>464</v>
      </c>
      <c r="E347">
        <v>0</v>
      </c>
    </row>
    <row r="348">
      <c r="A348" t="s">
        <v>8</v>
      </c>
      <c r="B348" t="s">
        <v>119</v>
      </c>
      <c r="C348" t="s">
        <v>415</v>
      </c>
      <c r="D348" t="s">
        <v>415</v>
      </c>
      <c r="E348">
        <v>0</v>
      </c>
    </row>
    <row r="349">
      <c r="A349" t="s">
        <v>8</v>
      </c>
      <c r="B349" t="s">
        <v>168</v>
      </c>
      <c r="C349" t="s">
        <v>428</v>
      </c>
      <c r="D349" t="s">
        <v>428</v>
      </c>
      <c r="E349">
        <v>0</v>
      </c>
    </row>
    <row r="350">
      <c r="A350" t="s">
        <v>8</v>
      </c>
      <c r="B350" t="s">
        <v>225</v>
      </c>
      <c r="C350" t="s">
        <v>348</v>
      </c>
      <c r="D350" t="s">
        <v>348</v>
      </c>
      <c r="E350">
        <v>0</v>
      </c>
    </row>
    <row r="351">
      <c r="A351" t="s">
        <v>8</v>
      </c>
      <c r="B351" t="s">
        <v>241</v>
      </c>
      <c r="C351" t="s">
        <v>402</v>
      </c>
      <c r="D351" t="s">
        <v>402</v>
      </c>
      <c r="E351">
        <v>0</v>
      </c>
    </row>
    <row r="352">
      <c r="A352" t="s">
        <v>8</v>
      </c>
      <c r="B352" t="s">
        <v>97</v>
      </c>
      <c r="C352" t="s">
        <v>448</v>
      </c>
      <c r="D352" t="s">
        <v>448</v>
      </c>
      <c r="E352">
        <v>0</v>
      </c>
    </row>
    <row r="353">
      <c r="A353" t="s">
        <v>8</v>
      </c>
      <c r="B353" t="s">
        <v>200</v>
      </c>
      <c r="C353" t="s">
        <v>398</v>
      </c>
      <c r="D353" t="s">
        <v>398</v>
      </c>
      <c r="E353">
        <v>0</v>
      </c>
    </row>
    <row r="354">
      <c r="A354" t="s">
        <v>8</v>
      </c>
      <c r="B354" t="s">
        <v>239</v>
      </c>
      <c r="C354" t="s">
        <v>395</v>
      </c>
      <c r="D354" t="s">
        <v>395</v>
      </c>
      <c r="E354">
        <v>0</v>
      </c>
    </row>
    <row r="355">
      <c r="A355" t="s">
        <v>8</v>
      </c>
      <c r="B355" t="s">
        <v>77</v>
      </c>
      <c r="C355" t="s">
        <v>236</v>
      </c>
      <c r="D355" t="s">
        <v>236</v>
      </c>
      <c r="E355">
        <v>0</v>
      </c>
    </row>
    <row r="356">
      <c r="A356" t="s">
        <v>8</v>
      </c>
      <c r="B356" t="s">
        <v>78</v>
      </c>
      <c r="C356" t="s">
        <v>296</v>
      </c>
      <c r="D356" t="s">
        <v>296</v>
      </c>
      <c r="E356">
        <v>0</v>
      </c>
    </row>
    <row r="357">
      <c r="A357" t="s">
        <v>8</v>
      </c>
      <c r="B357" t="s">
        <v>149</v>
      </c>
      <c r="C357" t="s">
        <v>150</v>
      </c>
      <c r="D357" t="s">
        <v>150</v>
      </c>
      <c r="E357">
        <v>0</v>
      </c>
    </row>
    <row r="358">
      <c r="A358" t="s">
        <v>8</v>
      </c>
      <c r="B358" t="s">
        <v>89</v>
      </c>
      <c r="C358" t="s">
        <v>330</v>
      </c>
      <c r="D358" t="s">
        <v>330</v>
      </c>
      <c r="E358">
        <v>0</v>
      </c>
    </row>
    <row r="359">
      <c r="A359" t="s">
        <v>8</v>
      </c>
      <c r="B359" t="s">
        <v>52</v>
      </c>
      <c r="C359" t="s">
        <v>51</v>
      </c>
      <c r="D359" t="s">
        <v>51</v>
      </c>
      <c r="E359">
        <v>0</v>
      </c>
    </row>
    <row r="360">
      <c r="A360" t="s">
        <v>8</v>
      </c>
      <c r="B360" t="s">
        <v>113</v>
      </c>
      <c r="C360" t="s">
        <v>402</v>
      </c>
      <c r="D360" t="s">
        <v>402</v>
      </c>
      <c r="E360">
        <v>0</v>
      </c>
    </row>
    <row r="361">
      <c r="A361" t="s">
        <v>8</v>
      </c>
      <c r="B361" t="s">
        <v>106</v>
      </c>
      <c r="C361" t="s">
        <v>361</v>
      </c>
      <c r="D361" t="s">
        <v>361</v>
      </c>
      <c r="E361">
        <v>0</v>
      </c>
    </row>
    <row r="362">
      <c r="A362" t="s">
        <v>8</v>
      </c>
      <c r="B362" t="s">
        <v>299</v>
      </c>
      <c r="C362" t="s">
        <v>397</v>
      </c>
      <c r="D362" t="s">
        <v>397</v>
      </c>
      <c r="E362">
        <v>0</v>
      </c>
    </row>
    <row r="363">
      <c r="A363" t="s">
        <v>8</v>
      </c>
      <c r="B363" t="s">
        <v>102</v>
      </c>
      <c r="C363" t="s">
        <v>275</v>
      </c>
      <c r="D363" t="s">
        <v>275</v>
      </c>
      <c r="E363">
        <v>0</v>
      </c>
    </row>
    <row r="364">
      <c r="A364" t="s">
        <v>8</v>
      </c>
      <c r="B364" t="s">
        <v>172</v>
      </c>
      <c r="C364" t="s">
        <v>397</v>
      </c>
      <c r="D364" t="s">
        <v>397</v>
      </c>
      <c r="E364">
        <v>0</v>
      </c>
    </row>
    <row r="365">
      <c r="A365" t="s">
        <v>8</v>
      </c>
      <c r="B365" t="s">
        <v>30</v>
      </c>
      <c r="C365" t="s">
        <v>402</v>
      </c>
      <c r="D365" t="s">
        <v>402</v>
      </c>
      <c r="E365">
        <v>0</v>
      </c>
    </row>
    <row r="366">
      <c r="A366" t="s">
        <v>8</v>
      </c>
      <c r="B366" t="s">
        <v>148</v>
      </c>
      <c r="C366" t="s">
        <v>205</v>
      </c>
      <c r="D366" t="s">
        <v>205</v>
      </c>
      <c r="E366">
        <v>0</v>
      </c>
    </row>
    <row r="367">
      <c r="A367" t="s">
        <v>8</v>
      </c>
      <c r="B367" t="s">
        <v>50</v>
      </c>
      <c r="C367" t="s">
        <v>53</v>
      </c>
      <c r="D367" t="s">
        <v>53</v>
      </c>
      <c r="E367">
        <v>0</v>
      </c>
    </row>
    <row r="368">
      <c r="A368" t="s">
        <v>8</v>
      </c>
      <c r="B368" t="s">
        <v>254</v>
      </c>
      <c r="C368" t="s">
        <v>269</v>
      </c>
      <c r="D368" t="s">
        <v>269</v>
      </c>
      <c r="E368">
        <v>0</v>
      </c>
    </row>
    <row r="369">
      <c r="A369" t="s">
        <v>8</v>
      </c>
      <c r="B369" t="s">
        <v>316</v>
      </c>
      <c r="C369" t="s">
        <v>322</v>
      </c>
      <c r="D369" t="s">
        <v>322</v>
      </c>
      <c r="E369">
        <v>0</v>
      </c>
    </row>
    <row r="370">
      <c r="A370" t="s">
        <v>8</v>
      </c>
      <c r="B370" t="s">
        <v>255</v>
      </c>
      <c r="C370" t="s">
        <v>336</v>
      </c>
      <c r="D370" t="s">
        <v>336</v>
      </c>
      <c r="E370">
        <v>0</v>
      </c>
    </row>
    <row r="371">
      <c r="A371" t="s">
        <v>8</v>
      </c>
      <c r="B371" t="s">
        <v>44</v>
      </c>
      <c r="C371" t="s">
        <v>72</v>
      </c>
      <c r="D371" t="s">
        <v>72</v>
      </c>
      <c r="E371">
        <v>0</v>
      </c>
    </row>
    <row r="372">
      <c r="A372" t="s">
        <v>8</v>
      </c>
      <c r="B372" t="s">
        <v>302</v>
      </c>
      <c r="C372" t="s">
        <v>391</v>
      </c>
      <c r="D372" t="s">
        <v>391</v>
      </c>
      <c r="E372">
        <v>0</v>
      </c>
    </row>
    <row r="373">
      <c r="A373" t="s">
        <v>8</v>
      </c>
      <c r="B373" t="s">
        <v>123</v>
      </c>
      <c r="C373" t="s">
        <v>388</v>
      </c>
      <c r="D373" t="s">
        <v>388</v>
      </c>
      <c r="E373">
        <v>0</v>
      </c>
    </row>
    <row r="374">
      <c r="A374" t="s">
        <v>8</v>
      </c>
      <c r="B374" t="s">
        <v>144</v>
      </c>
      <c r="C374" t="s">
        <v>166</v>
      </c>
      <c r="D374" t="s">
        <v>166</v>
      </c>
      <c r="E374">
        <v>0</v>
      </c>
    </row>
    <row r="375">
      <c r="A375" t="s">
        <v>8</v>
      </c>
      <c r="B375" t="s">
        <v>263</v>
      </c>
      <c r="C375" t="s">
        <v>464</v>
      </c>
      <c r="D375" t="s">
        <v>464</v>
      </c>
      <c r="E375">
        <v>0</v>
      </c>
    </row>
    <row r="376">
      <c r="A376" t="s">
        <v>8</v>
      </c>
      <c r="B376" t="s">
        <v>45</v>
      </c>
      <c r="C376" t="s">
        <v>36</v>
      </c>
      <c r="D376" t="s">
        <v>36</v>
      </c>
      <c r="E376">
        <v>0</v>
      </c>
    </row>
    <row r="377">
      <c r="A377" t="s">
        <v>8</v>
      </c>
      <c r="B377" t="s">
        <v>153</v>
      </c>
      <c r="C377" t="s">
        <v>400</v>
      </c>
      <c r="D377" t="s">
        <v>400</v>
      </c>
      <c r="E377">
        <v>0</v>
      </c>
    </row>
    <row r="378">
      <c r="A378" t="s">
        <v>8</v>
      </c>
      <c r="B378" t="s">
        <v>93</v>
      </c>
      <c r="C378" t="s">
        <v>430</v>
      </c>
      <c r="D378" t="s">
        <v>430</v>
      </c>
      <c r="E378">
        <v>0</v>
      </c>
    </row>
    <row r="379">
      <c r="A379" t="s">
        <v>8</v>
      </c>
      <c r="B379" t="s">
        <v>157</v>
      </c>
      <c r="C379" t="s">
        <v>460</v>
      </c>
      <c r="D379" t="s">
        <v>460</v>
      </c>
      <c r="E379">
        <v>0</v>
      </c>
    </row>
    <row r="380">
      <c r="A380" t="s">
        <v>8</v>
      </c>
      <c r="B380" t="s">
        <v>143</v>
      </c>
      <c r="C380" t="s">
        <v>338</v>
      </c>
      <c r="D380" t="s">
        <v>338</v>
      </c>
      <c r="E380">
        <v>0</v>
      </c>
    </row>
    <row r="381">
      <c r="A381" t="s">
        <v>8</v>
      </c>
      <c r="B381" t="s">
        <v>215</v>
      </c>
      <c r="C381" t="s">
        <v>356</v>
      </c>
      <c r="D381" t="s">
        <v>356</v>
      </c>
      <c r="E381">
        <v>0</v>
      </c>
    </row>
    <row r="382">
      <c r="A382" t="s">
        <v>17</v>
      </c>
      <c r="B382" t="s">
        <v>70</v>
      </c>
      <c r="C382" t="s">
        <v>442</v>
      </c>
      <c r="D382" t="s">
        <v>442</v>
      </c>
      <c r="E382">
        <v>0</v>
      </c>
    </row>
    <row r="383">
      <c r="A383" t="s">
        <v>17</v>
      </c>
      <c r="B383" t="s">
        <v>42</v>
      </c>
      <c r="C383" t="s">
        <v>289</v>
      </c>
      <c r="D383" t="s">
        <v>289</v>
      </c>
      <c r="E383">
        <v>0</v>
      </c>
    </row>
    <row r="384">
      <c r="A384" t="s">
        <v>17</v>
      </c>
      <c r="B384" t="s">
        <v>284</v>
      </c>
      <c r="C384" t="s">
        <v>437</v>
      </c>
      <c r="D384" t="s">
        <v>437</v>
      </c>
      <c r="E384">
        <v>0</v>
      </c>
    </row>
    <row r="385">
      <c r="A385" t="s">
        <v>17</v>
      </c>
      <c r="B385" t="s">
        <v>137</v>
      </c>
      <c r="C385" t="s">
        <v>381</v>
      </c>
      <c r="D385" t="s">
        <v>381</v>
      </c>
      <c r="E385">
        <v>0</v>
      </c>
    </row>
    <row r="386">
      <c r="A386" t="s">
        <v>17</v>
      </c>
      <c r="B386" t="s">
        <v>272</v>
      </c>
      <c r="C386" t="s">
        <v>451</v>
      </c>
      <c r="D386" t="s">
        <v>451</v>
      </c>
      <c r="E386">
        <v>0</v>
      </c>
    </row>
    <row r="387">
      <c r="A387" t="s">
        <v>17</v>
      </c>
      <c r="B387" t="s">
        <v>26</v>
      </c>
      <c r="C387" t="s">
        <v>27</v>
      </c>
      <c r="D387" t="s">
        <v>27</v>
      </c>
      <c r="E387">
        <v>0</v>
      </c>
    </row>
    <row r="388">
      <c r="A388" t="s">
        <v>17</v>
      </c>
      <c r="B388" t="s">
        <v>85</v>
      </c>
      <c r="C388" t="s">
        <v>441</v>
      </c>
      <c r="D388" t="s">
        <v>441</v>
      </c>
      <c r="E388">
        <v>0</v>
      </c>
    </row>
    <row r="389">
      <c r="A389" t="s">
        <v>17</v>
      </c>
      <c r="B389" t="s">
        <v>83</v>
      </c>
      <c r="C389" t="s">
        <v>84</v>
      </c>
      <c r="D389" t="s">
        <v>84</v>
      </c>
      <c r="E389">
        <v>0</v>
      </c>
    </row>
    <row r="390">
      <c r="A390" t="s">
        <v>17</v>
      </c>
      <c r="B390" t="s">
        <v>16</v>
      </c>
      <c r="C390" t="s">
        <v>450</v>
      </c>
      <c r="D390" t="s">
        <v>450</v>
      </c>
      <c r="E390">
        <v>0</v>
      </c>
    </row>
    <row r="391">
      <c r="A391" t="s">
        <v>17</v>
      </c>
      <c r="B391" t="s">
        <v>33</v>
      </c>
      <c r="C391" t="s">
        <v>34</v>
      </c>
      <c r="D391" t="s">
        <v>34</v>
      </c>
      <c r="E391">
        <v>0</v>
      </c>
    </row>
    <row r="392">
      <c r="A392" t="s">
        <v>17</v>
      </c>
      <c r="B392" t="s">
        <v>121</v>
      </c>
      <c r="C392" t="s">
        <v>397</v>
      </c>
      <c r="D392" t="s">
        <v>397</v>
      </c>
      <c r="E392">
        <v>0</v>
      </c>
    </row>
    <row r="393">
      <c r="A393" t="s">
        <v>17</v>
      </c>
      <c r="B393" t="s">
        <v>110</v>
      </c>
      <c r="C393" t="s">
        <v>397</v>
      </c>
      <c r="D393" t="s">
        <v>397</v>
      </c>
      <c r="E393">
        <v>0</v>
      </c>
    </row>
    <row r="394">
      <c r="A394" t="s">
        <v>17</v>
      </c>
      <c r="B394" t="s">
        <v>175</v>
      </c>
      <c r="C394" t="s">
        <v>173</v>
      </c>
      <c r="D394" t="s">
        <v>173</v>
      </c>
      <c r="E394">
        <v>0</v>
      </c>
    </row>
    <row r="395">
      <c r="A395" t="s">
        <v>17</v>
      </c>
      <c r="B395" t="s">
        <v>278</v>
      </c>
      <c r="C395" t="s">
        <v>448</v>
      </c>
      <c r="D395" t="s">
        <v>448</v>
      </c>
      <c r="E395">
        <v>0</v>
      </c>
    </row>
    <row r="396">
      <c r="A396" t="s">
        <v>17</v>
      </c>
      <c r="B396" t="s">
        <v>55</v>
      </c>
      <c r="C396" t="s">
        <v>54</v>
      </c>
      <c r="D396" t="s">
        <v>54</v>
      </c>
      <c r="E396">
        <v>0</v>
      </c>
    </row>
    <row r="397">
      <c r="A397" t="s">
        <v>17</v>
      </c>
      <c r="B397" t="s">
        <v>61</v>
      </c>
      <c r="C397" t="s">
        <v>84</v>
      </c>
      <c r="D397" t="s">
        <v>84</v>
      </c>
      <c r="E397">
        <v>0</v>
      </c>
    </row>
    <row r="398">
      <c r="A398" t="s">
        <v>17</v>
      </c>
      <c r="B398" t="s">
        <v>29</v>
      </c>
      <c r="C398" t="s">
        <v>405</v>
      </c>
      <c r="D398" t="s">
        <v>405</v>
      </c>
      <c r="E398">
        <v>0</v>
      </c>
    </row>
    <row r="399">
      <c r="A399" t="s">
        <v>17</v>
      </c>
      <c r="B399" t="s">
        <v>133</v>
      </c>
      <c r="C399" t="s">
        <v>127</v>
      </c>
      <c r="D399" t="s">
        <v>127</v>
      </c>
      <c r="E399">
        <v>0</v>
      </c>
    </row>
    <row r="400">
      <c r="A400" t="s">
        <v>17</v>
      </c>
      <c r="B400" t="s">
        <v>342</v>
      </c>
      <c r="C400" t="s">
        <v>422</v>
      </c>
      <c r="D400" t="s">
        <v>422</v>
      </c>
      <c r="E400">
        <v>0</v>
      </c>
    </row>
    <row r="401">
      <c r="A401" t="s">
        <v>17</v>
      </c>
      <c r="B401" t="s">
        <v>39</v>
      </c>
      <c r="C401" t="s">
        <v>309</v>
      </c>
      <c r="D401" t="s">
        <v>309</v>
      </c>
      <c r="E401">
        <v>0</v>
      </c>
    </row>
    <row r="402">
      <c r="A402" t="s">
        <v>17</v>
      </c>
      <c r="B402" t="s">
        <v>108</v>
      </c>
      <c r="C402" t="s">
        <v>251</v>
      </c>
      <c r="D402" t="s">
        <v>251</v>
      </c>
      <c r="E402">
        <v>0</v>
      </c>
    </row>
    <row r="403">
      <c r="A403" t="s">
        <v>17</v>
      </c>
      <c r="B403" t="s">
        <v>267</v>
      </c>
      <c r="C403" t="s">
        <v>266</v>
      </c>
      <c r="D403" t="s">
        <v>266</v>
      </c>
      <c r="E403">
        <v>0</v>
      </c>
    </row>
    <row r="404">
      <c r="A404" t="s">
        <v>17</v>
      </c>
      <c r="B404" t="s">
        <v>91</v>
      </c>
      <c r="C404" t="s">
        <v>126</v>
      </c>
      <c r="D404" t="s">
        <v>126</v>
      </c>
      <c r="E404">
        <v>0</v>
      </c>
    </row>
    <row r="405">
      <c r="A405" t="s">
        <v>17</v>
      </c>
      <c r="B405" t="s">
        <v>220</v>
      </c>
      <c r="C405" t="s">
        <v>221</v>
      </c>
      <c r="D405" t="s">
        <v>221</v>
      </c>
      <c r="E405">
        <v>0</v>
      </c>
    </row>
    <row r="406">
      <c r="A406" t="s">
        <v>17</v>
      </c>
      <c r="B406" t="s">
        <v>119</v>
      </c>
      <c r="C406" t="s">
        <v>279</v>
      </c>
      <c r="D406" t="s">
        <v>279</v>
      </c>
      <c r="E406">
        <v>0</v>
      </c>
    </row>
    <row r="407">
      <c r="A407" t="s">
        <v>17</v>
      </c>
      <c r="B407" t="s">
        <v>147</v>
      </c>
      <c r="C407" t="s">
        <v>164</v>
      </c>
      <c r="D407" t="s">
        <v>164</v>
      </c>
      <c r="E407">
        <v>0</v>
      </c>
    </row>
    <row r="408">
      <c r="A408" t="s">
        <v>17</v>
      </c>
      <c r="B408" t="s">
        <v>116</v>
      </c>
      <c r="C408" t="s">
        <v>136</v>
      </c>
      <c r="D408" t="s">
        <v>136</v>
      </c>
      <c r="E408">
        <v>0</v>
      </c>
    </row>
    <row r="409">
      <c r="A409" t="s">
        <v>17</v>
      </c>
      <c r="B409" t="s">
        <v>170</v>
      </c>
      <c r="C409" t="s">
        <v>260</v>
      </c>
      <c r="D409" t="s">
        <v>260</v>
      </c>
      <c r="E409">
        <v>0</v>
      </c>
    </row>
    <row r="410">
      <c r="A410" t="s">
        <v>17</v>
      </c>
      <c r="B410" t="s">
        <v>41</v>
      </c>
      <c r="C410" t="s">
        <v>434</v>
      </c>
      <c r="D410" t="s">
        <v>434</v>
      </c>
      <c r="E410">
        <v>0</v>
      </c>
    </row>
    <row r="411">
      <c r="A411" t="s">
        <v>17</v>
      </c>
      <c r="B411" t="s">
        <v>200</v>
      </c>
      <c r="C411" t="s">
        <v>416</v>
      </c>
      <c r="D411" t="s">
        <v>416</v>
      </c>
      <c r="E411">
        <v>0</v>
      </c>
    </row>
    <row r="412">
      <c r="A412" t="s">
        <v>17</v>
      </c>
      <c r="B412" t="s">
        <v>158</v>
      </c>
      <c r="C412" t="s">
        <v>427</v>
      </c>
      <c r="D412" t="s">
        <v>427</v>
      </c>
      <c r="E412">
        <v>0</v>
      </c>
    </row>
    <row r="413">
      <c r="A413" t="s">
        <v>17</v>
      </c>
      <c r="B413" t="s">
        <v>101</v>
      </c>
      <c r="C413" t="s">
        <v>381</v>
      </c>
      <c r="D413" t="s">
        <v>381</v>
      </c>
      <c r="E413">
        <v>0</v>
      </c>
    </row>
    <row r="414">
      <c r="A414" t="s">
        <v>17</v>
      </c>
      <c r="B414" t="s">
        <v>239</v>
      </c>
      <c r="C414" t="s">
        <v>394</v>
      </c>
      <c r="D414" t="s">
        <v>394</v>
      </c>
      <c r="E414">
        <v>0</v>
      </c>
    </row>
    <row r="415">
      <c r="A415" t="s">
        <v>17</v>
      </c>
      <c r="B415" t="s">
        <v>58</v>
      </c>
      <c r="C415" t="s">
        <v>269</v>
      </c>
      <c r="D415" t="s">
        <v>269</v>
      </c>
      <c r="E415">
        <v>0</v>
      </c>
    </row>
    <row r="416">
      <c r="A416" t="s">
        <v>17</v>
      </c>
      <c r="B416" t="s">
        <v>149</v>
      </c>
      <c r="C416" t="s">
        <v>216</v>
      </c>
      <c r="D416" t="s">
        <v>216</v>
      </c>
      <c r="E416">
        <v>0</v>
      </c>
    </row>
    <row r="417">
      <c r="A417" t="s">
        <v>17</v>
      </c>
      <c r="B417" t="s">
        <v>211</v>
      </c>
      <c r="C417" t="s">
        <v>210</v>
      </c>
      <c r="D417" t="s">
        <v>210</v>
      </c>
      <c r="E417">
        <v>0</v>
      </c>
    </row>
    <row r="418">
      <c r="A418" t="s">
        <v>17</v>
      </c>
      <c r="B418" t="s">
        <v>181</v>
      </c>
      <c r="C418" t="s">
        <v>202</v>
      </c>
      <c r="D418" t="s">
        <v>202</v>
      </c>
      <c r="E418">
        <v>0</v>
      </c>
    </row>
    <row r="419">
      <c r="A419" t="s">
        <v>17</v>
      </c>
      <c r="B419" t="s">
        <v>206</v>
      </c>
      <c r="C419" t="s">
        <v>205</v>
      </c>
      <c r="D419" t="s">
        <v>205</v>
      </c>
      <c r="E419">
        <v>0</v>
      </c>
    </row>
    <row r="420">
      <c r="A420" t="s">
        <v>17</v>
      </c>
      <c r="B420" t="s">
        <v>20</v>
      </c>
      <c r="C420" t="s">
        <v>205</v>
      </c>
      <c r="D420" t="s">
        <v>205</v>
      </c>
      <c r="E420">
        <v>0</v>
      </c>
    </row>
    <row r="421">
      <c r="A421" t="s">
        <v>17</v>
      </c>
      <c r="B421" t="s">
        <v>299</v>
      </c>
      <c r="C421" t="s">
        <v>346</v>
      </c>
      <c r="D421" t="s">
        <v>346</v>
      </c>
      <c r="E421">
        <v>0</v>
      </c>
    </row>
    <row r="422">
      <c r="A422" t="s">
        <v>17</v>
      </c>
      <c r="B422" t="s">
        <v>102</v>
      </c>
      <c r="C422" t="s">
        <v>437</v>
      </c>
      <c r="D422" t="s">
        <v>437</v>
      </c>
      <c r="E422">
        <v>0</v>
      </c>
    </row>
    <row r="423">
      <c r="A423" t="s">
        <v>17</v>
      </c>
      <c r="B423" t="s">
        <v>30</v>
      </c>
      <c r="C423" t="s">
        <v>384</v>
      </c>
      <c r="D423" t="s">
        <v>384</v>
      </c>
      <c r="E423">
        <v>0</v>
      </c>
    </row>
    <row r="424">
      <c r="A424" t="s">
        <v>17</v>
      </c>
      <c r="B424" t="s">
        <v>14</v>
      </c>
      <c r="C424" t="s">
        <v>328</v>
      </c>
      <c r="D424" t="s">
        <v>328</v>
      </c>
      <c r="E424">
        <v>0</v>
      </c>
    </row>
    <row r="425">
      <c r="A425" t="s">
        <v>17</v>
      </c>
      <c r="B425" t="s">
        <v>50</v>
      </c>
      <c r="C425" t="s">
        <v>410</v>
      </c>
      <c r="D425" t="s">
        <v>410</v>
      </c>
      <c r="E425">
        <v>0</v>
      </c>
    </row>
    <row r="426">
      <c r="A426" t="s">
        <v>17</v>
      </c>
      <c r="B426" t="s">
        <v>254</v>
      </c>
      <c r="C426" t="s">
        <v>293</v>
      </c>
      <c r="D426" t="s">
        <v>293</v>
      </c>
      <c r="E426">
        <v>0</v>
      </c>
    </row>
    <row r="427">
      <c r="A427" t="s">
        <v>17</v>
      </c>
      <c r="B427" t="s">
        <v>31</v>
      </c>
      <c r="C427" t="s">
        <v>261</v>
      </c>
      <c r="D427" t="s">
        <v>261</v>
      </c>
      <c r="E427">
        <v>0</v>
      </c>
    </row>
    <row r="428">
      <c r="A428" t="s">
        <v>17</v>
      </c>
      <c r="B428" t="s">
        <v>63</v>
      </c>
      <c r="C428" t="s">
        <v>166</v>
      </c>
      <c r="D428" t="s">
        <v>166</v>
      </c>
      <c r="E428">
        <v>0</v>
      </c>
    </row>
    <row r="429">
      <c r="A429" t="s">
        <v>17</v>
      </c>
      <c r="B429" t="s">
        <v>197</v>
      </c>
      <c r="C429" t="s">
        <v>314</v>
      </c>
      <c r="D429" t="s">
        <v>314</v>
      </c>
      <c r="E429">
        <v>0</v>
      </c>
    </row>
    <row r="430">
      <c r="A430" t="s">
        <v>17</v>
      </c>
      <c r="B430" t="s">
        <v>60</v>
      </c>
      <c r="C430" t="s">
        <v>54</v>
      </c>
      <c r="D430" t="s">
        <v>54</v>
      </c>
      <c r="E430">
        <v>0</v>
      </c>
    </row>
    <row r="431">
      <c r="A431" t="s">
        <v>17</v>
      </c>
      <c r="B431" t="s">
        <v>263</v>
      </c>
      <c r="C431" t="s">
        <v>405</v>
      </c>
      <c r="D431" t="s">
        <v>405</v>
      </c>
      <c r="E431">
        <v>0</v>
      </c>
    </row>
    <row r="432">
      <c r="A432" t="s">
        <v>17</v>
      </c>
      <c r="B432" t="s">
        <v>45</v>
      </c>
      <c r="C432" t="s">
        <v>183</v>
      </c>
      <c r="D432" t="s">
        <v>183</v>
      </c>
      <c r="E432">
        <v>0</v>
      </c>
    </row>
    <row r="433">
      <c r="A433" t="s">
        <v>17</v>
      </c>
      <c r="B433" t="s">
        <v>153</v>
      </c>
      <c r="C433" t="s">
        <v>375</v>
      </c>
      <c r="D433" t="s">
        <v>375</v>
      </c>
      <c r="E433">
        <v>0</v>
      </c>
    </row>
    <row r="434">
      <c r="A434" t="s">
        <v>17</v>
      </c>
      <c r="B434" t="s">
        <v>174</v>
      </c>
      <c r="C434" t="s">
        <v>195</v>
      </c>
      <c r="D434" t="s">
        <v>195</v>
      </c>
      <c r="E434">
        <v>0</v>
      </c>
    </row>
    <row r="435">
      <c r="A435" t="s">
        <v>17</v>
      </c>
      <c r="B435" t="s">
        <v>105</v>
      </c>
      <c r="C435" t="s">
        <v>442</v>
      </c>
      <c r="D435" t="s">
        <v>442</v>
      </c>
      <c r="E435">
        <v>0</v>
      </c>
    </row>
    <row r="436">
      <c r="A436" t="s">
        <v>17</v>
      </c>
      <c r="B436" t="s">
        <v>363</v>
      </c>
      <c r="C436" t="s">
        <v>460</v>
      </c>
      <c r="D436" t="s">
        <v>460</v>
      </c>
      <c r="E436">
        <v>0</v>
      </c>
    </row>
    <row r="437">
      <c r="A437" t="s">
        <v>17</v>
      </c>
      <c r="B437" t="s">
        <v>344</v>
      </c>
      <c r="C437" t="s">
        <v>361</v>
      </c>
      <c r="D437" t="s">
        <v>361</v>
      </c>
      <c r="E437">
        <v>0</v>
      </c>
    </row>
    <row r="438">
      <c r="A438" t="s">
        <v>43</v>
      </c>
      <c r="B438" t="s">
        <v>96</v>
      </c>
      <c r="C438" t="s">
        <v>411</v>
      </c>
      <c r="D438" t="s">
        <v>411</v>
      </c>
      <c r="E438">
        <v>0</v>
      </c>
    </row>
    <row r="439">
      <c r="A439" t="s">
        <v>43</v>
      </c>
      <c r="B439" t="s">
        <v>276</v>
      </c>
      <c r="C439" t="s">
        <v>277</v>
      </c>
      <c r="D439" t="s">
        <v>277</v>
      </c>
      <c r="E439">
        <v>0</v>
      </c>
    </row>
    <row r="440">
      <c r="A440" t="s">
        <v>43</v>
      </c>
      <c r="B440" t="s">
        <v>81</v>
      </c>
      <c r="C440" t="s">
        <v>463</v>
      </c>
      <c r="D440" t="s">
        <v>463</v>
      </c>
      <c r="E440">
        <v>0</v>
      </c>
    </row>
    <row r="441">
      <c r="A441" t="s">
        <v>43</v>
      </c>
      <c r="B441" t="s">
        <v>137</v>
      </c>
      <c r="C441" t="s">
        <v>205</v>
      </c>
      <c r="D441" t="s">
        <v>205</v>
      </c>
      <c r="E441">
        <v>0</v>
      </c>
    </row>
    <row r="442">
      <c r="A442" t="s">
        <v>43</v>
      </c>
      <c r="B442" t="s">
        <v>196</v>
      </c>
      <c r="C442" t="s">
        <v>264</v>
      </c>
      <c r="D442" t="s">
        <v>264</v>
      </c>
      <c r="E442">
        <v>0</v>
      </c>
    </row>
    <row r="443">
      <c r="A443" t="s">
        <v>43</v>
      </c>
      <c r="B443" t="s">
        <v>95</v>
      </c>
      <c r="C443" t="s">
        <v>452</v>
      </c>
      <c r="D443" t="s">
        <v>452</v>
      </c>
      <c r="E443">
        <v>0</v>
      </c>
    </row>
    <row r="444">
      <c r="A444" t="s">
        <v>43</v>
      </c>
      <c r="B444" t="s">
        <v>85</v>
      </c>
      <c r="C444" t="s">
        <v>202</v>
      </c>
      <c r="D444" t="s">
        <v>202</v>
      </c>
      <c r="E444">
        <v>0</v>
      </c>
    </row>
    <row r="445">
      <c r="A445" t="s">
        <v>43</v>
      </c>
      <c r="B445" t="s">
        <v>83</v>
      </c>
      <c r="C445" t="s">
        <v>456</v>
      </c>
      <c r="D445" t="s">
        <v>456</v>
      </c>
      <c r="E445">
        <v>0</v>
      </c>
    </row>
    <row r="446">
      <c r="A446" t="s">
        <v>43</v>
      </c>
      <c r="B446" t="s">
        <v>12</v>
      </c>
      <c r="C446" t="s">
        <v>385</v>
      </c>
      <c r="D446" t="s">
        <v>385</v>
      </c>
      <c r="E446">
        <v>0</v>
      </c>
    </row>
    <row r="447">
      <c r="A447" t="s">
        <v>43</v>
      </c>
      <c r="B447" t="s">
        <v>198</v>
      </c>
      <c r="C447" t="s">
        <v>458</v>
      </c>
      <c r="D447" t="s">
        <v>458</v>
      </c>
      <c r="E447">
        <v>0</v>
      </c>
    </row>
    <row r="448">
      <c r="A448" t="s">
        <v>43</v>
      </c>
      <c r="B448" t="s">
        <v>250</v>
      </c>
      <c r="C448" t="s">
        <v>369</v>
      </c>
      <c r="D448" t="s">
        <v>369</v>
      </c>
      <c r="E448">
        <v>0</v>
      </c>
    </row>
    <row r="449">
      <c r="A449" t="s">
        <v>43</v>
      </c>
      <c r="B449" t="s">
        <v>71</v>
      </c>
      <c r="C449" t="s">
        <v>350</v>
      </c>
      <c r="D449" t="s">
        <v>350</v>
      </c>
      <c r="E449">
        <v>0</v>
      </c>
    </row>
    <row r="450">
      <c r="A450" t="s">
        <v>43</v>
      </c>
      <c r="B450" t="s">
        <v>80</v>
      </c>
      <c r="C450" t="s">
        <v>76</v>
      </c>
      <c r="D450" t="s">
        <v>76</v>
      </c>
      <c r="E450">
        <v>0</v>
      </c>
    </row>
    <row r="451">
      <c r="A451" t="s">
        <v>43</v>
      </c>
      <c r="B451" t="s">
        <v>103</v>
      </c>
      <c r="C451" t="s">
        <v>350</v>
      </c>
      <c r="D451" t="s">
        <v>350</v>
      </c>
      <c r="E451">
        <v>0</v>
      </c>
    </row>
    <row r="452">
      <c r="A452" t="s">
        <v>43</v>
      </c>
      <c r="B452" t="s">
        <v>118</v>
      </c>
      <c r="C452" t="s">
        <v>127</v>
      </c>
      <c r="D452" t="s">
        <v>127</v>
      </c>
      <c r="E452">
        <v>0</v>
      </c>
    </row>
    <row r="453">
      <c r="A453" t="s">
        <v>43</v>
      </c>
      <c r="B453" t="s">
        <v>265</v>
      </c>
      <c r="C453" t="s">
        <v>437</v>
      </c>
      <c r="D453" t="s">
        <v>437</v>
      </c>
      <c r="E453">
        <v>0</v>
      </c>
    </row>
    <row r="454">
      <c r="A454" t="s">
        <v>43</v>
      </c>
      <c r="B454" t="s">
        <v>59</v>
      </c>
      <c r="C454" t="s">
        <v>456</v>
      </c>
      <c r="D454" t="s">
        <v>456</v>
      </c>
      <c r="E454">
        <v>0</v>
      </c>
    </row>
    <row r="455">
      <c r="A455" t="s">
        <v>43</v>
      </c>
      <c r="B455" t="s">
        <v>315</v>
      </c>
      <c r="C455" t="s">
        <v>314</v>
      </c>
      <c r="D455" t="s">
        <v>314</v>
      </c>
      <c r="E455">
        <v>0</v>
      </c>
    </row>
    <row r="456">
      <c r="A456" t="s">
        <v>43</v>
      </c>
      <c r="B456" t="s">
        <v>98</v>
      </c>
      <c r="C456" t="s">
        <v>268</v>
      </c>
      <c r="D456" t="s">
        <v>268</v>
      </c>
      <c r="E456">
        <v>0</v>
      </c>
    </row>
    <row r="457">
      <c r="A457" t="s">
        <v>43</v>
      </c>
      <c r="B457" t="s">
        <v>222</v>
      </c>
      <c r="C457" t="s">
        <v>249</v>
      </c>
      <c r="D457" t="s">
        <v>249</v>
      </c>
      <c r="E457">
        <v>0</v>
      </c>
    </row>
    <row r="458">
      <c r="A458" t="s">
        <v>43</v>
      </c>
      <c r="B458" t="s">
        <v>217</v>
      </c>
      <c r="C458" t="s">
        <v>410</v>
      </c>
      <c r="D458" t="s">
        <v>410</v>
      </c>
      <c r="E458">
        <v>0</v>
      </c>
    </row>
    <row r="459">
      <c r="A459" t="s">
        <v>43</v>
      </c>
      <c r="B459" t="s">
        <v>22</v>
      </c>
      <c r="C459" t="s">
        <v>387</v>
      </c>
      <c r="D459" t="s">
        <v>387</v>
      </c>
      <c r="E459">
        <v>0</v>
      </c>
    </row>
    <row r="460">
      <c r="A460" t="s">
        <v>43</v>
      </c>
      <c r="B460" t="s">
        <v>129</v>
      </c>
      <c r="C460" t="s">
        <v>195</v>
      </c>
      <c r="D460" t="s">
        <v>195</v>
      </c>
      <c r="E460">
        <v>0</v>
      </c>
    </row>
    <row r="461">
      <c r="A461" t="s">
        <v>43</v>
      </c>
      <c r="B461" t="s">
        <v>75</v>
      </c>
      <c r="C461" t="s">
        <v>376</v>
      </c>
      <c r="D461" t="s">
        <v>376</v>
      </c>
      <c r="E461">
        <v>0</v>
      </c>
    </row>
    <row r="462">
      <c r="A462" t="s">
        <v>43</v>
      </c>
      <c r="B462" t="s">
        <v>39</v>
      </c>
      <c r="C462" t="s">
        <v>286</v>
      </c>
      <c r="D462" t="s">
        <v>286</v>
      </c>
      <c r="E462">
        <v>0</v>
      </c>
    </row>
    <row r="463">
      <c r="A463" t="s">
        <v>43</v>
      </c>
      <c r="B463" t="s">
        <v>68</v>
      </c>
      <c r="C463" t="s">
        <v>456</v>
      </c>
      <c r="D463" t="s">
        <v>456</v>
      </c>
      <c r="E463">
        <v>0</v>
      </c>
    </row>
    <row r="464">
      <c r="A464" t="s">
        <v>43</v>
      </c>
      <c r="B464" t="s">
        <v>207</v>
      </c>
      <c r="C464" t="s">
        <v>384</v>
      </c>
      <c r="D464" t="s">
        <v>384</v>
      </c>
      <c r="E464">
        <v>0</v>
      </c>
    </row>
    <row r="465">
      <c r="A465" t="s">
        <v>43</v>
      </c>
      <c r="B465" t="s">
        <v>190</v>
      </c>
      <c r="C465" t="s">
        <v>386</v>
      </c>
      <c r="D465" t="s">
        <v>386</v>
      </c>
      <c r="E465">
        <v>0</v>
      </c>
    </row>
    <row r="466">
      <c r="A466" t="s">
        <v>43</v>
      </c>
      <c r="B466" t="s">
        <v>91</v>
      </c>
      <c r="C466" t="s">
        <v>390</v>
      </c>
      <c r="D466" t="s">
        <v>390</v>
      </c>
      <c r="E466">
        <v>0</v>
      </c>
    </row>
    <row r="467">
      <c r="A467" t="s">
        <v>43</v>
      </c>
      <c r="B467" t="s">
        <v>37</v>
      </c>
      <c r="C467" t="s">
        <v>179</v>
      </c>
      <c r="D467" t="s">
        <v>179</v>
      </c>
      <c r="E467">
        <v>0</v>
      </c>
    </row>
    <row r="468">
      <c r="A468" t="s">
        <v>43</v>
      </c>
      <c r="B468" t="s">
        <v>208</v>
      </c>
      <c r="C468" t="s">
        <v>426</v>
      </c>
      <c r="D468" t="s">
        <v>426</v>
      </c>
      <c r="E468">
        <v>0</v>
      </c>
    </row>
    <row r="469">
      <c r="A469" t="s">
        <v>43</v>
      </c>
      <c r="B469" t="s">
        <v>35</v>
      </c>
      <c r="C469" t="s">
        <v>249</v>
      </c>
      <c r="D469" t="s">
        <v>249</v>
      </c>
      <c r="E469">
        <v>0</v>
      </c>
    </row>
    <row r="470">
      <c r="A470" t="s">
        <v>43</v>
      </c>
      <c r="B470" t="s">
        <v>147</v>
      </c>
      <c r="C470" t="s">
        <v>183</v>
      </c>
      <c r="D470" t="s">
        <v>183</v>
      </c>
      <c r="E470">
        <v>0</v>
      </c>
    </row>
    <row r="471">
      <c r="A471" t="s">
        <v>43</v>
      </c>
      <c r="B471" t="s">
        <v>116</v>
      </c>
      <c r="C471" t="s">
        <v>114</v>
      </c>
      <c r="D471" t="s">
        <v>114</v>
      </c>
      <c r="E471">
        <v>0</v>
      </c>
    </row>
    <row r="472">
      <c r="A472" t="s">
        <v>43</v>
      </c>
      <c r="B472" t="s">
        <v>170</v>
      </c>
      <c r="C472" t="s">
        <v>408</v>
      </c>
      <c r="D472" t="s">
        <v>408</v>
      </c>
      <c r="E472">
        <v>0</v>
      </c>
    </row>
    <row r="473">
      <c r="A473" t="s">
        <v>43</v>
      </c>
      <c r="B473" t="s">
        <v>6</v>
      </c>
      <c r="C473" t="s">
        <v>84</v>
      </c>
      <c r="D473" t="s">
        <v>84</v>
      </c>
      <c r="E473">
        <v>0</v>
      </c>
    </row>
    <row r="474">
      <c r="A474" t="s">
        <v>43</v>
      </c>
      <c r="B474" t="s">
        <v>87</v>
      </c>
      <c r="C474" t="s">
        <v>199</v>
      </c>
      <c r="D474" t="s">
        <v>199</v>
      </c>
      <c r="E474">
        <v>0</v>
      </c>
    </row>
    <row r="475">
      <c r="A475" t="s">
        <v>43</v>
      </c>
      <c r="B475" t="s">
        <v>211</v>
      </c>
      <c r="C475" t="s">
        <v>238</v>
      </c>
      <c r="D475" t="s">
        <v>238</v>
      </c>
      <c r="E475">
        <v>0</v>
      </c>
    </row>
    <row r="476">
      <c r="A476" t="s">
        <v>43</v>
      </c>
      <c r="B476" t="s">
        <v>160</v>
      </c>
      <c r="C476" t="s">
        <v>253</v>
      </c>
      <c r="D476" t="s">
        <v>253</v>
      </c>
      <c r="E476">
        <v>0</v>
      </c>
    </row>
    <row r="477">
      <c r="A477" t="s">
        <v>43</v>
      </c>
      <c r="B477" t="s">
        <v>113</v>
      </c>
      <c r="C477" t="s">
        <v>329</v>
      </c>
      <c r="D477" t="s">
        <v>329</v>
      </c>
      <c r="E477">
        <v>0</v>
      </c>
    </row>
    <row r="478">
      <c r="A478" t="s">
        <v>43</v>
      </c>
      <c r="B478" t="s">
        <v>206</v>
      </c>
      <c r="C478" t="s">
        <v>447</v>
      </c>
      <c r="D478" t="s">
        <v>447</v>
      </c>
      <c r="E478">
        <v>0</v>
      </c>
    </row>
    <row r="479">
      <c r="A479" t="s">
        <v>43</v>
      </c>
      <c r="B479" t="s">
        <v>20</v>
      </c>
      <c r="C479" t="s">
        <v>238</v>
      </c>
      <c r="D479" t="s">
        <v>238</v>
      </c>
      <c r="E479">
        <v>0</v>
      </c>
    </row>
    <row r="480">
      <c r="A480" t="s">
        <v>43</v>
      </c>
      <c r="B480" t="s">
        <v>192</v>
      </c>
      <c r="C480" t="s">
        <v>301</v>
      </c>
      <c r="D480" t="s">
        <v>301</v>
      </c>
      <c r="E480">
        <v>0</v>
      </c>
    </row>
    <row r="481">
      <c r="A481" t="s">
        <v>43</v>
      </c>
      <c r="B481" t="s">
        <v>258</v>
      </c>
      <c r="C481" t="s">
        <v>259</v>
      </c>
      <c r="D481" t="s">
        <v>259</v>
      </c>
      <c r="E481">
        <v>0</v>
      </c>
    </row>
    <row r="482">
      <c r="A482" t="s">
        <v>43</v>
      </c>
      <c r="B482" t="s">
        <v>128</v>
      </c>
      <c r="C482" t="s">
        <v>460</v>
      </c>
      <c r="D482" t="s">
        <v>460</v>
      </c>
      <c r="E482">
        <v>0</v>
      </c>
    </row>
    <row r="483">
      <c r="A483" t="s">
        <v>43</v>
      </c>
      <c r="B483" t="s">
        <v>257</v>
      </c>
      <c r="C483" t="s">
        <v>392</v>
      </c>
      <c r="D483" t="s">
        <v>392</v>
      </c>
      <c r="E483">
        <v>0</v>
      </c>
    </row>
    <row r="484">
      <c r="A484" t="s">
        <v>43</v>
      </c>
      <c r="B484" t="s">
        <v>327</v>
      </c>
      <c r="C484" t="s">
        <v>328</v>
      </c>
      <c r="D484" t="s">
        <v>328</v>
      </c>
      <c r="E484">
        <v>0</v>
      </c>
    </row>
    <row r="485">
      <c r="A485" t="s">
        <v>43</v>
      </c>
      <c r="B485" t="s">
        <v>63</v>
      </c>
      <c r="C485" t="s">
        <v>62</v>
      </c>
      <c r="D485" t="s">
        <v>62</v>
      </c>
      <c r="E485">
        <v>0</v>
      </c>
    </row>
    <row r="486">
      <c r="A486" t="s">
        <v>43</v>
      </c>
      <c r="B486" t="s">
        <v>302</v>
      </c>
      <c r="C486" t="s">
        <v>318</v>
      </c>
      <c r="D486" t="s">
        <v>318</v>
      </c>
      <c r="E486">
        <v>0</v>
      </c>
    </row>
    <row r="487">
      <c r="A487" t="s">
        <v>43</v>
      </c>
      <c r="B487" t="s">
        <v>67</v>
      </c>
      <c r="C487" t="s">
        <v>427</v>
      </c>
      <c r="D487" t="s">
        <v>427</v>
      </c>
      <c r="E487">
        <v>0</v>
      </c>
    </row>
    <row r="488">
      <c r="A488" t="s">
        <v>43</v>
      </c>
      <c r="B488" t="s">
        <v>105</v>
      </c>
      <c r="C488" t="s">
        <v>164</v>
      </c>
      <c r="D488" t="s">
        <v>164</v>
      </c>
      <c r="E488">
        <v>0</v>
      </c>
    </row>
    <row r="489">
      <c r="A489" t="s">
        <v>43</v>
      </c>
      <c r="B489" t="s">
        <v>204</v>
      </c>
      <c r="C489" t="s">
        <v>203</v>
      </c>
      <c r="D489" t="s">
        <v>203</v>
      </c>
      <c r="E489">
        <v>0</v>
      </c>
    </row>
    <row r="490">
      <c r="A490" t="s">
        <v>43</v>
      </c>
      <c r="B490" t="s">
        <v>215</v>
      </c>
      <c r="C490" t="s">
        <v>416</v>
      </c>
      <c r="D490" t="s">
        <v>416</v>
      </c>
      <c r="E490">
        <v>0</v>
      </c>
    </row>
    <row r="491">
      <c r="A491" t="s">
        <v>28</v>
      </c>
      <c r="B491" t="s">
        <v>291</v>
      </c>
      <c r="C491" t="s">
        <v>290</v>
      </c>
      <c r="D491" t="s">
        <v>290</v>
      </c>
      <c r="E491">
        <v>0</v>
      </c>
    </row>
    <row r="492">
      <c r="A492" t="s">
        <v>28</v>
      </c>
      <c r="B492" t="s">
        <v>284</v>
      </c>
      <c r="C492" t="s">
        <v>309</v>
      </c>
      <c r="D492" t="s">
        <v>309</v>
      </c>
      <c r="E492">
        <v>0</v>
      </c>
    </row>
    <row r="493">
      <c r="A493" t="s">
        <v>28</v>
      </c>
      <c r="B493" t="s">
        <v>142</v>
      </c>
      <c r="C493" t="s">
        <v>141</v>
      </c>
      <c r="D493" t="s">
        <v>141</v>
      </c>
      <c r="E493">
        <v>0</v>
      </c>
    </row>
    <row r="494">
      <c r="A494" t="s">
        <v>28</v>
      </c>
      <c r="B494" t="s">
        <v>135</v>
      </c>
      <c r="C494" t="s">
        <v>361</v>
      </c>
      <c r="D494" t="s">
        <v>361</v>
      </c>
      <c r="E494">
        <v>0</v>
      </c>
    </row>
    <row r="495">
      <c r="A495" t="s">
        <v>28</v>
      </c>
      <c r="B495" t="s">
        <v>161</v>
      </c>
      <c r="C495" t="s">
        <v>195</v>
      </c>
      <c r="D495" t="s">
        <v>195</v>
      </c>
      <c r="E495">
        <v>0</v>
      </c>
    </row>
    <row r="496">
      <c r="A496" t="s">
        <v>28</v>
      </c>
      <c r="B496" t="s">
        <v>365</v>
      </c>
      <c r="C496" t="s">
        <v>454</v>
      </c>
      <c r="D496" t="s">
        <v>454</v>
      </c>
      <c r="E496">
        <v>0</v>
      </c>
    </row>
    <row r="497">
      <c r="A497" t="s">
        <v>28</v>
      </c>
      <c r="B497" t="s">
        <v>240</v>
      </c>
      <c r="C497" t="s">
        <v>238</v>
      </c>
      <c r="D497" t="s">
        <v>238</v>
      </c>
      <c r="E497">
        <v>0</v>
      </c>
    </row>
    <row r="498">
      <c r="A498" t="s">
        <v>28</v>
      </c>
      <c r="B498" t="s">
        <v>16</v>
      </c>
      <c r="C498" t="s">
        <v>224</v>
      </c>
      <c r="D498" t="s">
        <v>224</v>
      </c>
      <c r="E498">
        <v>0</v>
      </c>
    </row>
    <row r="499">
      <c r="A499" t="s">
        <v>28</v>
      </c>
      <c r="B499" t="s">
        <v>71</v>
      </c>
      <c r="C499" t="s">
        <v>405</v>
      </c>
      <c r="D499" t="s">
        <v>405</v>
      </c>
      <c r="E499">
        <v>0</v>
      </c>
    </row>
    <row r="500">
      <c r="A500" t="s">
        <v>28</v>
      </c>
      <c r="B500" t="s">
        <v>80</v>
      </c>
      <c r="C500" t="s">
        <v>127</v>
      </c>
      <c r="D500" t="s">
        <v>127</v>
      </c>
      <c r="E500">
        <v>0</v>
      </c>
    </row>
    <row r="501">
      <c r="A501" t="s">
        <v>28</v>
      </c>
      <c r="B501" t="s">
        <v>118</v>
      </c>
      <c r="C501" t="s">
        <v>183</v>
      </c>
      <c r="D501" t="s">
        <v>183</v>
      </c>
      <c r="E501">
        <v>0</v>
      </c>
    </row>
    <row r="502">
      <c r="A502" t="s">
        <v>28</v>
      </c>
      <c r="B502" t="s">
        <v>115</v>
      </c>
      <c r="C502" t="s">
        <v>421</v>
      </c>
      <c r="D502" t="s">
        <v>421</v>
      </c>
      <c r="E502">
        <v>0</v>
      </c>
    </row>
    <row r="503">
      <c r="A503" t="s">
        <v>28</v>
      </c>
      <c r="B503" t="s">
        <v>165</v>
      </c>
      <c r="C503" t="s">
        <v>164</v>
      </c>
      <c r="D503" t="s">
        <v>164</v>
      </c>
      <c r="E503">
        <v>0</v>
      </c>
    </row>
    <row r="504">
      <c r="A504" t="s">
        <v>28</v>
      </c>
      <c r="B504" t="s">
        <v>217</v>
      </c>
      <c r="C504" t="s">
        <v>441</v>
      </c>
      <c r="D504" t="s">
        <v>441</v>
      </c>
      <c r="E504">
        <v>0</v>
      </c>
    </row>
    <row r="505">
      <c r="A505" t="s">
        <v>28</v>
      </c>
      <c r="B505" t="s">
        <v>110</v>
      </c>
      <c r="C505" t="s">
        <v>109</v>
      </c>
      <c r="D505" t="s">
        <v>109</v>
      </c>
      <c r="E505">
        <v>0</v>
      </c>
    </row>
    <row r="506">
      <c r="A506" t="s">
        <v>28</v>
      </c>
      <c r="B506" t="s">
        <v>22</v>
      </c>
      <c r="C506" t="s">
        <v>36</v>
      </c>
      <c r="D506" t="s">
        <v>36</v>
      </c>
      <c r="E506">
        <v>0</v>
      </c>
    </row>
    <row r="507">
      <c r="A507" t="s">
        <v>28</v>
      </c>
      <c r="B507" t="s">
        <v>287</v>
      </c>
      <c r="C507" t="s">
        <v>286</v>
      </c>
      <c r="D507" t="s">
        <v>286</v>
      </c>
      <c r="E507">
        <v>0</v>
      </c>
    </row>
    <row r="508">
      <c r="A508" t="s">
        <v>28</v>
      </c>
      <c r="B508" t="s">
        <v>214</v>
      </c>
      <c r="C508" t="s">
        <v>409</v>
      </c>
      <c r="D508" t="s">
        <v>409</v>
      </c>
      <c r="E508">
        <v>0</v>
      </c>
    </row>
    <row r="509">
      <c r="A509" t="s">
        <v>28</v>
      </c>
      <c r="B509" t="s">
        <v>55</v>
      </c>
      <c r="C509" t="s">
        <v>293</v>
      </c>
      <c r="D509" t="s">
        <v>293</v>
      </c>
      <c r="E509">
        <v>0</v>
      </c>
    </row>
    <row r="510">
      <c r="A510" t="s">
        <v>28</v>
      </c>
      <c r="B510" t="s">
        <v>61</v>
      </c>
      <c r="C510" t="s">
        <v>433</v>
      </c>
      <c r="D510" t="s">
        <v>433</v>
      </c>
      <c r="E510">
        <v>0</v>
      </c>
    </row>
    <row r="511">
      <c r="A511" t="s">
        <v>28</v>
      </c>
      <c r="B511" t="s">
        <v>29</v>
      </c>
      <c r="C511" t="s">
        <v>27</v>
      </c>
      <c r="D511" t="s">
        <v>27</v>
      </c>
      <c r="E511">
        <v>0</v>
      </c>
    </row>
    <row r="512">
      <c r="A512" t="s">
        <v>28</v>
      </c>
      <c r="B512" t="s">
        <v>237</v>
      </c>
      <c r="C512" t="s">
        <v>458</v>
      </c>
      <c r="D512" t="s">
        <v>458</v>
      </c>
      <c r="E512">
        <v>0</v>
      </c>
    </row>
    <row r="513">
      <c r="A513" t="s">
        <v>28</v>
      </c>
      <c r="B513" t="s">
        <v>39</v>
      </c>
      <c r="C513" t="s">
        <v>397</v>
      </c>
      <c r="D513" t="s">
        <v>397</v>
      </c>
      <c r="E513">
        <v>0</v>
      </c>
    </row>
    <row r="514">
      <c r="A514" t="s">
        <v>28</v>
      </c>
      <c r="B514" t="s">
        <v>68</v>
      </c>
      <c r="C514" t="s">
        <v>66</v>
      </c>
      <c r="D514" t="s">
        <v>66</v>
      </c>
      <c r="E514">
        <v>0</v>
      </c>
    </row>
    <row r="515">
      <c r="A515" t="s">
        <v>28</v>
      </c>
      <c r="B515" t="s">
        <v>209</v>
      </c>
      <c r="C515" t="s">
        <v>410</v>
      </c>
      <c r="D515" t="s">
        <v>410</v>
      </c>
      <c r="E515">
        <v>0</v>
      </c>
    </row>
    <row r="516">
      <c r="A516" t="s">
        <v>28</v>
      </c>
      <c r="B516" t="s">
        <v>163</v>
      </c>
      <c r="C516" t="s">
        <v>303</v>
      </c>
      <c r="D516" t="s">
        <v>303</v>
      </c>
      <c r="E516">
        <v>0</v>
      </c>
    </row>
    <row r="517">
      <c r="A517" t="s">
        <v>28</v>
      </c>
      <c r="B517" t="s">
        <v>248</v>
      </c>
      <c r="C517" t="s">
        <v>247</v>
      </c>
      <c r="D517" t="s">
        <v>247</v>
      </c>
      <c r="E517">
        <v>0</v>
      </c>
    </row>
    <row r="518">
      <c r="A518" t="s">
        <v>28</v>
      </c>
      <c r="B518" t="s">
        <v>151</v>
      </c>
      <c r="C518" t="s">
        <v>309</v>
      </c>
      <c r="D518" t="s">
        <v>309</v>
      </c>
      <c r="E518">
        <v>0</v>
      </c>
    </row>
    <row r="519">
      <c r="A519" t="s">
        <v>28</v>
      </c>
      <c r="B519" t="s">
        <v>267</v>
      </c>
      <c r="C519" t="s">
        <v>455</v>
      </c>
      <c r="D519" t="s">
        <v>455</v>
      </c>
      <c r="E519">
        <v>0</v>
      </c>
    </row>
    <row r="520">
      <c r="A520" t="s">
        <v>28</v>
      </c>
      <c r="B520" t="s">
        <v>190</v>
      </c>
      <c r="C520" t="s">
        <v>317</v>
      </c>
      <c r="D520" t="s">
        <v>317</v>
      </c>
      <c r="E520">
        <v>0</v>
      </c>
    </row>
    <row r="521">
      <c r="A521" t="s">
        <v>28</v>
      </c>
      <c r="B521" t="s">
        <v>119</v>
      </c>
      <c r="C521" t="s">
        <v>425</v>
      </c>
      <c r="D521" t="s">
        <v>425</v>
      </c>
      <c r="E521">
        <v>0</v>
      </c>
    </row>
    <row r="522">
      <c r="A522" t="s">
        <v>28</v>
      </c>
      <c r="B522" t="s">
        <v>227</v>
      </c>
      <c r="C522" t="s">
        <v>228</v>
      </c>
      <c r="D522" t="s">
        <v>228</v>
      </c>
      <c r="E522">
        <v>0</v>
      </c>
    </row>
    <row r="523">
      <c r="A523" t="s">
        <v>28</v>
      </c>
      <c r="B523" t="s">
        <v>241</v>
      </c>
      <c r="C523" t="s">
        <v>385</v>
      </c>
      <c r="D523" t="s">
        <v>385</v>
      </c>
      <c r="E523">
        <v>0</v>
      </c>
    </row>
    <row r="524">
      <c r="A524" t="s">
        <v>28</v>
      </c>
      <c r="B524" t="s">
        <v>147</v>
      </c>
      <c r="C524" t="s">
        <v>164</v>
      </c>
      <c r="D524" t="s">
        <v>164</v>
      </c>
      <c r="E524">
        <v>0</v>
      </c>
    </row>
    <row r="525">
      <c r="A525" t="s">
        <v>28</v>
      </c>
      <c r="B525" t="s">
        <v>87</v>
      </c>
      <c r="C525" t="s">
        <v>282</v>
      </c>
      <c r="D525" t="s">
        <v>282</v>
      </c>
      <c r="E525">
        <v>0</v>
      </c>
    </row>
    <row r="526">
      <c r="A526" t="s">
        <v>28</v>
      </c>
      <c r="B526" t="s">
        <v>97</v>
      </c>
      <c r="C526" t="s">
        <v>397</v>
      </c>
      <c r="D526" t="s">
        <v>397</v>
      </c>
      <c r="E526">
        <v>0</v>
      </c>
    </row>
    <row r="527">
      <c r="A527" t="s">
        <v>28</v>
      </c>
      <c r="B527" t="s">
        <v>292</v>
      </c>
      <c r="C527" t="s">
        <v>351</v>
      </c>
      <c r="D527" t="s">
        <v>351</v>
      </c>
      <c r="E527">
        <v>0</v>
      </c>
    </row>
    <row r="528">
      <c r="A528" t="s">
        <v>28</v>
      </c>
      <c r="B528" t="s">
        <v>158</v>
      </c>
      <c r="C528" t="s">
        <v>346</v>
      </c>
      <c r="D528" t="s">
        <v>346</v>
      </c>
      <c r="E528">
        <v>0</v>
      </c>
    </row>
    <row r="529">
      <c r="A529" t="s">
        <v>28</v>
      </c>
      <c r="B529" t="s">
        <v>25</v>
      </c>
      <c r="C529" t="s">
        <v>295</v>
      </c>
      <c r="D529" t="s">
        <v>295</v>
      </c>
      <c r="E529">
        <v>0</v>
      </c>
    </row>
    <row r="530">
      <c r="A530" t="s">
        <v>28</v>
      </c>
      <c r="B530" t="s">
        <v>89</v>
      </c>
      <c r="C530" t="s">
        <v>456</v>
      </c>
      <c r="D530" t="s">
        <v>456</v>
      </c>
      <c r="E530">
        <v>0</v>
      </c>
    </row>
    <row r="531">
      <c r="A531" t="s">
        <v>28</v>
      </c>
      <c r="B531" t="s">
        <v>106</v>
      </c>
      <c r="C531" t="s">
        <v>107</v>
      </c>
      <c r="D531" t="s">
        <v>107</v>
      </c>
      <c r="E531">
        <v>0</v>
      </c>
    </row>
    <row r="532">
      <c r="A532" t="s">
        <v>28</v>
      </c>
      <c r="B532" t="s">
        <v>20</v>
      </c>
      <c r="C532" t="s">
        <v>431</v>
      </c>
      <c r="D532" t="s">
        <v>431</v>
      </c>
      <c r="E532">
        <v>0</v>
      </c>
    </row>
    <row r="533">
      <c r="A533" t="s">
        <v>28</v>
      </c>
      <c r="B533" t="s">
        <v>192</v>
      </c>
      <c r="C533" t="s">
        <v>415</v>
      </c>
      <c r="D533" t="s">
        <v>415</v>
      </c>
      <c r="E533">
        <v>0</v>
      </c>
    </row>
    <row r="534">
      <c r="A534" t="s">
        <v>28</v>
      </c>
      <c r="B534" t="s">
        <v>69</v>
      </c>
      <c r="C534" t="s">
        <v>323</v>
      </c>
      <c r="D534" t="s">
        <v>323</v>
      </c>
      <c r="E534">
        <v>0</v>
      </c>
    </row>
    <row r="535">
      <c r="A535" t="s">
        <v>28</v>
      </c>
      <c r="B535" t="s">
        <v>50</v>
      </c>
      <c r="C535" t="s">
        <v>141</v>
      </c>
      <c r="D535" t="s">
        <v>141</v>
      </c>
      <c r="E535">
        <v>0</v>
      </c>
    </row>
    <row r="536">
      <c r="A536" t="s">
        <v>28</v>
      </c>
      <c r="B536" t="s">
        <v>257</v>
      </c>
      <c r="C536" t="s">
        <v>388</v>
      </c>
      <c r="D536" t="s">
        <v>388</v>
      </c>
      <c r="E536">
        <v>0</v>
      </c>
    </row>
    <row r="537">
      <c r="A537" t="s">
        <v>28</v>
      </c>
      <c r="B537" t="s">
        <v>177</v>
      </c>
      <c r="C537" t="s">
        <v>210</v>
      </c>
      <c r="D537" t="s">
        <v>210</v>
      </c>
      <c r="E537">
        <v>0</v>
      </c>
    </row>
    <row r="538">
      <c r="A538" t="s">
        <v>28</v>
      </c>
      <c r="B538" t="s">
        <v>63</v>
      </c>
      <c r="C538" t="s">
        <v>377</v>
      </c>
      <c r="D538" t="s">
        <v>377</v>
      </c>
      <c r="E538">
        <v>0</v>
      </c>
    </row>
    <row r="539">
      <c r="A539" t="s">
        <v>28</v>
      </c>
      <c r="B539" t="s">
        <v>331</v>
      </c>
      <c r="C539" t="s">
        <v>442</v>
      </c>
      <c r="D539" t="s">
        <v>442</v>
      </c>
      <c r="E539">
        <v>0</v>
      </c>
    </row>
    <row r="540">
      <c r="A540" t="s">
        <v>28</v>
      </c>
      <c r="B540" t="s">
        <v>44</v>
      </c>
      <c r="C540" t="s">
        <v>369</v>
      </c>
      <c r="D540" t="s">
        <v>369</v>
      </c>
      <c r="E540">
        <v>0</v>
      </c>
    </row>
    <row r="541">
      <c r="A541" t="s">
        <v>28</v>
      </c>
      <c r="B541" t="s">
        <v>123</v>
      </c>
      <c r="C541" t="s">
        <v>367</v>
      </c>
      <c r="D541" t="s">
        <v>367</v>
      </c>
      <c r="E541">
        <v>0</v>
      </c>
    </row>
    <row r="542">
      <c r="A542" t="s">
        <v>28</v>
      </c>
      <c r="B542" t="s">
        <v>99</v>
      </c>
      <c r="C542" t="s">
        <v>145</v>
      </c>
      <c r="D542" t="s">
        <v>145</v>
      </c>
      <c r="E542">
        <v>0</v>
      </c>
    </row>
    <row r="543">
      <c r="A543" t="s">
        <v>28</v>
      </c>
      <c r="B543" t="s">
        <v>45</v>
      </c>
      <c r="C543" t="s">
        <v>408</v>
      </c>
      <c r="D543" t="s">
        <v>408</v>
      </c>
      <c r="E543">
        <v>0</v>
      </c>
    </row>
    <row r="544">
      <c r="A544" t="s">
        <v>28</v>
      </c>
      <c r="B544" t="s">
        <v>174</v>
      </c>
      <c r="C544" t="s">
        <v>376</v>
      </c>
      <c r="D544" t="s">
        <v>376</v>
      </c>
      <c r="E544">
        <v>0</v>
      </c>
    </row>
    <row r="545">
      <c r="A545" t="s">
        <v>28</v>
      </c>
      <c r="B545" t="s">
        <v>56</v>
      </c>
      <c r="C545" t="s">
        <v>388</v>
      </c>
      <c r="D545" t="s">
        <v>388</v>
      </c>
      <c r="E545">
        <v>0</v>
      </c>
    </row>
    <row r="546">
      <c r="A546" t="s">
        <v>28</v>
      </c>
      <c r="B546" t="s">
        <v>204</v>
      </c>
      <c r="C546" t="s">
        <v>449</v>
      </c>
      <c r="D546" t="s">
        <v>449</v>
      </c>
      <c r="E546">
        <v>0</v>
      </c>
    </row>
    <row r="547">
      <c r="A547" t="s">
        <v>57</v>
      </c>
      <c r="B547" t="s">
        <v>189</v>
      </c>
      <c r="C547" t="s">
        <v>187</v>
      </c>
      <c r="D547" t="s">
        <v>187</v>
      </c>
      <c r="E547">
        <v>0</v>
      </c>
    </row>
    <row r="548">
      <c r="A548" t="s">
        <v>57</v>
      </c>
      <c r="B548" t="s">
        <v>18</v>
      </c>
      <c r="C548" t="s">
        <v>328</v>
      </c>
      <c r="D548" t="s">
        <v>328</v>
      </c>
      <c r="E548">
        <v>0</v>
      </c>
    </row>
    <row r="549">
      <c r="A549" t="s">
        <v>57</v>
      </c>
      <c r="B549" t="s">
        <v>284</v>
      </c>
      <c r="C549" t="s">
        <v>335</v>
      </c>
      <c r="D549" t="s">
        <v>335</v>
      </c>
      <c r="E549">
        <v>0</v>
      </c>
    </row>
    <row r="550">
      <c r="A550" t="s">
        <v>57</v>
      </c>
      <c r="B550" t="s">
        <v>142</v>
      </c>
      <c r="C550" t="s">
        <v>279</v>
      </c>
      <c r="D550" t="s">
        <v>279</v>
      </c>
      <c r="E550">
        <v>0</v>
      </c>
    </row>
    <row r="551">
      <c r="A551" t="s">
        <v>57</v>
      </c>
      <c r="B551" t="s">
        <v>231</v>
      </c>
      <c r="C551" t="s">
        <v>464</v>
      </c>
      <c r="D551" t="s">
        <v>464</v>
      </c>
      <c r="E551">
        <v>0</v>
      </c>
    </row>
    <row r="552">
      <c r="A552" t="s">
        <v>57</v>
      </c>
      <c r="B552" t="s">
        <v>256</v>
      </c>
      <c r="C552" t="s">
        <v>328</v>
      </c>
      <c r="D552" t="s">
        <v>328</v>
      </c>
      <c r="E552">
        <v>0</v>
      </c>
    </row>
    <row r="553">
      <c r="A553" t="s">
        <v>57</v>
      </c>
      <c r="B553" t="s">
        <v>161</v>
      </c>
      <c r="C553" t="s">
        <v>388</v>
      </c>
      <c r="D553" t="s">
        <v>388</v>
      </c>
      <c r="E553">
        <v>0</v>
      </c>
    </row>
    <row r="554">
      <c r="A554" t="s">
        <v>57</v>
      </c>
      <c r="B554" t="s">
        <v>272</v>
      </c>
      <c r="C554" t="s">
        <v>449</v>
      </c>
      <c r="D554" t="s">
        <v>449</v>
      </c>
      <c r="E554">
        <v>0</v>
      </c>
    </row>
    <row r="555">
      <c r="A555" t="s">
        <v>57</v>
      </c>
      <c r="B555" t="s">
        <v>140</v>
      </c>
      <c r="C555" t="s">
        <v>139</v>
      </c>
      <c r="D555" t="s">
        <v>139</v>
      </c>
      <c r="E555">
        <v>0</v>
      </c>
    </row>
    <row r="556">
      <c r="A556" t="s">
        <v>57</v>
      </c>
      <c r="B556" t="s">
        <v>71</v>
      </c>
      <c r="C556" t="s">
        <v>232</v>
      </c>
      <c r="D556" t="s">
        <v>232</v>
      </c>
      <c r="E556">
        <v>0</v>
      </c>
    </row>
    <row r="557">
      <c r="A557" t="s">
        <v>57</v>
      </c>
      <c r="B557" t="s">
        <v>103</v>
      </c>
      <c r="C557" t="s">
        <v>173</v>
      </c>
      <c r="D557" t="s">
        <v>173</v>
      </c>
      <c r="E557">
        <v>0</v>
      </c>
    </row>
    <row r="558">
      <c r="A558" t="s">
        <v>57</v>
      </c>
      <c r="B558" t="s">
        <v>59</v>
      </c>
      <c r="C558" t="s">
        <v>286</v>
      </c>
      <c r="D558" t="s">
        <v>286</v>
      </c>
      <c r="E558">
        <v>0</v>
      </c>
    </row>
    <row r="559">
      <c r="A559" t="s">
        <v>57</v>
      </c>
      <c r="B559" t="s">
        <v>98</v>
      </c>
      <c r="C559" t="s">
        <v>94</v>
      </c>
      <c r="D559" t="s">
        <v>94</v>
      </c>
      <c r="E559">
        <v>0</v>
      </c>
    </row>
    <row r="560">
      <c r="A560" t="s">
        <v>57</v>
      </c>
      <c r="B560" t="s">
        <v>222</v>
      </c>
      <c r="C560" t="s">
        <v>446</v>
      </c>
      <c r="D560" t="s">
        <v>446</v>
      </c>
      <c r="E560">
        <v>0</v>
      </c>
    </row>
    <row r="561">
      <c r="A561" t="s">
        <v>57</v>
      </c>
      <c r="B561" t="s">
        <v>217</v>
      </c>
      <c r="C561" t="s">
        <v>216</v>
      </c>
      <c r="D561" t="s">
        <v>216</v>
      </c>
      <c r="E561">
        <v>0</v>
      </c>
    </row>
    <row r="562">
      <c r="A562" t="s">
        <v>57</v>
      </c>
      <c r="B562" t="s">
        <v>110</v>
      </c>
      <c r="C562" t="s">
        <v>221</v>
      </c>
      <c r="D562" t="s">
        <v>221</v>
      </c>
      <c r="E562">
        <v>0</v>
      </c>
    </row>
    <row r="563">
      <c r="A563" t="s">
        <v>57</v>
      </c>
      <c r="B563" t="s">
        <v>130</v>
      </c>
      <c r="C563" t="s">
        <v>405</v>
      </c>
      <c r="D563" t="s">
        <v>405</v>
      </c>
      <c r="E563">
        <v>0</v>
      </c>
    </row>
    <row r="564">
      <c r="A564" t="s">
        <v>57</v>
      </c>
      <c r="B564" t="s">
        <v>162</v>
      </c>
      <c r="C564" t="s">
        <v>167</v>
      </c>
      <c r="D564" t="s">
        <v>167</v>
      </c>
      <c r="E564">
        <v>0</v>
      </c>
    </row>
    <row r="565">
      <c r="A565" t="s">
        <v>57</v>
      </c>
      <c r="B565" t="s">
        <v>129</v>
      </c>
      <c r="C565" t="s">
        <v>320</v>
      </c>
      <c r="D565" t="s">
        <v>320</v>
      </c>
      <c r="E565">
        <v>0</v>
      </c>
    </row>
    <row r="566">
      <c r="A566" t="s">
        <v>57</v>
      </c>
      <c r="B566" t="s">
        <v>92</v>
      </c>
      <c r="C566" t="s">
        <v>358</v>
      </c>
      <c r="D566" t="s">
        <v>358</v>
      </c>
      <c r="E566">
        <v>0</v>
      </c>
    </row>
    <row r="567">
      <c r="A567" t="s">
        <v>57</v>
      </c>
      <c r="B567" t="s">
        <v>29</v>
      </c>
      <c r="C567" t="s">
        <v>347</v>
      </c>
      <c r="D567" t="s">
        <v>347</v>
      </c>
      <c r="E567">
        <v>0</v>
      </c>
    </row>
    <row r="568">
      <c r="A568" t="s">
        <v>57</v>
      </c>
      <c r="B568" t="s">
        <v>237</v>
      </c>
      <c r="C568" t="s">
        <v>238</v>
      </c>
      <c r="D568" t="s">
        <v>238</v>
      </c>
      <c r="E568">
        <v>0</v>
      </c>
    </row>
    <row r="569">
      <c r="A569" t="s">
        <v>57</v>
      </c>
      <c r="B569" t="s">
        <v>138</v>
      </c>
      <c r="C569" t="s">
        <v>261</v>
      </c>
      <c r="D569" t="s">
        <v>261</v>
      </c>
      <c r="E569">
        <v>0</v>
      </c>
    </row>
    <row r="570">
      <c r="A570" t="s">
        <v>57</v>
      </c>
      <c r="B570" t="s">
        <v>65</v>
      </c>
      <c r="C570" t="s">
        <v>351</v>
      </c>
      <c r="D570" t="s">
        <v>351</v>
      </c>
      <c r="E570">
        <v>0</v>
      </c>
    </row>
    <row r="571">
      <c r="A571" t="s">
        <v>57</v>
      </c>
      <c r="B571" t="s">
        <v>163</v>
      </c>
      <c r="C571" t="s">
        <v>159</v>
      </c>
      <c r="D571" t="s">
        <v>159</v>
      </c>
      <c r="E571">
        <v>0</v>
      </c>
    </row>
    <row r="572">
      <c r="A572" t="s">
        <v>57</v>
      </c>
      <c r="B572" t="s">
        <v>182</v>
      </c>
      <c r="C572" t="s">
        <v>180</v>
      </c>
      <c r="D572" t="s">
        <v>180</v>
      </c>
      <c r="E572">
        <v>0</v>
      </c>
    </row>
    <row r="573">
      <c r="A573" t="s">
        <v>57</v>
      </c>
      <c r="B573" t="s">
        <v>248</v>
      </c>
      <c r="C573" t="s">
        <v>333</v>
      </c>
      <c r="D573" t="s">
        <v>333</v>
      </c>
      <c r="E573">
        <v>0</v>
      </c>
    </row>
    <row r="574">
      <c r="A574" t="s">
        <v>57</v>
      </c>
      <c r="B574" t="s">
        <v>190</v>
      </c>
      <c r="C574" t="s">
        <v>440</v>
      </c>
      <c r="D574" t="s">
        <v>440</v>
      </c>
      <c r="E574">
        <v>0</v>
      </c>
    </row>
    <row r="575">
      <c r="A575" t="s">
        <v>57</v>
      </c>
      <c r="B575" t="s">
        <v>91</v>
      </c>
      <c r="C575" t="s">
        <v>440</v>
      </c>
      <c r="D575" t="s">
        <v>440</v>
      </c>
      <c r="E575">
        <v>0</v>
      </c>
    </row>
    <row r="576">
      <c r="A576" t="s">
        <v>57</v>
      </c>
      <c r="B576" t="s">
        <v>186</v>
      </c>
      <c r="C576" t="s">
        <v>286</v>
      </c>
      <c r="D576" t="s">
        <v>286</v>
      </c>
      <c r="E576">
        <v>0</v>
      </c>
    </row>
    <row r="577">
      <c r="A577" t="s">
        <v>57</v>
      </c>
      <c r="B577" t="s">
        <v>252</v>
      </c>
      <c r="C577" t="s">
        <v>375</v>
      </c>
      <c r="D577" t="s">
        <v>375</v>
      </c>
      <c r="E577">
        <v>0</v>
      </c>
    </row>
    <row r="578">
      <c r="A578" t="s">
        <v>57</v>
      </c>
      <c r="B578" t="s">
        <v>147</v>
      </c>
      <c r="C578" t="s">
        <v>282</v>
      </c>
      <c r="D578" t="s">
        <v>282</v>
      </c>
      <c r="E578">
        <v>0</v>
      </c>
    </row>
    <row r="579">
      <c r="A579" t="s">
        <v>57</v>
      </c>
      <c r="B579" t="s">
        <v>6</v>
      </c>
      <c r="C579" t="s">
        <v>318</v>
      </c>
      <c r="D579" t="s">
        <v>318</v>
      </c>
      <c r="E579">
        <v>0</v>
      </c>
    </row>
    <row r="580">
      <c r="A580" t="s">
        <v>57</v>
      </c>
      <c r="B580" t="s">
        <v>246</v>
      </c>
      <c r="C580" t="s">
        <v>393</v>
      </c>
      <c r="D580" t="s">
        <v>393</v>
      </c>
      <c r="E580">
        <v>0</v>
      </c>
    </row>
    <row r="581">
      <c r="A581" t="s">
        <v>57</v>
      </c>
      <c r="B581" t="s">
        <v>97</v>
      </c>
      <c r="C581" t="s">
        <v>187</v>
      </c>
      <c r="D581" t="s">
        <v>187</v>
      </c>
      <c r="E581">
        <v>0</v>
      </c>
    </row>
    <row r="582">
      <c r="A582" t="s">
        <v>57</v>
      </c>
      <c r="B582" t="s">
        <v>200</v>
      </c>
      <c r="C582" t="s">
        <v>199</v>
      </c>
      <c r="D582" t="s">
        <v>199</v>
      </c>
      <c r="E582">
        <v>0</v>
      </c>
    </row>
    <row r="583">
      <c r="A583" t="s">
        <v>57</v>
      </c>
      <c r="B583" t="s">
        <v>25</v>
      </c>
      <c r="C583" t="s">
        <v>86</v>
      </c>
      <c r="D583" t="s">
        <v>86</v>
      </c>
      <c r="E583">
        <v>0</v>
      </c>
    </row>
    <row r="584">
      <c r="A584" t="s">
        <v>57</v>
      </c>
      <c r="B584" t="s">
        <v>239</v>
      </c>
      <c r="C584" t="s">
        <v>421</v>
      </c>
      <c r="D584" t="s">
        <v>421</v>
      </c>
      <c r="E584">
        <v>0</v>
      </c>
    </row>
    <row r="585">
      <c r="A585" t="s">
        <v>57</v>
      </c>
      <c r="B585" t="s">
        <v>89</v>
      </c>
      <c r="C585" t="s">
        <v>88</v>
      </c>
      <c r="D585" t="s">
        <v>88</v>
      </c>
      <c r="E585">
        <v>0</v>
      </c>
    </row>
    <row r="586">
      <c r="A586" t="s">
        <v>57</v>
      </c>
      <c r="B586" t="s">
        <v>52</v>
      </c>
      <c r="C586" t="s">
        <v>402</v>
      </c>
      <c r="D586" t="s">
        <v>402</v>
      </c>
      <c r="E586">
        <v>0</v>
      </c>
    </row>
    <row r="587">
      <c r="A587" t="s">
        <v>57</v>
      </c>
      <c r="B587" t="s">
        <v>234</v>
      </c>
      <c r="C587" t="s">
        <v>456</v>
      </c>
      <c r="D587" t="s">
        <v>456</v>
      </c>
      <c r="E587">
        <v>0</v>
      </c>
    </row>
    <row r="588">
      <c r="A588" t="s">
        <v>57</v>
      </c>
      <c r="B588" t="s">
        <v>181</v>
      </c>
      <c r="C588" t="s">
        <v>337</v>
      </c>
      <c r="D588" t="s">
        <v>337</v>
      </c>
      <c r="E588">
        <v>0</v>
      </c>
    </row>
    <row r="589">
      <c r="A589" t="s">
        <v>57</v>
      </c>
      <c r="B589" t="s">
        <v>243</v>
      </c>
      <c r="C589" t="s">
        <v>336</v>
      </c>
      <c r="D589" t="s">
        <v>336</v>
      </c>
      <c r="E589">
        <v>0</v>
      </c>
    </row>
    <row r="590">
      <c r="A590" t="s">
        <v>57</v>
      </c>
      <c r="B590" t="s">
        <v>299</v>
      </c>
      <c r="C590" t="s">
        <v>338</v>
      </c>
      <c r="D590" t="s">
        <v>338</v>
      </c>
      <c r="E590">
        <v>0</v>
      </c>
    </row>
    <row r="591">
      <c r="A591" t="s">
        <v>57</v>
      </c>
      <c r="B591" t="s">
        <v>362</v>
      </c>
      <c r="C591" t="s">
        <v>413</v>
      </c>
      <c r="D591" t="s">
        <v>413</v>
      </c>
      <c r="E591">
        <v>0</v>
      </c>
    </row>
    <row r="592">
      <c r="A592" t="s">
        <v>57</v>
      </c>
      <c r="B592" t="s">
        <v>102</v>
      </c>
      <c r="C592" t="s">
        <v>281</v>
      </c>
      <c r="D592" t="s">
        <v>281</v>
      </c>
      <c r="E592">
        <v>0</v>
      </c>
    </row>
    <row r="593">
      <c r="A593" t="s">
        <v>57</v>
      </c>
      <c r="B593" t="s">
        <v>14</v>
      </c>
      <c r="C593" t="s">
        <v>213</v>
      </c>
      <c r="D593" t="s">
        <v>213</v>
      </c>
      <c r="E593">
        <v>0</v>
      </c>
    </row>
    <row r="594">
      <c r="A594" t="s">
        <v>57</v>
      </c>
      <c r="B594" t="s">
        <v>177</v>
      </c>
      <c r="C594" t="s">
        <v>303</v>
      </c>
      <c r="D594" t="s">
        <v>303</v>
      </c>
      <c r="E594">
        <v>0</v>
      </c>
    </row>
    <row r="595">
      <c r="A595" t="s">
        <v>57</v>
      </c>
      <c r="B595" t="s">
        <v>254</v>
      </c>
      <c r="C595" t="s">
        <v>253</v>
      </c>
      <c r="D595" t="s">
        <v>253</v>
      </c>
      <c r="E595">
        <v>0</v>
      </c>
    </row>
    <row r="596">
      <c r="A596" t="s">
        <v>57</v>
      </c>
      <c r="B596" t="s">
        <v>316</v>
      </c>
      <c r="C596" t="s">
        <v>404</v>
      </c>
      <c r="D596" t="s">
        <v>404</v>
      </c>
      <c r="E596">
        <v>0</v>
      </c>
    </row>
    <row r="597">
      <c r="A597" t="s">
        <v>57</v>
      </c>
      <c r="B597" t="s">
        <v>99</v>
      </c>
      <c r="C597" t="s">
        <v>167</v>
      </c>
      <c r="D597" t="s">
        <v>167</v>
      </c>
      <c r="E597">
        <v>0</v>
      </c>
    </row>
    <row r="598">
      <c r="A598" t="s">
        <v>15</v>
      </c>
      <c r="B598" t="s">
        <v>96</v>
      </c>
      <c r="C598" t="s">
        <v>433</v>
      </c>
      <c r="D598" t="s">
        <v>433</v>
      </c>
      <c r="E598">
        <v>0</v>
      </c>
    </row>
    <row r="599">
      <c r="A599" t="s">
        <v>15</v>
      </c>
      <c r="B599" t="s">
        <v>231</v>
      </c>
      <c r="C599" t="s">
        <v>230</v>
      </c>
      <c r="D599" t="s">
        <v>230</v>
      </c>
      <c r="E599">
        <v>0</v>
      </c>
    </row>
    <row r="600">
      <c r="A600" t="s">
        <v>15</v>
      </c>
      <c r="B600" t="s">
        <v>79</v>
      </c>
      <c r="C600" t="s">
        <v>338</v>
      </c>
      <c r="D600" t="s">
        <v>338</v>
      </c>
      <c r="E600">
        <v>0</v>
      </c>
    </row>
    <row r="601">
      <c r="A601" t="s">
        <v>15</v>
      </c>
      <c r="B601" t="s">
        <v>223</v>
      </c>
      <c r="C601" t="s">
        <v>325</v>
      </c>
      <c r="D601" t="s">
        <v>325</v>
      </c>
      <c r="E601">
        <v>0</v>
      </c>
    </row>
    <row r="602">
      <c r="A602" t="s">
        <v>15</v>
      </c>
      <c r="B602" t="s">
        <v>82</v>
      </c>
      <c r="C602" t="s">
        <v>296</v>
      </c>
      <c r="D602" t="s">
        <v>296</v>
      </c>
      <c r="E602">
        <v>0</v>
      </c>
    </row>
    <row r="603">
      <c r="A603" t="s">
        <v>15</v>
      </c>
      <c r="B603" t="s">
        <v>161</v>
      </c>
      <c r="C603" t="s">
        <v>423</v>
      </c>
      <c r="D603" t="s">
        <v>423</v>
      </c>
      <c r="E603">
        <v>0</v>
      </c>
    </row>
    <row r="604">
      <c r="A604" t="s">
        <v>15</v>
      </c>
      <c r="B604" t="s">
        <v>83</v>
      </c>
      <c r="C604" t="s">
        <v>307</v>
      </c>
      <c r="D604" t="s">
        <v>307</v>
      </c>
      <c r="E604">
        <v>0</v>
      </c>
    </row>
    <row r="605">
      <c r="A605" t="s">
        <v>15</v>
      </c>
      <c r="B605" t="s">
        <v>80</v>
      </c>
      <c r="C605" t="s">
        <v>173</v>
      </c>
      <c r="D605" t="s">
        <v>173</v>
      </c>
      <c r="E605">
        <v>0</v>
      </c>
    </row>
    <row r="606">
      <c r="A606" t="s">
        <v>15</v>
      </c>
      <c r="B606" t="s">
        <v>103</v>
      </c>
      <c r="C606" t="s">
        <v>377</v>
      </c>
      <c r="D606" t="s">
        <v>377</v>
      </c>
      <c r="E606">
        <v>0</v>
      </c>
    </row>
    <row r="607">
      <c r="A607" t="s">
        <v>15</v>
      </c>
      <c r="B607" t="s">
        <v>33</v>
      </c>
      <c r="C607" t="s">
        <v>114</v>
      </c>
      <c r="D607" t="s">
        <v>114</v>
      </c>
      <c r="E607">
        <v>0</v>
      </c>
    </row>
    <row r="608">
      <c r="A608" t="s">
        <v>15</v>
      </c>
      <c r="B608" t="s">
        <v>98</v>
      </c>
      <c r="C608" t="s">
        <v>364</v>
      </c>
      <c r="D608" t="s">
        <v>364</v>
      </c>
      <c r="E608">
        <v>0</v>
      </c>
    </row>
    <row r="609">
      <c r="A609" t="s">
        <v>15</v>
      </c>
      <c r="B609" t="s">
        <v>222</v>
      </c>
      <c r="C609" t="s">
        <v>221</v>
      </c>
      <c r="D609" t="s">
        <v>221</v>
      </c>
      <c r="E609">
        <v>0</v>
      </c>
    </row>
    <row r="610">
      <c r="A610" t="s">
        <v>15</v>
      </c>
      <c r="B610" t="s">
        <v>110</v>
      </c>
      <c r="C610" t="s">
        <v>415</v>
      </c>
      <c r="D610" t="s">
        <v>415</v>
      </c>
      <c r="E610">
        <v>0</v>
      </c>
    </row>
    <row r="611">
      <c r="A611" t="s">
        <v>15</v>
      </c>
      <c r="B611" t="s">
        <v>287</v>
      </c>
      <c r="C611" t="s">
        <v>286</v>
      </c>
      <c r="D611" t="s">
        <v>286</v>
      </c>
      <c r="E611">
        <v>0</v>
      </c>
    </row>
    <row r="612">
      <c r="A612" t="s">
        <v>15</v>
      </c>
      <c r="B612" t="s">
        <v>61</v>
      </c>
      <c r="C612" t="s">
        <v>391</v>
      </c>
      <c r="D612" t="s">
        <v>391</v>
      </c>
      <c r="E612">
        <v>0</v>
      </c>
    </row>
    <row r="613">
      <c r="A613" t="s">
        <v>15</v>
      </c>
      <c r="B613" t="s">
        <v>75</v>
      </c>
      <c r="C613" t="s">
        <v>195</v>
      </c>
      <c r="D613" t="s">
        <v>195</v>
      </c>
      <c r="E613">
        <v>0</v>
      </c>
    </row>
    <row r="614">
      <c r="A614" t="s">
        <v>15</v>
      </c>
      <c r="B614" t="s">
        <v>132</v>
      </c>
      <c r="C614" t="s">
        <v>346</v>
      </c>
      <c r="D614" t="s">
        <v>346</v>
      </c>
      <c r="E614">
        <v>0</v>
      </c>
    </row>
    <row r="615">
      <c r="A615" t="s">
        <v>15</v>
      </c>
      <c r="B615" t="s">
        <v>39</v>
      </c>
      <c r="C615" t="s">
        <v>328</v>
      </c>
      <c r="D615" t="s">
        <v>328</v>
      </c>
      <c r="E615">
        <v>0</v>
      </c>
    </row>
    <row r="616">
      <c r="A616" t="s">
        <v>15</v>
      </c>
      <c r="B616" t="s">
        <v>207</v>
      </c>
      <c r="C616" t="s">
        <v>418</v>
      </c>
      <c r="D616" t="s">
        <v>418</v>
      </c>
      <c r="E616">
        <v>0</v>
      </c>
    </row>
    <row r="617">
      <c r="A617" t="s">
        <v>15</v>
      </c>
      <c r="B617" t="s">
        <v>65</v>
      </c>
      <c r="C617" t="s">
        <v>62</v>
      </c>
      <c r="D617" t="s">
        <v>62</v>
      </c>
      <c r="E617">
        <v>0</v>
      </c>
    </row>
    <row r="618">
      <c r="A618" t="s">
        <v>15</v>
      </c>
      <c r="B618" t="s">
        <v>151</v>
      </c>
      <c r="C618" t="s">
        <v>213</v>
      </c>
      <c r="D618" t="s">
        <v>213</v>
      </c>
      <c r="E618">
        <v>0</v>
      </c>
    </row>
    <row r="619">
      <c r="A619" t="s">
        <v>15</v>
      </c>
      <c r="B619" t="s">
        <v>267</v>
      </c>
      <c r="C619" t="s">
        <v>322</v>
      </c>
      <c r="D619" t="s">
        <v>322</v>
      </c>
      <c r="E619">
        <v>0</v>
      </c>
    </row>
    <row r="620">
      <c r="A620" t="s">
        <v>15</v>
      </c>
      <c r="B620" t="s">
        <v>190</v>
      </c>
      <c r="C620" t="s">
        <v>314</v>
      </c>
      <c r="D620" t="s">
        <v>314</v>
      </c>
      <c r="E620">
        <v>0</v>
      </c>
    </row>
    <row r="621">
      <c r="A621" t="s">
        <v>15</v>
      </c>
      <c r="B621" t="s">
        <v>91</v>
      </c>
      <c r="C621" t="s">
        <v>127</v>
      </c>
      <c r="D621" t="s">
        <v>127</v>
      </c>
      <c r="E621">
        <v>0</v>
      </c>
    </row>
    <row r="622">
      <c r="A622" t="s">
        <v>15</v>
      </c>
      <c r="B622" t="s">
        <v>37</v>
      </c>
      <c r="C622" t="s">
        <v>328</v>
      </c>
      <c r="D622" t="s">
        <v>328</v>
      </c>
      <c r="E622">
        <v>0</v>
      </c>
    </row>
    <row r="623">
      <c r="A623" t="s">
        <v>15</v>
      </c>
      <c r="B623" t="s">
        <v>280</v>
      </c>
      <c r="C623" t="s">
        <v>418</v>
      </c>
      <c r="D623" t="s">
        <v>418</v>
      </c>
      <c r="E623">
        <v>0</v>
      </c>
    </row>
    <row r="624">
      <c r="A624" t="s">
        <v>15</v>
      </c>
      <c r="B624" t="s">
        <v>186</v>
      </c>
      <c r="C624" t="s">
        <v>353</v>
      </c>
      <c r="D624" t="s">
        <v>353</v>
      </c>
      <c r="E624">
        <v>0</v>
      </c>
    </row>
    <row r="625">
      <c r="A625" t="s">
        <v>15</v>
      </c>
      <c r="B625" t="s">
        <v>252</v>
      </c>
      <c r="C625" t="s">
        <v>454</v>
      </c>
      <c r="D625" t="s">
        <v>454</v>
      </c>
      <c r="E625">
        <v>0</v>
      </c>
    </row>
    <row r="626">
      <c r="A626" t="s">
        <v>15</v>
      </c>
      <c r="B626" t="s">
        <v>225</v>
      </c>
      <c r="C626" t="s">
        <v>226</v>
      </c>
      <c r="D626" t="s">
        <v>226</v>
      </c>
      <c r="E626">
        <v>0</v>
      </c>
    </row>
    <row r="627">
      <c r="A627" t="s">
        <v>15</v>
      </c>
      <c r="B627" t="s">
        <v>184</v>
      </c>
      <c r="C627" t="s">
        <v>283</v>
      </c>
      <c r="D627" t="s">
        <v>283</v>
      </c>
      <c r="E627">
        <v>0</v>
      </c>
    </row>
    <row r="628">
      <c r="A628" t="s">
        <v>15</v>
      </c>
      <c r="B628" t="s">
        <v>241</v>
      </c>
      <c r="C628" t="s">
        <v>238</v>
      </c>
      <c r="D628" t="s">
        <v>238</v>
      </c>
      <c r="E628">
        <v>0</v>
      </c>
    </row>
    <row r="629">
      <c r="A629" t="s">
        <v>15</v>
      </c>
      <c r="B629" t="s">
        <v>116</v>
      </c>
      <c r="C629" t="s">
        <v>368</v>
      </c>
      <c r="D629" t="s">
        <v>368</v>
      </c>
      <c r="E629">
        <v>0</v>
      </c>
    </row>
    <row r="630">
      <c r="A630" t="s">
        <v>15</v>
      </c>
      <c r="B630" t="s">
        <v>170</v>
      </c>
      <c r="C630" t="s">
        <v>169</v>
      </c>
      <c r="D630" t="s">
        <v>169</v>
      </c>
      <c r="E630">
        <v>0</v>
      </c>
    </row>
    <row r="631">
      <c r="A631" t="s">
        <v>15</v>
      </c>
      <c r="B631" t="s">
        <v>6</v>
      </c>
      <c r="C631" t="s">
        <v>407</v>
      </c>
      <c r="D631" t="s">
        <v>407</v>
      </c>
      <c r="E631">
        <v>0</v>
      </c>
    </row>
    <row r="632">
      <c r="A632" t="s">
        <v>15</v>
      </c>
      <c r="B632" t="s">
        <v>246</v>
      </c>
      <c r="C632" t="s">
        <v>245</v>
      </c>
      <c r="D632" t="s">
        <v>245</v>
      </c>
      <c r="E632">
        <v>0</v>
      </c>
    </row>
    <row r="633">
      <c r="A633" t="s">
        <v>15</v>
      </c>
      <c r="B633" t="s">
        <v>41</v>
      </c>
      <c r="C633" t="s">
        <v>36</v>
      </c>
      <c r="D633" t="s">
        <v>36</v>
      </c>
      <c r="E633">
        <v>0</v>
      </c>
    </row>
    <row r="634">
      <c r="A634" t="s">
        <v>15</v>
      </c>
      <c r="B634" t="s">
        <v>131</v>
      </c>
      <c r="C634" t="s">
        <v>194</v>
      </c>
      <c r="D634" t="s">
        <v>194</v>
      </c>
      <c r="E634">
        <v>0</v>
      </c>
    </row>
    <row r="635">
      <c r="A635" t="s">
        <v>15</v>
      </c>
      <c r="B635" t="s">
        <v>25</v>
      </c>
      <c r="C635" t="s">
        <v>356</v>
      </c>
      <c r="D635" t="s">
        <v>356</v>
      </c>
      <c r="E635">
        <v>0</v>
      </c>
    </row>
    <row r="636">
      <c r="A636" t="s">
        <v>15</v>
      </c>
      <c r="B636" t="s">
        <v>383</v>
      </c>
      <c r="C636" t="s">
        <v>384</v>
      </c>
      <c r="D636" t="s">
        <v>384</v>
      </c>
      <c r="E636">
        <v>0</v>
      </c>
    </row>
    <row r="637">
      <c r="A637" t="s">
        <v>15</v>
      </c>
      <c r="B637" t="s">
        <v>78</v>
      </c>
      <c r="C637" t="s">
        <v>156</v>
      </c>
      <c r="D637" t="s">
        <v>156</v>
      </c>
      <c r="E637">
        <v>0</v>
      </c>
    </row>
    <row r="638">
      <c r="A638" t="s">
        <v>15</v>
      </c>
      <c r="B638" t="s">
        <v>305</v>
      </c>
      <c r="C638" t="s">
        <v>446</v>
      </c>
      <c r="D638" t="s">
        <v>446</v>
      </c>
      <c r="E638">
        <v>0</v>
      </c>
    </row>
    <row r="639">
      <c r="A639" t="s">
        <v>15</v>
      </c>
      <c r="B639" t="s">
        <v>111</v>
      </c>
      <c r="C639" t="s">
        <v>112</v>
      </c>
      <c r="D639" t="s">
        <v>112</v>
      </c>
      <c r="E639">
        <v>0</v>
      </c>
    </row>
    <row r="640">
      <c r="A640" t="s">
        <v>15</v>
      </c>
      <c r="B640" t="s">
        <v>117</v>
      </c>
      <c r="C640" t="s">
        <v>233</v>
      </c>
      <c r="D640" t="s">
        <v>233</v>
      </c>
      <c r="E640">
        <v>0</v>
      </c>
    </row>
    <row r="641">
      <c r="A641" t="s">
        <v>15</v>
      </c>
      <c r="B641" t="s">
        <v>234</v>
      </c>
      <c r="C641" t="s">
        <v>301</v>
      </c>
      <c r="D641" t="s">
        <v>301</v>
      </c>
      <c r="E641">
        <v>0</v>
      </c>
    </row>
    <row r="642">
      <c r="A642" t="s">
        <v>15</v>
      </c>
      <c r="B642" t="s">
        <v>124</v>
      </c>
      <c r="C642" t="s">
        <v>125</v>
      </c>
      <c r="D642" t="s">
        <v>125</v>
      </c>
      <c r="E642">
        <v>0</v>
      </c>
    </row>
    <row r="643">
      <c r="A643" t="s">
        <v>15</v>
      </c>
      <c r="B643" t="s">
        <v>113</v>
      </c>
      <c r="C643" t="s">
        <v>334</v>
      </c>
      <c r="D643" t="s">
        <v>334</v>
      </c>
      <c r="E643">
        <v>0</v>
      </c>
    </row>
    <row r="644">
      <c r="A644" t="s">
        <v>15</v>
      </c>
      <c r="B644" t="s">
        <v>69</v>
      </c>
      <c r="C644" t="s">
        <v>245</v>
      </c>
      <c r="D644" t="s">
        <v>245</v>
      </c>
      <c r="E644">
        <v>0</v>
      </c>
    </row>
    <row r="645">
      <c r="A645" t="s">
        <v>15</v>
      </c>
      <c r="B645" t="s">
        <v>288</v>
      </c>
      <c r="C645" t="s">
        <v>372</v>
      </c>
      <c r="D645" t="s">
        <v>372</v>
      </c>
      <c r="E645">
        <v>0</v>
      </c>
    </row>
    <row r="646">
      <c r="A646" t="s">
        <v>15</v>
      </c>
      <c r="B646" t="s">
        <v>308</v>
      </c>
      <c r="C646" t="s">
        <v>324</v>
      </c>
      <c r="D646" t="s">
        <v>324</v>
      </c>
      <c r="E646">
        <v>0</v>
      </c>
    </row>
    <row r="647">
      <c r="A647" t="s">
        <v>15</v>
      </c>
      <c r="B647" t="s">
        <v>64</v>
      </c>
      <c r="C647" t="s">
        <v>333</v>
      </c>
      <c r="D647" t="s">
        <v>333</v>
      </c>
      <c r="E647">
        <v>0</v>
      </c>
    </row>
    <row r="648">
      <c r="A648" t="s">
        <v>15</v>
      </c>
      <c r="B648" t="s">
        <v>128</v>
      </c>
      <c r="C648" t="s">
        <v>461</v>
      </c>
      <c r="D648" t="s">
        <v>461</v>
      </c>
      <c r="E648">
        <v>0</v>
      </c>
    </row>
    <row r="649">
      <c r="A649" t="s">
        <v>15</v>
      </c>
      <c r="B649" t="s">
        <v>257</v>
      </c>
      <c r="C649" t="s">
        <v>437</v>
      </c>
      <c r="D649" t="s">
        <v>437</v>
      </c>
      <c r="E649">
        <v>0</v>
      </c>
    </row>
    <row r="650">
      <c r="A650" t="s">
        <v>15</v>
      </c>
      <c r="B650" t="s">
        <v>177</v>
      </c>
      <c r="C650" t="s">
        <v>441</v>
      </c>
      <c r="D650" t="s">
        <v>441</v>
      </c>
      <c r="E650">
        <v>0</v>
      </c>
    </row>
    <row r="651">
      <c r="A651" t="s">
        <v>15</v>
      </c>
      <c r="B651" t="s">
        <v>255</v>
      </c>
      <c r="C651" t="s">
        <v>348</v>
      </c>
      <c r="D651" t="s">
        <v>348</v>
      </c>
      <c r="E651">
        <v>0</v>
      </c>
    </row>
    <row r="652">
      <c r="A652" t="s">
        <v>15</v>
      </c>
      <c r="B652" t="s">
        <v>60</v>
      </c>
      <c r="C652" t="s">
        <v>245</v>
      </c>
      <c r="D652" t="s">
        <v>245</v>
      </c>
      <c r="E652">
        <v>0</v>
      </c>
    </row>
    <row r="653">
      <c r="A653" t="s">
        <v>15</v>
      </c>
      <c r="B653" t="s">
        <v>310</v>
      </c>
      <c r="C653" t="s">
        <v>377</v>
      </c>
      <c r="D653" t="s">
        <v>377</v>
      </c>
      <c r="E653">
        <v>0</v>
      </c>
    </row>
    <row r="654">
      <c r="A654" t="s">
        <v>15</v>
      </c>
      <c r="B654" t="s">
        <v>144</v>
      </c>
      <c r="C654" t="s">
        <v>392</v>
      </c>
      <c r="D654" t="s">
        <v>392</v>
      </c>
      <c r="E654">
        <v>0</v>
      </c>
    </row>
    <row r="655">
      <c r="A655" t="s">
        <v>15</v>
      </c>
      <c r="B655" t="s">
        <v>67</v>
      </c>
      <c r="C655" t="s">
        <v>247</v>
      </c>
      <c r="D655" t="s">
        <v>247</v>
      </c>
      <c r="E655">
        <v>0</v>
      </c>
    </row>
    <row r="656">
      <c r="A656" t="s">
        <v>15</v>
      </c>
      <c r="B656" t="s">
        <v>56</v>
      </c>
      <c r="C656" t="s">
        <v>54</v>
      </c>
      <c r="D656" t="s">
        <v>54</v>
      </c>
      <c r="E656">
        <v>0</v>
      </c>
    </row>
    <row r="657">
      <c r="A657" t="s">
        <v>15</v>
      </c>
      <c r="B657" t="s">
        <v>105</v>
      </c>
      <c r="C657" t="s">
        <v>104</v>
      </c>
      <c r="D657" t="s">
        <v>104</v>
      </c>
      <c r="E657">
        <v>0</v>
      </c>
    </row>
    <row r="658">
      <c r="A658" t="s">
        <v>15</v>
      </c>
      <c r="B658" t="s">
        <v>178</v>
      </c>
      <c r="C658" t="s">
        <v>232</v>
      </c>
      <c r="D658" t="s">
        <v>232</v>
      </c>
      <c r="E658">
        <v>0</v>
      </c>
    </row>
    <row r="659">
      <c r="A659" t="s">
        <v>24</v>
      </c>
      <c r="B659" t="s">
        <v>42</v>
      </c>
      <c r="C659" t="s">
        <v>388</v>
      </c>
      <c r="D659" t="s">
        <v>388</v>
      </c>
      <c r="E659">
        <v>0</v>
      </c>
    </row>
    <row r="660">
      <c r="A660" t="s">
        <v>24</v>
      </c>
      <c r="B660" t="s">
        <v>81</v>
      </c>
      <c r="C660" t="s">
        <v>442</v>
      </c>
      <c r="D660" t="s">
        <v>442</v>
      </c>
      <c r="E660">
        <v>0</v>
      </c>
    </row>
    <row r="661">
      <c r="A661" t="s">
        <v>24</v>
      </c>
      <c r="B661" t="s">
        <v>223</v>
      </c>
      <c r="C661" t="s">
        <v>367</v>
      </c>
      <c r="D661" t="s">
        <v>367</v>
      </c>
      <c r="E661">
        <v>0</v>
      </c>
    </row>
    <row r="662">
      <c r="A662" t="s">
        <v>24</v>
      </c>
      <c r="B662" t="s">
        <v>188</v>
      </c>
      <c r="C662" t="s">
        <v>187</v>
      </c>
      <c r="D662" t="s">
        <v>187</v>
      </c>
      <c r="E662">
        <v>0</v>
      </c>
    </row>
    <row r="663">
      <c r="A663" t="s">
        <v>24</v>
      </c>
      <c r="B663" t="s">
        <v>26</v>
      </c>
      <c r="C663" t="s">
        <v>221</v>
      </c>
      <c r="D663" t="s">
        <v>221</v>
      </c>
      <c r="E663">
        <v>0</v>
      </c>
    </row>
    <row r="664">
      <c r="A664" t="s">
        <v>24</v>
      </c>
      <c r="B664" t="s">
        <v>49</v>
      </c>
      <c r="C664" t="s">
        <v>301</v>
      </c>
      <c r="D664" t="s">
        <v>301</v>
      </c>
      <c r="E664">
        <v>0</v>
      </c>
    </row>
    <row r="665">
      <c r="A665" t="s">
        <v>24</v>
      </c>
      <c r="B665" t="s">
        <v>83</v>
      </c>
      <c r="C665" t="s">
        <v>205</v>
      </c>
      <c r="D665" t="s">
        <v>205</v>
      </c>
      <c r="E665">
        <v>0</v>
      </c>
    </row>
    <row r="666">
      <c r="A666" t="s">
        <v>24</v>
      </c>
      <c r="B666" t="s">
        <v>198</v>
      </c>
      <c r="C666" t="s">
        <v>195</v>
      </c>
      <c r="D666" t="s">
        <v>195</v>
      </c>
      <c r="E666">
        <v>0</v>
      </c>
    </row>
    <row r="667">
      <c r="A667" t="s">
        <v>24</v>
      </c>
      <c r="B667" t="s">
        <v>250</v>
      </c>
      <c r="C667" t="s">
        <v>356</v>
      </c>
      <c r="D667" t="s">
        <v>356</v>
      </c>
      <c r="E667">
        <v>0</v>
      </c>
    </row>
    <row r="668">
      <c r="A668" t="s">
        <v>24</v>
      </c>
      <c r="B668" t="s">
        <v>118</v>
      </c>
      <c r="C668" t="s">
        <v>372</v>
      </c>
      <c r="D668" t="s">
        <v>372</v>
      </c>
      <c r="E668">
        <v>0</v>
      </c>
    </row>
    <row r="669">
      <c r="A669" t="s">
        <v>24</v>
      </c>
      <c r="B669" t="s">
        <v>115</v>
      </c>
      <c r="C669" t="s">
        <v>423</v>
      </c>
      <c r="D669" t="s">
        <v>423</v>
      </c>
      <c r="E669">
        <v>0</v>
      </c>
    </row>
    <row r="670">
      <c r="A670" t="s">
        <v>24</v>
      </c>
      <c r="B670" t="s">
        <v>165</v>
      </c>
      <c r="C670" t="s">
        <v>307</v>
      </c>
      <c r="D670" t="s">
        <v>307</v>
      </c>
      <c r="E670">
        <v>0</v>
      </c>
    </row>
    <row r="671">
      <c r="A671" t="s">
        <v>24</v>
      </c>
      <c r="B671" t="s">
        <v>162</v>
      </c>
      <c r="C671" t="s">
        <v>159</v>
      </c>
      <c r="D671" t="s">
        <v>159</v>
      </c>
      <c r="E671">
        <v>0</v>
      </c>
    </row>
    <row r="672">
      <c r="A672" t="s">
        <v>24</v>
      </c>
      <c r="B672" t="s">
        <v>129</v>
      </c>
      <c r="C672" t="s">
        <v>313</v>
      </c>
      <c r="D672" t="s">
        <v>313</v>
      </c>
      <c r="E672">
        <v>0</v>
      </c>
    </row>
    <row r="673">
      <c r="A673" t="s">
        <v>24</v>
      </c>
      <c r="B673" t="s">
        <v>75</v>
      </c>
      <c r="C673" t="s">
        <v>76</v>
      </c>
      <c r="D673" t="s">
        <v>76</v>
      </c>
      <c r="E673">
        <v>0</v>
      </c>
    </row>
    <row r="674">
      <c r="A674" t="s">
        <v>24</v>
      </c>
      <c r="B674" t="s">
        <v>132</v>
      </c>
      <c r="C674" t="s">
        <v>173</v>
      </c>
      <c r="D674" t="s">
        <v>173</v>
      </c>
      <c r="E674">
        <v>0</v>
      </c>
    </row>
    <row r="675">
      <c r="A675" t="s">
        <v>24</v>
      </c>
      <c r="B675" t="s">
        <v>68</v>
      </c>
      <c r="C675" t="s">
        <v>90</v>
      </c>
      <c r="D675" t="s">
        <v>90</v>
      </c>
      <c r="E675">
        <v>0</v>
      </c>
    </row>
    <row r="676">
      <c r="A676" t="s">
        <v>24</v>
      </c>
      <c r="B676" t="s">
        <v>163</v>
      </c>
      <c r="C676" t="s">
        <v>328</v>
      </c>
      <c r="D676" t="s">
        <v>328</v>
      </c>
      <c r="E676">
        <v>0</v>
      </c>
    </row>
    <row r="677">
      <c r="A677" t="s">
        <v>24</v>
      </c>
      <c r="B677" t="s">
        <v>248</v>
      </c>
      <c r="C677" t="s">
        <v>269</v>
      </c>
      <c r="D677" t="s">
        <v>269</v>
      </c>
      <c r="E677">
        <v>0</v>
      </c>
    </row>
    <row r="678">
      <c r="A678" t="s">
        <v>24</v>
      </c>
      <c r="B678" t="s">
        <v>151</v>
      </c>
      <c r="C678" t="s">
        <v>221</v>
      </c>
      <c r="D678" t="s">
        <v>221</v>
      </c>
      <c r="E678">
        <v>0</v>
      </c>
    </row>
    <row r="679">
      <c r="A679" t="s">
        <v>24</v>
      </c>
      <c r="B679" t="s">
        <v>91</v>
      </c>
      <c r="C679" t="s">
        <v>90</v>
      </c>
      <c r="D679" t="s">
        <v>90</v>
      </c>
      <c r="E679">
        <v>0</v>
      </c>
    </row>
    <row r="680">
      <c r="A680" t="s">
        <v>24</v>
      </c>
      <c r="B680" t="s">
        <v>37</v>
      </c>
      <c r="C680" t="s">
        <v>417</v>
      </c>
      <c r="D680" t="s">
        <v>417</v>
      </c>
      <c r="E680">
        <v>0</v>
      </c>
    </row>
    <row r="681">
      <c r="A681" t="s">
        <v>24</v>
      </c>
      <c r="B681" t="s">
        <v>184</v>
      </c>
      <c r="C681" t="s">
        <v>407</v>
      </c>
      <c r="D681" t="s">
        <v>407</v>
      </c>
      <c r="E681">
        <v>0</v>
      </c>
    </row>
    <row r="682">
      <c r="A682" t="s">
        <v>24</v>
      </c>
      <c r="B682" t="s">
        <v>154</v>
      </c>
      <c r="C682" t="s">
        <v>152</v>
      </c>
      <c r="D682" t="s">
        <v>152</v>
      </c>
      <c r="E682">
        <v>0</v>
      </c>
    </row>
    <row r="683">
      <c r="A683" t="s">
        <v>24</v>
      </c>
      <c r="B683" t="s">
        <v>87</v>
      </c>
      <c r="C683" t="s">
        <v>127</v>
      </c>
      <c r="D683" t="s">
        <v>127</v>
      </c>
      <c r="E683">
        <v>0</v>
      </c>
    </row>
    <row r="684">
      <c r="A684" t="s">
        <v>24</v>
      </c>
      <c r="B684" t="s">
        <v>41</v>
      </c>
      <c r="C684" t="s">
        <v>179</v>
      </c>
      <c r="D684" t="s">
        <v>179</v>
      </c>
      <c r="E684">
        <v>0</v>
      </c>
    </row>
    <row r="685">
      <c r="A685" t="s">
        <v>24</v>
      </c>
      <c r="B685" t="s">
        <v>19</v>
      </c>
      <c r="C685" t="s">
        <v>460</v>
      </c>
      <c r="D685" t="s">
        <v>460</v>
      </c>
      <c r="E685">
        <v>0</v>
      </c>
    </row>
    <row r="686">
      <c r="A686" t="s">
        <v>24</v>
      </c>
      <c r="B686" t="s">
        <v>25</v>
      </c>
      <c r="C686" t="s">
        <v>23</v>
      </c>
      <c r="D686" t="s">
        <v>23</v>
      </c>
      <c r="E686">
        <v>0</v>
      </c>
    </row>
    <row r="687">
      <c r="A687" t="s">
        <v>24</v>
      </c>
      <c r="B687" t="s">
        <v>383</v>
      </c>
      <c r="C687" t="s">
        <v>437</v>
      </c>
      <c r="D687" t="s">
        <v>437</v>
      </c>
      <c r="E687">
        <v>0</v>
      </c>
    </row>
    <row r="688">
      <c r="A688" t="s">
        <v>24</v>
      </c>
      <c r="B688" t="s">
        <v>305</v>
      </c>
      <c r="C688" t="s">
        <v>397</v>
      </c>
      <c r="D688" t="s">
        <v>397</v>
      </c>
      <c r="E688">
        <v>0</v>
      </c>
    </row>
    <row r="689">
      <c r="A689" t="s">
        <v>24</v>
      </c>
      <c r="B689" t="s">
        <v>111</v>
      </c>
      <c r="C689" t="s">
        <v>180</v>
      </c>
      <c r="D689" t="s">
        <v>180</v>
      </c>
      <c r="E689">
        <v>0</v>
      </c>
    </row>
    <row r="690">
      <c r="A690" t="s">
        <v>24</v>
      </c>
      <c r="B690" t="s">
        <v>100</v>
      </c>
      <c r="C690" t="s">
        <v>94</v>
      </c>
      <c r="D690" t="s">
        <v>94</v>
      </c>
      <c r="E690">
        <v>0</v>
      </c>
    </row>
    <row r="691">
      <c r="A691" t="s">
        <v>24</v>
      </c>
      <c r="B691" t="s">
        <v>117</v>
      </c>
      <c r="C691" t="s">
        <v>376</v>
      </c>
      <c r="D691" t="s">
        <v>376</v>
      </c>
      <c r="E691">
        <v>0</v>
      </c>
    </row>
    <row r="692">
      <c r="A692" t="s">
        <v>24</v>
      </c>
      <c r="B692" t="s">
        <v>149</v>
      </c>
      <c r="C692" t="s">
        <v>173</v>
      </c>
      <c r="D692" t="s">
        <v>173</v>
      </c>
      <c r="E692">
        <v>0</v>
      </c>
    </row>
    <row r="693">
      <c r="A693" t="s">
        <v>24</v>
      </c>
      <c r="B693" t="s">
        <v>211</v>
      </c>
      <c r="C693" t="s">
        <v>261</v>
      </c>
      <c r="D693" t="s">
        <v>261</v>
      </c>
      <c r="E693">
        <v>0</v>
      </c>
    </row>
    <row r="694">
      <c r="A694" t="s">
        <v>24</v>
      </c>
      <c r="B694" t="s">
        <v>113</v>
      </c>
      <c r="C694" t="s">
        <v>183</v>
      </c>
      <c r="D694" t="s">
        <v>183</v>
      </c>
      <c r="E694">
        <v>0</v>
      </c>
    </row>
    <row r="695">
      <c r="A695" t="s">
        <v>24</v>
      </c>
      <c r="B695" t="s">
        <v>192</v>
      </c>
      <c r="C695" t="s">
        <v>418</v>
      </c>
      <c r="D695" t="s">
        <v>418</v>
      </c>
      <c r="E695">
        <v>0</v>
      </c>
    </row>
    <row r="696">
      <c r="A696" t="s">
        <v>24</v>
      </c>
      <c r="B696" t="s">
        <v>362</v>
      </c>
      <c r="C696" t="s">
        <v>361</v>
      </c>
      <c r="D696" t="s">
        <v>361</v>
      </c>
      <c r="E696">
        <v>0</v>
      </c>
    </row>
    <row r="697">
      <c r="A697" t="s">
        <v>24</v>
      </c>
      <c r="B697" t="s">
        <v>172</v>
      </c>
      <c r="C697" t="s">
        <v>400</v>
      </c>
      <c r="D697" t="s">
        <v>400</v>
      </c>
      <c r="E697">
        <v>0</v>
      </c>
    </row>
    <row r="698">
      <c r="A698" t="s">
        <v>24</v>
      </c>
      <c r="B698" t="s">
        <v>14</v>
      </c>
      <c r="C698" t="s">
        <v>260</v>
      </c>
      <c r="D698" t="s">
        <v>260</v>
      </c>
      <c r="E698">
        <v>0</v>
      </c>
    </row>
    <row r="699">
      <c r="A699" t="s">
        <v>24</v>
      </c>
      <c r="B699" t="s">
        <v>50</v>
      </c>
      <c r="C699" t="s">
        <v>295</v>
      </c>
      <c r="D699" t="s">
        <v>295</v>
      </c>
      <c r="E699">
        <v>0</v>
      </c>
    </row>
    <row r="700">
      <c r="A700" t="s">
        <v>24</v>
      </c>
      <c r="B700" t="s">
        <v>64</v>
      </c>
      <c r="C700" t="s">
        <v>62</v>
      </c>
      <c r="D700" t="s">
        <v>62</v>
      </c>
      <c r="E700">
        <v>0</v>
      </c>
    </row>
    <row r="701">
      <c r="A701" t="s">
        <v>24</v>
      </c>
      <c r="B701" t="s">
        <v>403</v>
      </c>
      <c r="C701" t="s">
        <v>402</v>
      </c>
      <c r="D701" t="s">
        <v>402</v>
      </c>
      <c r="E701">
        <v>0</v>
      </c>
    </row>
    <row r="702">
      <c r="A702" t="s">
        <v>24</v>
      </c>
      <c r="B702" t="s">
        <v>327</v>
      </c>
      <c r="C702" t="s">
        <v>326</v>
      </c>
      <c r="D702" t="s">
        <v>326</v>
      </c>
      <c r="E702">
        <v>0</v>
      </c>
    </row>
    <row r="703">
      <c r="A703" t="s">
        <v>24</v>
      </c>
      <c r="B703" t="s">
        <v>310</v>
      </c>
      <c r="C703" t="s">
        <v>309</v>
      </c>
      <c r="D703" t="s">
        <v>309</v>
      </c>
      <c r="E703">
        <v>0</v>
      </c>
    </row>
    <row r="704">
      <c r="A704" t="s">
        <v>24</v>
      </c>
      <c r="B704" t="s">
        <v>302</v>
      </c>
      <c r="C704" t="s">
        <v>447</v>
      </c>
      <c r="D704" t="s">
        <v>447</v>
      </c>
      <c r="E704">
        <v>0</v>
      </c>
    </row>
    <row r="705">
      <c r="A705" t="s">
        <v>24</v>
      </c>
      <c r="B705" t="s">
        <v>123</v>
      </c>
      <c r="C705" t="s">
        <v>279</v>
      </c>
      <c r="D705" t="s">
        <v>279</v>
      </c>
      <c r="E705">
        <v>0</v>
      </c>
    </row>
    <row r="706">
      <c r="A706" t="s">
        <v>24</v>
      </c>
      <c r="B706" t="s">
        <v>144</v>
      </c>
      <c r="C706" t="s">
        <v>145</v>
      </c>
      <c r="D706" t="s">
        <v>145</v>
      </c>
      <c r="E706">
        <v>0</v>
      </c>
    </row>
    <row r="707">
      <c r="A707" t="s">
        <v>24</v>
      </c>
      <c r="B707" t="s">
        <v>67</v>
      </c>
      <c r="C707" t="s">
        <v>290</v>
      </c>
      <c r="D707" t="s">
        <v>290</v>
      </c>
      <c r="E707">
        <v>0</v>
      </c>
    </row>
    <row r="708">
      <c r="A708" t="s">
        <v>24</v>
      </c>
      <c r="B708" t="s">
        <v>99</v>
      </c>
      <c r="C708" t="s">
        <v>94</v>
      </c>
      <c r="D708" t="s">
        <v>94</v>
      </c>
      <c r="E708">
        <v>0</v>
      </c>
    </row>
    <row r="709">
      <c r="A709" t="s">
        <v>24</v>
      </c>
      <c r="B709" t="s">
        <v>153</v>
      </c>
      <c r="C709" t="s">
        <v>402</v>
      </c>
      <c r="D709" t="s">
        <v>402</v>
      </c>
      <c r="E709">
        <v>0</v>
      </c>
    </row>
    <row r="710">
      <c r="A710" t="s">
        <v>24</v>
      </c>
      <c r="B710" t="s">
        <v>93</v>
      </c>
      <c r="C710" t="s">
        <v>304</v>
      </c>
      <c r="D710" t="s">
        <v>304</v>
      </c>
      <c r="E710">
        <v>0</v>
      </c>
    </row>
    <row r="711">
      <c r="A711" t="s">
        <v>24</v>
      </c>
      <c r="B711" t="s">
        <v>56</v>
      </c>
      <c r="C711" t="s">
        <v>368</v>
      </c>
      <c r="D711" t="s">
        <v>368</v>
      </c>
      <c r="E711">
        <v>0</v>
      </c>
    </row>
    <row r="712">
      <c r="A712" t="s">
        <v>24</v>
      </c>
      <c r="B712" t="s">
        <v>178</v>
      </c>
      <c r="C712" t="s">
        <v>179</v>
      </c>
      <c r="D712" t="s">
        <v>179</v>
      </c>
      <c r="E712">
        <v>0</v>
      </c>
    </row>
    <row r="713">
      <c r="A713" t="s">
        <v>24</v>
      </c>
      <c r="B713" t="s">
        <v>204</v>
      </c>
      <c r="C713" t="s">
        <v>336</v>
      </c>
      <c r="D713" t="s">
        <v>336</v>
      </c>
      <c r="E713">
        <v>0</v>
      </c>
    </row>
    <row r="714">
      <c r="A714" t="s">
        <v>24</v>
      </c>
      <c r="B714" t="s">
        <v>215</v>
      </c>
      <c r="C714" t="s">
        <v>433</v>
      </c>
      <c r="D714" t="s">
        <v>433</v>
      </c>
      <c r="E714">
        <v>0</v>
      </c>
    </row>
    <row r="715">
      <c r="A715" t="s">
        <v>5</v>
      </c>
      <c r="B715" t="s">
        <v>96</v>
      </c>
      <c r="C715" t="s">
        <v>120</v>
      </c>
      <c r="D715" t="s">
        <v>120</v>
      </c>
      <c r="E715">
        <v>0</v>
      </c>
    </row>
    <row r="716">
      <c r="A716" t="s">
        <v>5</v>
      </c>
      <c r="B716" t="s">
        <v>42</v>
      </c>
      <c r="C716" t="s">
        <v>169</v>
      </c>
      <c r="D716" t="s">
        <v>169</v>
      </c>
      <c r="E716">
        <v>0</v>
      </c>
    </row>
    <row r="717">
      <c r="A717" t="s">
        <v>5</v>
      </c>
      <c r="B717" t="s">
        <v>291</v>
      </c>
      <c r="C717" t="s">
        <v>451</v>
      </c>
      <c r="D717" t="s">
        <v>451</v>
      </c>
      <c r="E717">
        <v>0</v>
      </c>
    </row>
    <row r="718">
      <c r="A718" t="s">
        <v>5</v>
      </c>
      <c r="B718" t="s">
        <v>146</v>
      </c>
      <c r="C718" t="s">
        <v>413</v>
      </c>
      <c r="D718" t="s">
        <v>413</v>
      </c>
      <c r="E718">
        <v>0</v>
      </c>
    </row>
    <row r="719">
      <c r="A719" t="s">
        <v>5</v>
      </c>
      <c r="B719" t="s">
        <v>137</v>
      </c>
      <c r="C719" t="s">
        <v>136</v>
      </c>
      <c r="D719" t="s">
        <v>136</v>
      </c>
      <c r="E719">
        <v>0</v>
      </c>
    </row>
    <row r="720">
      <c r="A720" t="s">
        <v>5</v>
      </c>
      <c r="B720" t="s">
        <v>256</v>
      </c>
      <c r="C720" t="s">
        <v>253</v>
      </c>
      <c r="D720" t="s">
        <v>253</v>
      </c>
      <c r="E720">
        <v>0</v>
      </c>
    </row>
    <row r="721">
      <c r="A721" t="s">
        <v>5</v>
      </c>
      <c r="B721" t="s">
        <v>321</v>
      </c>
      <c r="C721" t="s">
        <v>410</v>
      </c>
      <c r="D721" t="s">
        <v>410</v>
      </c>
      <c r="E721">
        <v>0</v>
      </c>
    </row>
    <row r="722">
      <c r="A722" t="s">
        <v>5</v>
      </c>
      <c r="B722" t="s">
        <v>49</v>
      </c>
      <c r="C722" t="s">
        <v>230</v>
      </c>
      <c r="D722" t="s">
        <v>230</v>
      </c>
      <c r="E722">
        <v>0</v>
      </c>
    </row>
    <row r="723">
      <c r="A723" t="s">
        <v>5</v>
      </c>
      <c r="B723" t="s">
        <v>85</v>
      </c>
      <c r="C723" t="s">
        <v>392</v>
      </c>
      <c r="D723" t="s">
        <v>392</v>
      </c>
      <c r="E723">
        <v>0</v>
      </c>
    </row>
    <row r="724">
      <c r="A724" t="s">
        <v>5</v>
      </c>
      <c r="B724" t="s">
        <v>71</v>
      </c>
      <c r="C724" t="s">
        <v>72</v>
      </c>
      <c r="D724" t="s">
        <v>72</v>
      </c>
      <c r="E724">
        <v>0</v>
      </c>
    </row>
    <row r="725">
      <c r="A725" t="s">
        <v>5</v>
      </c>
      <c r="B725" t="s">
        <v>265</v>
      </c>
      <c r="C725" t="s">
        <v>408</v>
      </c>
      <c r="D725" t="s">
        <v>408</v>
      </c>
      <c r="E725">
        <v>0</v>
      </c>
    </row>
    <row r="726">
      <c r="A726" t="s">
        <v>5</v>
      </c>
      <c r="B726" t="s">
        <v>315</v>
      </c>
      <c r="C726" t="s">
        <v>419</v>
      </c>
      <c r="D726" t="s">
        <v>419</v>
      </c>
      <c r="E726">
        <v>0</v>
      </c>
    </row>
    <row r="727">
      <c r="A727" t="s">
        <v>5</v>
      </c>
      <c r="B727" t="s">
        <v>98</v>
      </c>
      <c r="C727" t="s">
        <v>349</v>
      </c>
      <c r="D727" t="s">
        <v>349</v>
      </c>
      <c r="E727">
        <v>0</v>
      </c>
    </row>
    <row r="728">
      <c r="A728" t="s">
        <v>5</v>
      </c>
      <c r="B728" t="s">
        <v>214</v>
      </c>
      <c r="C728" t="s">
        <v>387</v>
      </c>
      <c r="D728" t="s">
        <v>387</v>
      </c>
      <c r="E728">
        <v>0</v>
      </c>
    </row>
    <row r="729">
      <c r="A729" t="s">
        <v>5</v>
      </c>
      <c r="B729" t="s">
        <v>92</v>
      </c>
      <c r="C729" t="s">
        <v>355</v>
      </c>
      <c r="D729" t="s">
        <v>355</v>
      </c>
      <c r="E729">
        <v>0</v>
      </c>
    </row>
    <row r="730">
      <c r="A730" t="s">
        <v>5</v>
      </c>
      <c r="B730" t="s">
        <v>237</v>
      </c>
      <c r="C730" t="s">
        <v>381</v>
      </c>
      <c r="D730" t="s">
        <v>381</v>
      </c>
      <c r="E730">
        <v>0</v>
      </c>
    </row>
    <row r="731">
      <c r="A731" t="s">
        <v>5</v>
      </c>
      <c r="B731" t="s">
        <v>132</v>
      </c>
      <c r="C731" t="s">
        <v>127</v>
      </c>
      <c r="D731" t="s">
        <v>127</v>
      </c>
      <c r="E731">
        <v>0</v>
      </c>
    </row>
    <row r="732">
      <c r="A732" t="s">
        <v>5</v>
      </c>
      <c r="B732" t="s">
        <v>273</v>
      </c>
      <c r="C732" t="s">
        <v>335</v>
      </c>
      <c r="D732" t="s">
        <v>335</v>
      </c>
      <c r="E732">
        <v>0</v>
      </c>
    </row>
    <row r="733">
      <c r="A733" t="s">
        <v>5</v>
      </c>
      <c r="B733" t="s">
        <v>342</v>
      </c>
      <c r="C733" t="s">
        <v>343</v>
      </c>
      <c r="D733" t="s">
        <v>343</v>
      </c>
      <c r="E733">
        <v>0</v>
      </c>
    </row>
    <row r="734">
      <c r="A734" t="s">
        <v>5</v>
      </c>
      <c r="B734" t="s">
        <v>39</v>
      </c>
      <c r="C734" t="s">
        <v>430</v>
      </c>
      <c r="D734" t="s">
        <v>430</v>
      </c>
      <c r="E734">
        <v>0</v>
      </c>
    </row>
    <row r="735">
      <c r="A735" t="s">
        <v>5</v>
      </c>
      <c r="B735" t="s">
        <v>68</v>
      </c>
      <c r="C735" t="s">
        <v>418</v>
      </c>
      <c r="D735" t="s">
        <v>418</v>
      </c>
      <c r="E735">
        <v>0</v>
      </c>
    </row>
    <row r="736">
      <c r="A736" t="s">
        <v>5</v>
      </c>
      <c r="B736" t="s">
        <v>151</v>
      </c>
      <c r="C736" t="s">
        <v>314</v>
      </c>
      <c r="D736" t="s">
        <v>314</v>
      </c>
      <c r="E736">
        <v>0</v>
      </c>
    </row>
    <row r="737">
      <c r="A737" t="s">
        <v>5</v>
      </c>
      <c r="B737" t="s">
        <v>168</v>
      </c>
      <c r="C737" t="s">
        <v>230</v>
      </c>
      <c r="D737" t="s">
        <v>230</v>
      </c>
      <c r="E737">
        <v>0</v>
      </c>
    </row>
    <row r="738">
      <c r="A738" t="s">
        <v>5</v>
      </c>
      <c r="B738" t="s">
        <v>252</v>
      </c>
      <c r="C738" t="s">
        <v>261</v>
      </c>
      <c r="D738" t="s">
        <v>261</v>
      </c>
      <c r="E738">
        <v>0</v>
      </c>
    </row>
    <row r="739">
      <c r="A739" t="s">
        <v>5</v>
      </c>
      <c r="B739" t="s">
        <v>227</v>
      </c>
      <c r="C739" t="s">
        <v>424</v>
      </c>
      <c r="D739" t="s">
        <v>424</v>
      </c>
      <c r="E739">
        <v>0</v>
      </c>
    </row>
    <row r="740">
      <c r="A740" t="s">
        <v>5</v>
      </c>
      <c r="B740" t="s">
        <v>270</v>
      </c>
      <c r="C740" t="s">
        <v>296</v>
      </c>
      <c r="D740" t="s">
        <v>296</v>
      </c>
      <c r="E740">
        <v>0</v>
      </c>
    </row>
    <row r="741">
      <c r="A741" t="s">
        <v>5</v>
      </c>
      <c r="B741" t="s">
        <v>73</v>
      </c>
      <c r="C741" t="s">
        <v>74</v>
      </c>
      <c r="D741" t="s">
        <v>74</v>
      </c>
      <c r="E741">
        <v>0</v>
      </c>
    </row>
    <row r="742">
      <c r="A742" t="s">
        <v>5</v>
      </c>
      <c r="B742" t="s">
        <v>184</v>
      </c>
      <c r="C742" t="s">
        <v>183</v>
      </c>
      <c r="D742" t="s">
        <v>183</v>
      </c>
      <c r="E742">
        <v>0</v>
      </c>
    </row>
    <row r="743">
      <c r="A743" t="s">
        <v>5</v>
      </c>
      <c r="B743" t="s">
        <v>35</v>
      </c>
      <c r="C743" t="s">
        <v>351</v>
      </c>
      <c r="D743" t="s">
        <v>351</v>
      </c>
      <c r="E743">
        <v>0</v>
      </c>
    </row>
    <row r="744">
      <c r="A744" t="s">
        <v>5</v>
      </c>
      <c r="B744" t="s">
        <v>147</v>
      </c>
      <c r="C744" t="s">
        <v>409</v>
      </c>
      <c r="D744" t="s">
        <v>409</v>
      </c>
      <c r="E744">
        <v>0</v>
      </c>
    </row>
    <row r="745">
      <c r="A745" t="s">
        <v>5</v>
      </c>
      <c r="B745" t="s">
        <v>116</v>
      </c>
      <c r="C745" t="s">
        <v>345</v>
      </c>
      <c r="D745" t="s">
        <v>345</v>
      </c>
      <c r="E745">
        <v>0</v>
      </c>
    </row>
    <row r="746">
      <c r="A746" t="s">
        <v>5</v>
      </c>
      <c r="B746" t="s">
        <v>170</v>
      </c>
      <c r="C746" t="s">
        <v>337</v>
      </c>
      <c r="D746" t="s">
        <v>337</v>
      </c>
      <c r="E746">
        <v>0</v>
      </c>
    </row>
    <row r="747">
      <c r="A747" t="s">
        <v>5</v>
      </c>
      <c r="B747" t="s">
        <v>6</v>
      </c>
      <c r="C747" t="s">
        <v>7</v>
      </c>
      <c r="D747" t="s">
        <v>7</v>
      </c>
      <c r="E747">
        <v>0</v>
      </c>
    </row>
    <row r="748">
      <c r="A748" t="s">
        <v>5</v>
      </c>
      <c r="B748" t="s">
        <v>246</v>
      </c>
      <c r="C748" t="s">
        <v>429</v>
      </c>
      <c r="D748" t="s">
        <v>429</v>
      </c>
      <c r="E748">
        <v>0</v>
      </c>
    </row>
    <row r="749">
      <c r="A749" t="s">
        <v>5</v>
      </c>
      <c r="B749" t="s">
        <v>25</v>
      </c>
      <c r="C749" t="s">
        <v>173</v>
      </c>
      <c r="D749" t="s">
        <v>173</v>
      </c>
      <c r="E749">
        <v>0</v>
      </c>
    </row>
    <row r="750">
      <c r="A750" t="s">
        <v>5</v>
      </c>
      <c r="B750" t="s">
        <v>160</v>
      </c>
      <c r="C750" t="s">
        <v>159</v>
      </c>
      <c r="D750" t="s">
        <v>159</v>
      </c>
      <c r="E750">
        <v>0</v>
      </c>
    </row>
    <row r="751">
      <c r="A751" t="s">
        <v>5</v>
      </c>
      <c r="B751" t="s">
        <v>181</v>
      </c>
      <c r="C751" t="s">
        <v>180</v>
      </c>
      <c r="D751" t="s">
        <v>180</v>
      </c>
      <c r="E751">
        <v>0</v>
      </c>
    </row>
    <row r="752">
      <c r="A752" t="s">
        <v>5</v>
      </c>
      <c r="B752" t="s">
        <v>20</v>
      </c>
      <c r="C752" t="s">
        <v>446</v>
      </c>
      <c r="D752" t="s">
        <v>446</v>
      </c>
      <c r="E752">
        <v>0</v>
      </c>
    </row>
    <row r="753">
      <c r="A753" t="s">
        <v>5</v>
      </c>
      <c r="B753" t="s">
        <v>172</v>
      </c>
      <c r="C753" t="s">
        <v>387</v>
      </c>
      <c r="D753" t="s">
        <v>387</v>
      </c>
      <c r="E753">
        <v>0</v>
      </c>
    </row>
    <row r="754">
      <c r="A754" t="s">
        <v>5</v>
      </c>
      <c r="B754" t="s">
        <v>308</v>
      </c>
      <c r="C754" t="s">
        <v>307</v>
      </c>
      <c r="D754" t="s">
        <v>307</v>
      </c>
      <c r="E754">
        <v>0</v>
      </c>
    </row>
    <row r="755">
      <c r="A755" t="s">
        <v>5</v>
      </c>
      <c r="B755" t="s">
        <v>14</v>
      </c>
      <c r="C755" t="s">
        <v>36</v>
      </c>
      <c r="D755" t="s">
        <v>36</v>
      </c>
      <c r="E755">
        <v>0</v>
      </c>
    </row>
    <row r="756">
      <c r="A756" t="s">
        <v>5</v>
      </c>
      <c r="B756" t="s">
        <v>50</v>
      </c>
      <c r="C756" t="s">
        <v>332</v>
      </c>
      <c r="D756" t="s">
        <v>332</v>
      </c>
      <c r="E756">
        <v>0</v>
      </c>
    </row>
    <row r="757">
      <c r="A757" t="s">
        <v>5</v>
      </c>
      <c r="B757" t="s">
        <v>128</v>
      </c>
      <c r="C757" t="s">
        <v>306</v>
      </c>
      <c r="D757" t="s">
        <v>306</v>
      </c>
      <c r="E757">
        <v>0</v>
      </c>
    </row>
    <row r="758">
      <c r="A758" t="s">
        <v>5</v>
      </c>
      <c r="B758" t="s">
        <v>254</v>
      </c>
      <c r="C758" t="s">
        <v>427</v>
      </c>
      <c r="D758" t="s">
        <v>427</v>
      </c>
      <c r="E758">
        <v>0</v>
      </c>
    </row>
    <row r="759">
      <c r="A759" t="s">
        <v>5</v>
      </c>
      <c r="B759" t="s">
        <v>374</v>
      </c>
      <c r="C759" t="s">
        <v>373</v>
      </c>
      <c r="D759" t="s">
        <v>373</v>
      </c>
      <c r="E759">
        <v>0</v>
      </c>
    </row>
    <row r="760">
      <c r="A760" t="s">
        <v>5</v>
      </c>
      <c r="B760" t="s">
        <v>31</v>
      </c>
      <c r="C760" t="s">
        <v>416</v>
      </c>
      <c r="D760" t="s">
        <v>416</v>
      </c>
      <c r="E760">
        <v>0</v>
      </c>
    </row>
    <row r="761">
      <c r="A761" t="s">
        <v>5</v>
      </c>
      <c r="B761" t="s">
        <v>63</v>
      </c>
      <c r="C761" t="s">
        <v>224</v>
      </c>
      <c r="D761" t="s">
        <v>224</v>
      </c>
      <c r="E761">
        <v>0</v>
      </c>
    </row>
    <row r="762">
      <c r="A762" t="s">
        <v>5</v>
      </c>
      <c r="B762" t="s">
        <v>197</v>
      </c>
      <c r="C762" t="s">
        <v>195</v>
      </c>
      <c r="D762" t="s">
        <v>195</v>
      </c>
      <c r="E762">
        <v>0</v>
      </c>
    </row>
    <row r="763">
      <c r="A763" t="s">
        <v>5</v>
      </c>
      <c r="B763" t="s">
        <v>331</v>
      </c>
      <c r="C763" t="s">
        <v>330</v>
      </c>
      <c r="D763" t="s">
        <v>330</v>
      </c>
      <c r="E763">
        <v>0</v>
      </c>
    </row>
    <row r="764">
      <c r="A764" t="s">
        <v>5</v>
      </c>
      <c r="B764" t="s">
        <v>302</v>
      </c>
      <c r="C764" t="s">
        <v>303</v>
      </c>
      <c r="D764" t="s">
        <v>303</v>
      </c>
      <c r="E764">
        <v>0</v>
      </c>
    </row>
    <row r="765">
      <c r="A765" t="s">
        <v>5</v>
      </c>
      <c r="B765" t="s">
        <v>123</v>
      </c>
      <c r="C765" t="s">
        <v>378</v>
      </c>
      <c r="D765" t="s">
        <v>378</v>
      </c>
      <c r="E765">
        <v>0</v>
      </c>
    </row>
    <row r="766">
      <c r="A766" t="s">
        <v>5</v>
      </c>
      <c r="B766" t="s">
        <v>144</v>
      </c>
      <c r="C766" t="s">
        <v>199</v>
      </c>
      <c r="D766" t="s">
        <v>199</v>
      </c>
      <c r="E766">
        <v>0</v>
      </c>
    </row>
    <row r="767">
      <c r="A767" t="s">
        <v>5</v>
      </c>
      <c r="B767" t="s">
        <v>67</v>
      </c>
      <c r="C767" t="s">
        <v>66</v>
      </c>
      <c r="D767" t="s">
        <v>66</v>
      </c>
      <c r="E767">
        <v>0</v>
      </c>
    </row>
    <row r="768">
      <c r="A768" t="s">
        <v>5</v>
      </c>
      <c r="B768" t="s">
        <v>263</v>
      </c>
      <c r="C768" t="s">
        <v>262</v>
      </c>
      <c r="D768" t="s">
        <v>262</v>
      </c>
      <c r="E768">
        <v>0</v>
      </c>
    </row>
    <row r="769">
      <c r="A769" t="s">
        <v>5</v>
      </c>
      <c r="B769" t="s">
        <v>153</v>
      </c>
      <c r="C769" t="s">
        <v>392</v>
      </c>
      <c r="D769" t="s">
        <v>392</v>
      </c>
      <c r="E769">
        <v>0</v>
      </c>
    </row>
    <row r="770">
      <c r="A770" t="s">
        <v>5</v>
      </c>
      <c r="B770" t="s">
        <v>93</v>
      </c>
      <c r="C770" t="s">
        <v>127</v>
      </c>
      <c r="D770" t="s">
        <v>127</v>
      </c>
      <c r="E770">
        <v>0</v>
      </c>
    </row>
    <row r="771">
      <c r="A771" t="s">
        <v>5</v>
      </c>
      <c r="B771" t="s">
        <v>174</v>
      </c>
      <c r="C771" t="s">
        <v>466</v>
      </c>
      <c r="D771" t="s">
        <v>466</v>
      </c>
      <c r="E771">
        <v>0</v>
      </c>
    </row>
    <row r="772">
      <c r="A772" t="s">
        <v>5</v>
      </c>
      <c r="B772" t="s">
        <v>105</v>
      </c>
      <c r="C772" t="s">
        <v>384</v>
      </c>
      <c r="D772" t="s">
        <v>384</v>
      </c>
      <c r="E772">
        <v>0</v>
      </c>
    </row>
    <row r="773">
      <c r="A773" t="s">
        <v>5</v>
      </c>
      <c r="B773" t="s">
        <v>178</v>
      </c>
      <c r="C773" t="s">
        <v>428</v>
      </c>
      <c r="D773" t="s">
        <v>428</v>
      </c>
      <c r="E773">
        <v>0</v>
      </c>
    </row>
    <row r="774">
      <c r="A774" t="s">
        <v>5</v>
      </c>
      <c r="B774" t="s">
        <v>143</v>
      </c>
      <c r="C774" t="s">
        <v>322</v>
      </c>
      <c r="D774" t="s">
        <v>322</v>
      </c>
      <c r="E774">
        <v>0</v>
      </c>
    </row>
    <row r="775">
      <c r="A775" t="s">
        <v>5</v>
      </c>
      <c r="B775" t="s">
        <v>344</v>
      </c>
      <c r="C775" t="s">
        <v>345</v>
      </c>
      <c r="D775" t="s">
        <v>345</v>
      </c>
      <c r="E775">
        <v>0</v>
      </c>
    </row>
    <row r="776">
      <c r="A776" t="s">
        <v>21</v>
      </c>
      <c r="B776" t="s">
        <v>96</v>
      </c>
      <c r="C776" t="s">
        <v>94</v>
      </c>
      <c r="D776" t="s">
        <v>94</v>
      </c>
      <c r="E776">
        <v>0</v>
      </c>
    </row>
    <row r="777">
      <c r="A777" t="s">
        <v>21</v>
      </c>
      <c r="B777" t="s">
        <v>146</v>
      </c>
      <c r="C777" t="s">
        <v>145</v>
      </c>
      <c r="D777" t="s">
        <v>145</v>
      </c>
      <c r="E777">
        <v>0</v>
      </c>
    </row>
    <row r="778">
      <c r="A778" t="s">
        <v>21</v>
      </c>
      <c r="B778" t="s">
        <v>284</v>
      </c>
      <c r="C778" t="s">
        <v>322</v>
      </c>
      <c r="D778" t="s">
        <v>322</v>
      </c>
      <c r="E778">
        <v>0</v>
      </c>
    </row>
    <row r="779">
      <c r="A779" t="s">
        <v>21</v>
      </c>
      <c r="B779" t="s">
        <v>256</v>
      </c>
      <c r="C779" t="s">
        <v>433</v>
      </c>
      <c r="D779" t="s">
        <v>433</v>
      </c>
      <c r="E779">
        <v>0</v>
      </c>
    </row>
    <row r="780">
      <c r="A780" t="s">
        <v>21</v>
      </c>
      <c r="B780" t="s">
        <v>321</v>
      </c>
      <c r="C780" t="s">
        <v>352</v>
      </c>
      <c r="D780" t="s">
        <v>352</v>
      </c>
      <c r="E780">
        <v>0</v>
      </c>
    </row>
    <row r="781">
      <c r="A781" t="s">
        <v>21</v>
      </c>
      <c r="B781" t="s">
        <v>196</v>
      </c>
      <c r="C781" t="s">
        <v>433</v>
      </c>
      <c r="D781" t="s">
        <v>433</v>
      </c>
      <c r="E781">
        <v>0</v>
      </c>
    </row>
    <row r="782">
      <c r="A782" t="s">
        <v>21</v>
      </c>
      <c r="B782" t="s">
        <v>272</v>
      </c>
      <c r="C782" t="s">
        <v>419</v>
      </c>
      <c r="D782" t="s">
        <v>419</v>
      </c>
      <c r="E782">
        <v>0</v>
      </c>
    </row>
    <row r="783">
      <c r="A783" t="s">
        <v>21</v>
      </c>
      <c r="B783" t="s">
        <v>365</v>
      </c>
      <c r="C783" t="s">
        <v>364</v>
      </c>
      <c r="D783" t="s">
        <v>364</v>
      </c>
      <c r="E783">
        <v>0</v>
      </c>
    </row>
    <row r="784">
      <c r="A784" t="s">
        <v>21</v>
      </c>
      <c r="B784" t="s">
        <v>49</v>
      </c>
      <c r="C784" t="s">
        <v>199</v>
      </c>
      <c r="D784" t="s">
        <v>199</v>
      </c>
      <c r="E784">
        <v>0</v>
      </c>
    </row>
    <row r="785">
      <c r="A785" t="s">
        <v>21</v>
      </c>
      <c r="B785" t="s">
        <v>85</v>
      </c>
      <c r="C785" t="s">
        <v>372</v>
      </c>
      <c r="D785" t="s">
        <v>372</v>
      </c>
      <c r="E785">
        <v>0</v>
      </c>
    </row>
    <row r="786">
      <c r="A786" t="s">
        <v>21</v>
      </c>
      <c r="B786" t="s">
        <v>16</v>
      </c>
      <c r="C786" t="s">
        <v>430</v>
      </c>
      <c r="D786" t="s">
        <v>430</v>
      </c>
      <c r="E786">
        <v>0</v>
      </c>
    </row>
    <row r="787">
      <c r="A787" t="s">
        <v>21</v>
      </c>
      <c r="B787" t="s">
        <v>80</v>
      </c>
      <c r="C787" t="s">
        <v>427</v>
      </c>
      <c r="D787" t="s">
        <v>427</v>
      </c>
      <c r="E787">
        <v>0</v>
      </c>
    </row>
    <row r="788">
      <c r="A788" t="s">
        <v>21</v>
      </c>
      <c r="B788" t="s">
        <v>103</v>
      </c>
      <c r="C788" t="s">
        <v>167</v>
      </c>
      <c r="D788" t="s">
        <v>167</v>
      </c>
      <c r="E788">
        <v>0</v>
      </c>
    </row>
    <row r="789">
      <c r="A789" t="s">
        <v>21</v>
      </c>
      <c r="B789" t="s">
        <v>38</v>
      </c>
      <c r="C789" t="s">
        <v>205</v>
      </c>
      <c r="D789" t="s">
        <v>205</v>
      </c>
      <c r="E789">
        <v>0</v>
      </c>
    </row>
    <row r="790">
      <c r="A790" t="s">
        <v>21</v>
      </c>
      <c r="B790" t="s">
        <v>118</v>
      </c>
      <c r="C790" t="s">
        <v>309</v>
      </c>
      <c r="D790" t="s">
        <v>309</v>
      </c>
      <c r="E790">
        <v>0</v>
      </c>
    </row>
    <row r="791">
      <c r="A791" t="s">
        <v>21</v>
      </c>
      <c r="B791" t="s">
        <v>115</v>
      </c>
      <c r="C791" t="s">
        <v>203</v>
      </c>
      <c r="D791" t="s">
        <v>203</v>
      </c>
      <c r="E791">
        <v>0</v>
      </c>
    </row>
    <row r="792">
      <c r="A792" t="s">
        <v>21</v>
      </c>
      <c r="B792" t="s">
        <v>98</v>
      </c>
      <c r="C792" t="s">
        <v>353</v>
      </c>
      <c r="D792" t="s">
        <v>353</v>
      </c>
      <c r="E792">
        <v>0</v>
      </c>
    </row>
    <row r="793">
      <c r="A793" t="s">
        <v>21</v>
      </c>
      <c r="B793" t="s">
        <v>110</v>
      </c>
      <c r="C793" t="s">
        <v>413</v>
      </c>
      <c r="D793" t="s">
        <v>413</v>
      </c>
      <c r="E793">
        <v>0</v>
      </c>
    </row>
    <row r="794">
      <c r="A794" t="s">
        <v>21</v>
      </c>
      <c r="B794" t="s">
        <v>22</v>
      </c>
      <c r="C794" t="s">
        <v>23</v>
      </c>
      <c r="D794" t="s">
        <v>23</v>
      </c>
      <c r="E794">
        <v>0</v>
      </c>
    </row>
    <row r="795">
      <c r="A795" t="s">
        <v>21</v>
      </c>
      <c r="B795" t="s">
        <v>175</v>
      </c>
      <c r="C795" t="s">
        <v>422</v>
      </c>
      <c r="D795" t="s">
        <v>422</v>
      </c>
      <c r="E795">
        <v>0</v>
      </c>
    </row>
    <row r="796">
      <c r="A796" t="s">
        <v>21</v>
      </c>
      <c r="B796" t="s">
        <v>287</v>
      </c>
      <c r="C796" t="s">
        <v>446</v>
      </c>
      <c r="D796" t="s">
        <v>446</v>
      </c>
      <c r="E796">
        <v>0</v>
      </c>
    </row>
    <row r="797">
      <c r="A797" t="s">
        <v>21</v>
      </c>
      <c r="B797" t="s">
        <v>214</v>
      </c>
      <c r="C797" t="s">
        <v>213</v>
      </c>
      <c r="D797" t="s">
        <v>213</v>
      </c>
      <c r="E797">
        <v>0</v>
      </c>
    </row>
    <row r="798">
      <c r="A798" t="s">
        <v>21</v>
      </c>
      <c r="B798" t="s">
        <v>132</v>
      </c>
      <c r="C798" t="s">
        <v>199</v>
      </c>
      <c r="D798" t="s">
        <v>199</v>
      </c>
      <c r="E798">
        <v>0</v>
      </c>
    </row>
    <row r="799">
      <c r="A799" t="s">
        <v>21</v>
      </c>
      <c r="B799" t="s">
        <v>39</v>
      </c>
      <c r="C799" t="s">
        <v>36</v>
      </c>
      <c r="D799" t="s">
        <v>36</v>
      </c>
      <c r="E799">
        <v>0</v>
      </c>
    </row>
    <row r="800">
      <c r="A800" t="s">
        <v>21</v>
      </c>
      <c r="B800" t="s">
        <v>65</v>
      </c>
      <c r="C800" t="s">
        <v>286</v>
      </c>
      <c r="D800" t="s">
        <v>286</v>
      </c>
      <c r="E800">
        <v>0</v>
      </c>
    </row>
    <row r="801">
      <c r="A801" t="s">
        <v>21</v>
      </c>
      <c r="B801" t="s">
        <v>209</v>
      </c>
      <c r="C801" t="s">
        <v>433</v>
      </c>
      <c r="D801" t="s">
        <v>433</v>
      </c>
      <c r="E801">
        <v>0</v>
      </c>
    </row>
    <row r="802">
      <c r="A802" t="s">
        <v>21</v>
      </c>
      <c r="B802" t="s">
        <v>218</v>
      </c>
      <c r="C802" t="s">
        <v>351</v>
      </c>
      <c r="D802" t="s">
        <v>351</v>
      </c>
      <c r="E802">
        <v>0</v>
      </c>
    </row>
    <row r="803">
      <c r="A803" t="s">
        <v>21</v>
      </c>
      <c r="B803" t="s">
        <v>151</v>
      </c>
      <c r="C803" t="s">
        <v>353</v>
      </c>
      <c r="D803" t="s">
        <v>353</v>
      </c>
      <c r="E803">
        <v>0</v>
      </c>
    </row>
    <row r="804">
      <c r="A804" t="s">
        <v>21</v>
      </c>
      <c r="B804" t="s">
        <v>227</v>
      </c>
      <c r="C804" t="s">
        <v>448</v>
      </c>
      <c r="D804" t="s">
        <v>448</v>
      </c>
      <c r="E804">
        <v>0</v>
      </c>
    </row>
    <row r="805">
      <c r="A805" t="s">
        <v>21</v>
      </c>
      <c r="B805" t="s">
        <v>184</v>
      </c>
      <c r="C805" t="s">
        <v>399</v>
      </c>
      <c r="D805" t="s">
        <v>399</v>
      </c>
      <c r="E805">
        <v>0</v>
      </c>
    </row>
    <row r="806">
      <c r="A806" t="s">
        <v>21</v>
      </c>
      <c r="B806" t="s">
        <v>154</v>
      </c>
      <c r="C806" t="s">
        <v>428</v>
      </c>
      <c r="D806" t="s">
        <v>428</v>
      </c>
      <c r="E806">
        <v>0</v>
      </c>
    </row>
    <row r="807">
      <c r="A807" t="s">
        <v>21</v>
      </c>
      <c r="B807" t="s">
        <v>41</v>
      </c>
      <c r="C807" t="s">
        <v>455</v>
      </c>
      <c r="D807" t="s">
        <v>455</v>
      </c>
      <c r="E807">
        <v>0</v>
      </c>
    </row>
    <row r="808">
      <c r="A808" t="s">
        <v>21</v>
      </c>
      <c r="B808" t="s">
        <v>131</v>
      </c>
      <c r="C808" t="s">
        <v>449</v>
      </c>
      <c r="D808" t="s">
        <v>449</v>
      </c>
      <c r="E808">
        <v>0</v>
      </c>
    </row>
    <row r="809">
      <c r="A809" t="s">
        <v>21</v>
      </c>
      <c r="B809" t="s">
        <v>101</v>
      </c>
      <c r="C809" t="s">
        <v>94</v>
      </c>
      <c r="D809" t="s">
        <v>94</v>
      </c>
      <c r="E809">
        <v>0</v>
      </c>
    </row>
    <row r="810">
      <c r="A810" t="s">
        <v>21</v>
      </c>
      <c r="B810" t="s">
        <v>117</v>
      </c>
      <c r="C810" t="s">
        <v>451</v>
      </c>
      <c r="D810" t="s">
        <v>451</v>
      </c>
      <c r="E810">
        <v>0</v>
      </c>
    </row>
    <row r="811">
      <c r="A811" t="s">
        <v>21</v>
      </c>
      <c r="B811" t="s">
        <v>160</v>
      </c>
      <c r="C811" t="s">
        <v>409</v>
      </c>
      <c r="D811" t="s">
        <v>409</v>
      </c>
      <c r="E811">
        <v>0</v>
      </c>
    </row>
    <row r="812">
      <c r="A812" t="s">
        <v>21</v>
      </c>
      <c r="B812" t="s">
        <v>124</v>
      </c>
      <c r="C812" t="s">
        <v>405</v>
      </c>
      <c r="D812" t="s">
        <v>405</v>
      </c>
      <c r="E812">
        <v>0</v>
      </c>
    </row>
    <row r="813">
      <c r="A813" t="s">
        <v>21</v>
      </c>
      <c r="B813" t="s">
        <v>113</v>
      </c>
      <c r="C813" t="s">
        <v>251</v>
      </c>
      <c r="D813" t="s">
        <v>251</v>
      </c>
      <c r="E813">
        <v>0</v>
      </c>
    </row>
    <row r="814">
      <c r="A814" t="s">
        <v>21</v>
      </c>
      <c r="B814" t="s">
        <v>69</v>
      </c>
      <c r="C814" t="s">
        <v>450</v>
      </c>
      <c r="D814" t="s">
        <v>450</v>
      </c>
      <c r="E814">
        <v>0</v>
      </c>
    </row>
    <row r="815">
      <c r="A815" t="s">
        <v>21</v>
      </c>
      <c r="B815" t="s">
        <v>258</v>
      </c>
      <c r="C815" t="s">
        <v>313</v>
      </c>
      <c r="D815" t="s">
        <v>313</v>
      </c>
      <c r="E815">
        <v>0</v>
      </c>
    </row>
    <row r="816">
      <c r="A816" t="s">
        <v>21</v>
      </c>
      <c r="B816" t="s">
        <v>102</v>
      </c>
      <c r="C816" t="s">
        <v>408</v>
      </c>
      <c r="D816" t="s">
        <v>408</v>
      </c>
      <c r="E816">
        <v>0</v>
      </c>
    </row>
    <row r="817">
      <c r="A817" t="s">
        <v>21</v>
      </c>
      <c r="B817" t="s">
        <v>14</v>
      </c>
      <c r="C817" t="s">
        <v>230</v>
      </c>
      <c r="D817" t="s">
        <v>230</v>
      </c>
      <c r="E817">
        <v>0</v>
      </c>
    </row>
    <row r="818">
      <c r="A818" t="s">
        <v>21</v>
      </c>
      <c r="B818" t="s">
        <v>50</v>
      </c>
      <c r="C818" t="s">
        <v>51</v>
      </c>
      <c r="D818" t="s">
        <v>51</v>
      </c>
      <c r="E818">
        <v>0</v>
      </c>
    </row>
    <row r="819">
      <c r="A819" t="s">
        <v>21</v>
      </c>
      <c r="B819" t="s">
        <v>257</v>
      </c>
      <c r="C819" t="s">
        <v>338</v>
      </c>
      <c r="D819" t="s">
        <v>338</v>
      </c>
      <c r="E819">
        <v>0</v>
      </c>
    </row>
    <row r="820">
      <c r="A820" t="s">
        <v>21</v>
      </c>
      <c r="B820" t="s">
        <v>254</v>
      </c>
      <c r="C820" t="s">
        <v>428</v>
      </c>
      <c r="D820" t="s">
        <v>428</v>
      </c>
      <c r="E820">
        <v>0</v>
      </c>
    </row>
    <row r="821">
      <c r="A821" t="s">
        <v>21</v>
      </c>
      <c r="B821" t="s">
        <v>60</v>
      </c>
      <c r="C821" t="s">
        <v>84</v>
      </c>
      <c r="D821" t="s">
        <v>84</v>
      </c>
      <c r="E821">
        <v>0</v>
      </c>
    </row>
    <row r="822">
      <c r="A822" t="s">
        <v>21</v>
      </c>
      <c r="B822" t="s">
        <v>302</v>
      </c>
      <c r="C822" t="s">
        <v>457</v>
      </c>
      <c r="D822" t="s">
        <v>457</v>
      </c>
      <c r="E822">
        <v>0</v>
      </c>
    </row>
    <row r="823">
      <c r="A823" t="s">
        <v>21</v>
      </c>
      <c r="B823" t="s">
        <v>99</v>
      </c>
      <c r="C823" t="s">
        <v>376</v>
      </c>
      <c r="D823" t="s">
        <v>376</v>
      </c>
      <c r="E823">
        <v>0</v>
      </c>
    </row>
    <row r="824">
      <c r="A824" t="s">
        <v>21</v>
      </c>
      <c r="B824" t="s">
        <v>93</v>
      </c>
      <c r="C824" t="s">
        <v>432</v>
      </c>
      <c r="D824" t="s">
        <v>432</v>
      </c>
      <c r="E824">
        <v>0</v>
      </c>
    </row>
    <row r="825">
      <c r="A825" t="s">
        <v>21</v>
      </c>
      <c r="B825" t="s">
        <v>174</v>
      </c>
      <c r="C825" t="s">
        <v>338</v>
      </c>
      <c r="D825" t="s">
        <v>338</v>
      </c>
      <c r="E825">
        <v>0</v>
      </c>
    </row>
    <row r="826">
      <c r="A826" t="s">
        <v>21</v>
      </c>
      <c r="B826" t="s">
        <v>143</v>
      </c>
      <c r="C826" t="s">
        <v>463</v>
      </c>
      <c r="D826" t="s">
        <v>463</v>
      </c>
      <c r="E826">
        <v>0</v>
      </c>
    </row>
    <row r="827">
      <c r="A827" t="s">
        <v>21</v>
      </c>
      <c r="B827" t="s">
        <v>215</v>
      </c>
      <c r="C827" t="s">
        <v>361</v>
      </c>
      <c r="D827" t="s">
        <v>361</v>
      </c>
      <c r="E827">
        <v>0</v>
      </c>
    </row>
    <row r="828">
      <c r="A828" t="s">
        <v>21</v>
      </c>
      <c r="B828" t="s">
        <v>344</v>
      </c>
      <c r="C828" t="s">
        <v>402</v>
      </c>
      <c r="D828" t="s">
        <v>402</v>
      </c>
      <c r="E8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 view="normal" zoomScaleSheetLayoutView="60">
      <selection activeCell="E202" activeCellId="0" sqref="E202"/>
    </sheetView>
  </sheetViews>
  <sheetFormatPr defaultRowHeight="15" outlineLevelRow="0" outlineLevelCol="0"/>
  <cols>
    <col min="1" max="1" width="27.21875" customWidth="1"/>
    <col min="2" max="2" width="12.21875" customWidth="1"/>
    <col min="3" max="3" width="11.5546875" customWidth="1" bestFit="1"/>
  </cols>
  <sheetData>
    <row r="1">
      <c r="A1" s="1" t="s">
        <v>1</v>
      </c>
      <c r="B1" s="1" t="s">
        <v>490</v>
      </c>
      <c r="C1" s="35" t="s">
        <v>473</v>
      </c>
      <c r="D1" t="s">
        <v>551</v>
      </c>
    </row>
    <row r="2" hidden="1">
      <c r="A2" t="s">
        <v>70</v>
      </c>
      <c r="B2">
        <v>7</v>
      </c>
      <c r="C2">
        <v>324443</v>
      </c>
      <c r="D2">
        <f>COUNTIF('Задание1'!E:E,A2)</f>
        <v>4</v>
      </c>
    </row>
    <row r="3" hidden="1">
      <c r="A3" t="s">
        <v>339</v>
      </c>
      <c r="B3">
        <v>3</v>
      </c>
      <c r="C3">
        <v>224761</v>
      </c>
      <c r="D3">
        <f>COUNTIF('Задание1'!E:E,A3)</f>
        <v>2</v>
      </c>
    </row>
    <row r="4" hidden="1">
      <c r="A4" t="s">
        <v>96</v>
      </c>
      <c r="B4">
        <v>7</v>
      </c>
      <c r="C4">
        <v>365996</v>
      </c>
      <c r="D4">
        <f>COUNTIF('Задание1'!E:E,A4)</f>
        <v>6</v>
      </c>
    </row>
    <row r="5" hidden="1">
      <c r="A5" t="s">
        <v>189</v>
      </c>
      <c r="B5">
        <v>8</v>
      </c>
      <c r="C5">
        <v>391688</v>
      </c>
      <c r="D5">
        <f>COUNTIF('Задание1'!E:E,A5)</f>
        <v>6</v>
      </c>
    </row>
    <row r="6" hidden="1">
      <c r="A6" t="s">
        <v>42</v>
      </c>
      <c r="B6">
        <v>9</v>
      </c>
      <c r="C6">
        <v>620614</v>
      </c>
      <c r="D6">
        <f>COUNTIF('Задание1'!E:E,A6)</f>
        <v>6</v>
      </c>
    </row>
    <row r="7" hidden="1">
      <c r="A7" t="s">
        <v>276</v>
      </c>
      <c r="B7">
        <v>2</v>
      </c>
      <c r="C7">
        <v>105213</v>
      </c>
      <c r="D7">
        <f>COUNTIF('Задание1'!E:E,A7)</f>
        <v>2</v>
      </c>
    </row>
    <row r="8" hidden="1">
      <c r="A8" t="s">
        <v>291</v>
      </c>
      <c r="B8">
        <v>7</v>
      </c>
      <c r="C8">
        <v>461901</v>
      </c>
      <c r="D8">
        <f>COUNTIF('Задание1'!E:E,A8)</f>
        <v>6</v>
      </c>
    </row>
    <row r="9" hidden="1">
      <c r="A9" t="s">
        <v>81</v>
      </c>
      <c r="B9">
        <v>4</v>
      </c>
      <c r="C9">
        <v>238125</v>
      </c>
      <c r="D9">
        <f>COUNTIF('Задание1'!E:E,A9)</f>
        <v>4</v>
      </c>
    </row>
    <row r="10" hidden="1">
      <c r="A10" t="s">
        <v>18</v>
      </c>
      <c r="B10">
        <v>5</v>
      </c>
      <c r="C10">
        <v>287799</v>
      </c>
      <c r="D10">
        <f>COUNTIF('Задание1'!E:E,A10)</f>
        <v>4</v>
      </c>
    </row>
    <row r="11" hidden="1">
      <c r="A11" t="s">
        <v>146</v>
      </c>
      <c r="B11">
        <v>2</v>
      </c>
      <c r="C11">
        <v>101151</v>
      </c>
      <c r="D11">
        <f>COUNTIF('Задание1'!E:E,A11)</f>
        <v>2</v>
      </c>
    </row>
    <row r="12" hidden="1">
      <c r="A12" t="s">
        <v>284</v>
      </c>
      <c r="B12">
        <v>8</v>
      </c>
      <c r="C12">
        <v>478952</v>
      </c>
      <c r="D12">
        <f>COUNTIF('Задание1'!E:E,A12)</f>
        <v>7</v>
      </c>
    </row>
    <row r="13" hidden="1">
      <c r="A13" t="s">
        <v>142</v>
      </c>
      <c r="B13">
        <v>7</v>
      </c>
      <c r="C13">
        <v>394255</v>
      </c>
      <c r="D13">
        <f>COUNTIF('Задание1'!E:E,A13)</f>
        <v>5</v>
      </c>
    </row>
    <row r="14" hidden="1">
      <c r="A14" t="s">
        <v>231</v>
      </c>
      <c r="B14">
        <v>3</v>
      </c>
      <c r="C14">
        <v>85376</v>
      </c>
      <c r="D14">
        <f>COUNTIF('Задание1'!E:E,A14)</f>
        <v>3</v>
      </c>
    </row>
    <row r="15" hidden="1">
      <c r="A15" t="s">
        <v>135</v>
      </c>
      <c r="B15">
        <v>3</v>
      </c>
      <c r="C15">
        <v>181830</v>
      </c>
      <c r="D15">
        <f>COUNTIF('Задание1'!E:E,A15)</f>
        <v>2</v>
      </c>
    </row>
    <row r="16" hidden="1">
      <c r="A16" t="s">
        <v>48</v>
      </c>
      <c r="B16">
        <v>3</v>
      </c>
      <c r="C16">
        <v>101387</v>
      </c>
      <c r="D16">
        <f>COUNTIF('Задание1'!E:E,A16)</f>
        <v>3</v>
      </c>
    </row>
    <row r="17" hidden="1">
      <c r="A17" t="s">
        <v>137</v>
      </c>
      <c r="B17">
        <v>6</v>
      </c>
      <c r="C17">
        <v>402910</v>
      </c>
      <c r="D17">
        <f>COUNTIF('Задание1'!E:E,A17)</f>
        <v>5</v>
      </c>
    </row>
    <row r="18" hidden="1">
      <c r="A18" t="s">
        <v>256</v>
      </c>
      <c r="B18">
        <v>6</v>
      </c>
      <c r="C18">
        <v>162383</v>
      </c>
      <c r="D18">
        <f>COUNTIF('Задание1'!E:E,A18)</f>
        <v>5</v>
      </c>
    </row>
    <row r="19" hidden="1">
      <c r="A19" t="s">
        <v>79</v>
      </c>
      <c r="B19">
        <v>4</v>
      </c>
      <c r="C19">
        <v>200268</v>
      </c>
      <c r="D19">
        <f>COUNTIF('Задание1'!E:E,A19)</f>
        <v>4</v>
      </c>
    </row>
    <row r="20" hidden="1">
      <c r="A20" t="s">
        <v>321</v>
      </c>
      <c r="B20">
        <v>4</v>
      </c>
      <c r="C20">
        <v>223818</v>
      </c>
      <c r="D20">
        <f>COUNTIF('Задание1'!E:E,A20)</f>
        <v>4</v>
      </c>
    </row>
    <row r="21" hidden="1">
      <c r="A21" t="s">
        <v>223</v>
      </c>
      <c r="B21">
        <v>6</v>
      </c>
      <c r="C21">
        <v>146881</v>
      </c>
      <c r="D21">
        <f>COUNTIF('Задание1'!E:E,A21)</f>
        <v>5</v>
      </c>
    </row>
    <row r="22">
      <c r="A22" t="s">
        <v>188</v>
      </c>
      <c r="B22">
        <v>1</v>
      </c>
      <c r="C22">
        <v>50052</v>
      </c>
      <c r="D22">
        <f>COUNTIF('Задание1'!E:E,A22)</f>
        <v>1</v>
      </c>
    </row>
    <row r="23" hidden="1">
      <c r="A23" t="s">
        <v>82</v>
      </c>
      <c r="B23">
        <v>3</v>
      </c>
      <c r="C23">
        <v>174583</v>
      </c>
      <c r="D23">
        <f>COUNTIF('Задание1'!E:E,A23)</f>
        <v>2</v>
      </c>
    </row>
    <row r="24" hidden="1">
      <c r="A24" t="s">
        <v>161</v>
      </c>
      <c r="B24">
        <v>8</v>
      </c>
      <c r="C24">
        <v>351587</v>
      </c>
      <c r="D24">
        <f>COUNTIF('Задание1'!E:E,A24)</f>
        <v>6</v>
      </c>
    </row>
    <row r="25" hidden="1">
      <c r="A25" t="s">
        <v>196</v>
      </c>
      <c r="B25">
        <v>5</v>
      </c>
      <c r="C25">
        <v>338224</v>
      </c>
      <c r="D25">
        <f>COUNTIF('Задание1'!E:E,A25)</f>
        <v>4</v>
      </c>
    </row>
    <row r="26" hidden="1">
      <c r="A26" t="s">
        <v>95</v>
      </c>
      <c r="B26">
        <v>4</v>
      </c>
      <c r="C26">
        <v>236292</v>
      </c>
      <c r="D26">
        <f>COUNTIF('Задание1'!E:E,A26)</f>
        <v>4</v>
      </c>
    </row>
    <row r="27" hidden="1">
      <c r="A27" t="s">
        <v>272</v>
      </c>
      <c r="B27">
        <v>6</v>
      </c>
      <c r="C27">
        <v>266144</v>
      </c>
      <c r="D27">
        <f>COUNTIF('Задание1'!E:E,A27)</f>
        <v>5</v>
      </c>
    </row>
    <row r="28" hidden="1">
      <c r="A28" t="s">
        <v>26</v>
      </c>
      <c r="B28">
        <v>3</v>
      </c>
      <c r="C28">
        <v>205396</v>
      </c>
      <c r="D28">
        <f>COUNTIF('Задание1'!E:E,A28)</f>
        <v>3</v>
      </c>
    </row>
    <row r="29" hidden="1">
      <c r="A29" t="s">
        <v>365</v>
      </c>
      <c r="B29">
        <v>2</v>
      </c>
      <c r="C29">
        <v>106089</v>
      </c>
      <c r="D29">
        <f>COUNTIF('Задание1'!E:E,A29)</f>
        <v>2</v>
      </c>
    </row>
    <row r="30" hidden="1">
      <c r="A30" t="s">
        <v>49</v>
      </c>
      <c r="B30">
        <v>10</v>
      </c>
      <c r="C30">
        <v>563986</v>
      </c>
      <c r="D30">
        <f>COUNTIF('Задание1'!E:E,A30)</f>
        <v>7</v>
      </c>
    </row>
    <row r="31" hidden="1">
      <c r="A31" t="s">
        <v>85</v>
      </c>
      <c r="B31">
        <v>6</v>
      </c>
      <c r="C31">
        <v>447688</v>
      </c>
      <c r="D31">
        <f>COUNTIF('Задание1'!E:E,A31)</f>
        <v>6</v>
      </c>
    </row>
    <row r="32" hidden="1">
      <c r="A32" t="s">
        <v>140</v>
      </c>
      <c r="B32">
        <v>4</v>
      </c>
      <c r="C32">
        <v>220108</v>
      </c>
      <c r="D32">
        <f>COUNTIF('Задание1'!E:E,A32)</f>
        <v>3</v>
      </c>
    </row>
    <row r="33" hidden="1">
      <c r="A33" t="s">
        <v>83</v>
      </c>
      <c r="B33">
        <v>8</v>
      </c>
      <c r="C33">
        <v>464553</v>
      </c>
      <c r="D33">
        <f>COUNTIF('Задание1'!E:E,A33)</f>
        <v>6</v>
      </c>
    </row>
    <row r="34" hidden="1">
      <c r="A34" t="s">
        <v>12</v>
      </c>
      <c r="B34">
        <v>6</v>
      </c>
      <c r="C34">
        <v>367724</v>
      </c>
      <c r="D34">
        <f>COUNTIF('Задание1'!E:E,A34)</f>
        <v>5</v>
      </c>
    </row>
    <row r="35" hidden="1">
      <c r="A35" t="s">
        <v>198</v>
      </c>
      <c r="B35">
        <v>4</v>
      </c>
      <c r="C35">
        <v>225582</v>
      </c>
      <c r="D35">
        <f>COUNTIF('Задание1'!E:E,A35)</f>
        <v>3</v>
      </c>
    </row>
    <row r="36" hidden="1">
      <c r="A36" t="s">
        <v>240</v>
      </c>
      <c r="B36">
        <v>3</v>
      </c>
      <c r="C36">
        <v>214640</v>
      </c>
      <c r="D36">
        <f>COUNTIF('Задание1'!E:E,A36)</f>
        <v>3</v>
      </c>
    </row>
    <row r="37" hidden="1">
      <c r="A37" t="s">
        <v>250</v>
      </c>
      <c r="B37">
        <v>4</v>
      </c>
      <c r="C37">
        <v>298044</v>
      </c>
      <c r="D37">
        <f>COUNTIF('Задание1'!E:E,A37)</f>
        <v>3</v>
      </c>
    </row>
    <row r="38" hidden="1">
      <c r="A38" t="s">
        <v>16</v>
      </c>
      <c r="B38">
        <v>6</v>
      </c>
      <c r="C38">
        <v>298589</v>
      </c>
      <c r="D38">
        <f>COUNTIF('Задание1'!E:E,A38)</f>
        <v>5</v>
      </c>
    </row>
    <row r="39">
      <c r="A39" t="s">
        <v>462</v>
      </c>
      <c r="B39">
        <v>1</v>
      </c>
      <c r="C39">
        <v>70414</v>
      </c>
      <c r="D39">
        <f>COUNTIF('Задание1'!E:E,A39)</f>
        <v>1</v>
      </c>
    </row>
    <row r="40" hidden="1">
      <c r="A40" t="s">
        <v>71</v>
      </c>
      <c r="B40">
        <v>7</v>
      </c>
      <c r="C40">
        <v>323747</v>
      </c>
      <c r="D40">
        <f>COUNTIF('Задание1'!E:E,A40)</f>
        <v>7</v>
      </c>
    </row>
    <row r="41" hidden="1">
      <c r="A41" t="s">
        <v>80</v>
      </c>
      <c r="B41">
        <v>6</v>
      </c>
      <c r="C41">
        <v>260920</v>
      </c>
      <c r="D41">
        <f>COUNTIF('Задание1'!E:E,A41)</f>
        <v>6</v>
      </c>
    </row>
    <row r="42" hidden="1">
      <c r="A42" t="s">
        <v>103</v>
      </c>
      <c r="B42">
        <v>11</v>
      </c>
      <c r="C42">
        <v>576582</v>
      </c>
      <c r="D42">
        <f>COUNTIF('Задание1'!E:E,A42)</f>
        <v>8</v>
      </c>
    </row>
    <row r="43" hidden="1">
      <c r="A43" t="s">
        <v>9</v>
      </c>
      <c r="B43">
        <v>3</v>
      </c>
      <c r="C43">
        <v>217821</v>
      </c>
      <c r="D43">
        <f>COUNTIF('Задание1'!E:E,A43)</f>
        <v>2</v>
      </c>
    </row>
    <row r="44" hidden="1">
      <c r="A44" t="s">
        <v>38</v>
      </c>
      <c r="B44">
        <v>6</v>
      </c>
      <c r="C44">
        <v>340861</v>
      </c>
      <c r="D44">
        <f>COUNTIF('Задание1'!E:E,A44)</f>
        <v>4</v>
      </c>
    </row>
    <row r="45" hidden="1">
      <c r="A45" t="s">
        <v>33</v>
      </c>
      <c r="B45">
        <v>4</v>
      </c>
      <c r="C45">
        <v>212481</v>
      </c>
      <c r="D45">
        <f>COUNTIF('Задание1'!E:E,A45)</f>
        <v>3</v>
      </c>
    </row>
    <row r="46" hidden="1">
      <c r="A46" t="s">
        <v>118</v>
      </c>
      <c r="B46">
        <v>6</v>
      </c>
      <c r="C46">
        <v>148254</v>
      </c>
      <c r="D46">
        <f>COUNTIF('Задание1'!E:E,A46)</f>
        <v>5</v>
      </c>
    </row>
    <row r="47" hidden="1">
      <c r="A47" t="s">
        <v>265</v>
      </c>
      <c r="B47">
        <v>9</v>
      </c>
      <c r="C47">
        <v>494742</v>
      </c>
      <c r="D47">
        <f>COUNTIF('Задание1'!E:E,A47)</f>
        <v>6</v>
      </c>
    </row>
    <row r="48" hidden="1">
      <c r="A48" t="s">
        <v>59</v>
      </c>
      <c r="B48">
        <v>6</v>
      </c>
      <c r="C48">
        <v>323971</v>
      </c>
      <c r="D48">
        <f>COUNTIF('Задание1'!E:E,A48)</f>
        <v>4</v>
      </c>
    </row>
    <row r="49" hidden="1">
      <c r="A49" t="s">
        <v>121</v>
      </c>
      <c r="B49">
        <v>4</v>
      </c>
      <c r="C49">
        <v>186232</v>
      </c>
      <c r="D49">
        <f>COUNTIF('Задание1'!E:E,A49)</f>
        <v>4</v>
      </c>
    </row>
    <row r="50" hidden="1">
      <c r="A50" t="s">
        <v>315</v>
      </c>
      <c r="B50">
        <v>2</v>
      </c>
      <c r="C50">
        <v>152024</v>
      </c>
      <c r="D50">
        <f>COUNTIF('Задание1'!E:E,A50)</f>
        <v>2</v>
      </c>
    </row>
    <row r="51" hidden="1">
      <c r="A51" t="s">
        <v>115</v>
      </c>
      <c r="B51">
        <v>5</v>
      </c>
      <c r="C51">
        <v>380980</v>
      </c>
      <c r="D51">
        <f>COUNTIF('Задание1'!E:E,A51)</f>
        <v>4</v>
      </c>
    </row>
    <row r="52" hidden="1">
      <c r="A52" t="s">
        <v>98</v>
      </c>
      <c r="B52">
        <v>8</v>
      </c>
      <c r="C52">
        <v>446500</v>
      </c>
      <c r="D52">
        <f>COUNTIF('Задание1'!E:E,A52)</f>
        <v>7</v>
      </c>
    </row>
    <row r="53" hidden="1">
      <c r="A53" t="s">
        <v>222</v>
      </c>
      <c r="B53">
        <v>11</v>
      </c>
      <c r="C53">
        <v>572727</v>
      </c>
      <c r="D53">
        <f>COUNTIF('Задание1'!E:E,A53)</f>
        <v>7</v>
      </c>
    </row>
    <row r="54" hidden="1">
      <c r="A54" t="s">
        <v>165</v>
      </c>
      <c r="B54">
        <v>2</v>
      </c>
      <c r="C54">
        <v>57221</v>
      </c>
      <c r="D54">
        <f>COUNTIF('Задание1'!E:E,A54)</f>
        <v>2</v>
      </c>
    </row>
    <row r="55" hidden="1">
      <c r="A55" t="s">
        <v>217</v>
      </c>
      <c r="B55">
        <v>7</v>
      </c>
      <c r="C55">
        <v>327891</v>
      </c>
      <c r="D55">
        <f>COUNTIF('Задание1'!E:E,A55)</f>
        <v>5</v>
      </c>
    </row>
    <row r="56" hidden="1">
      <c r="A56" t="s">
        <v>185</v>
      </c>
      <c r="B56">
        <v>11</v>
      </c>
      <c r="C56">
        <v>478860</v>
      </c>
      <c r="D56">
        <f>COUNTIF('Задание1'!E:E,A56)</f>
        <v>6</v>
      </c>
    </row>
    <row r="57" hidden="1">
      <c r="A57" t="s">
        <v>110</v>
      </c>
      <c r="B57">
        <v>6</v>
      </c>
      <c r="C57">
        <v>361919</v>
      </c>
      <c r="D57">
        <f>COUNTIF('Задание1'!E:E,A57)</f>
        <v>6</v>
      </c>
    </row>
    <row r="58" hidden="1">
      <c r="A58" t="s">
        <v>130</v>
      </c>
      <c r="B58">
        <v>2</v>
      </c>
      <c r="C58">
        <v>129845</v>
      </c>
      <c r="D58">
        <f>COUNTIF('Задание1'!E:E,A58)</f>
        <v>2</v>
      </c>
    </row>
    <row r="59" hidden="1">
      <c r="A59" t="s">
        <v>22</v>
      </c>
      <c r="B59">
        <v>5</v>
      </c>
      <c r="C59">
        <v>377144</v>
      </c>
      <c r="D59">
        <f>COUNTIF('Задание1'!E:E,A59)</f>
        <v>4</v>
      </c>
    </row>
    <row r="60" hidden="1">
      <c r="A60" t="s">
        <v>162</v>
      </c>
      <c r="B60">
        <v>3</v>
      </c>
      <c r="C60">
        <v>80851</v>
      </c>
      <c r="D60">
        <f>COUNTIF('Задание1'!E:E,A60)</f>
        <v>3</v>
      </c>
    </row>
    <row r="61" hidden="1">
      <c r="A61" t="s">
        <v>175</v>
      </c>
      <c r="B61">
        <v>3</v>
      </c>
      <c r="C61">
        <v>169234</v>
      </c>
      <c r="D61">
        <f>COUNTIF('Задание1'!E:E,A61)</f>
        <v>3</v>
      </c>
    </row>
    <row r="62" hidden="1">
      <c r="A62" t="s">
        <v>129</v>
      </c>
      <c r="B62">
        <v>4</v>
      </c>
      <c r="C62">
        <v>230931</v>
      </c>
      <c r="D62">
        <f>COUNTIF('Задание1'!E:E,A62)</f>
        <v>4</v>
      </c>
    </row>
    <row r="63" hidden="1">
      <c r="A63" t="s">
        <v>278</v>
      </c>
      <c r="B63">
        <v>2</v>
      </c>
      <c r="C63">
        <v>31063</v>
      </c>
      <c r="D63">
        <f>COUNTIF('Задание1'!E:E,A63)</f>
        <v>2</v>
      </c>
    </row>
    <row r="64" hidden="1">
      <c r="A64" t="s">
        <v>287</v>
      </c>
      <c r="B64">
        <v>3</v>
      </c>
      <c r="C64">
        <v>228786</v>
      </c>
      <c r="D64">
        <f>COUNTIF('Задание1'!E:E,A64)</f>
        <v>3</v>
      </c>
    </row>
    <row r="65" hidden="1">
      <c r="A65" t="s">
        <v>214</v>
      </c>
      <c r="B65">
        <v>4</v>
      </c>
      <c r="C65">
        <v>200464</v>
      </c>
      <c r="D65">
        <f>COUNTIF('Задание1'!E:E,A65)</f>
        <v>4</v>
      </c>
    </row>
    <row r="66" hidden="1">
      <c r="A66" t="s">
        <v>92</v>
      </c>
      <c r="B66">
        <v>7</v>
      </c>
      <c r="C66">
        <v>425665</v>
      </c>
      <c r="D66">
        <f>COUNTIF('Задание1'!E:E,A66)</f>
        <v>5</v>
      </c>
    </row>
    <row r="67" hidden="1">
      <c r="A67" t="s">
        <v>55</v>
      </c>
      <c r="B67">
        <v>4</v>
      </c>
      <c r="C67">
        <v>234504</v>
      </c>
      <c r="D67">
        <f>COUNTIF('Задание1'!E:E,A67)</f>
        <v>3</v>
      </c>
    </row>
    <row r="68" hidden="1">
      <c r="A68" t="s">
        <v>61</v>
      </c>
      <c r="B68">
        <v>5</v>
      </c>
      <c r="C68">
        <v>191433</v>
      </c>
      <c r="D68">
        <f>COUNTIF('Задание1'!E:E,A68)</f>
        <v>5</v>
      </c>
    </row>
    <row r="69" hidden="1">
      <c r="A69" t="s">
        <v>40</v>
      </c>
      <c r="B69">
        <v>4</v>
      </c>
      <c r="C69">
        <v>188592</v>
      </c>
      <c r="D69">
        <f>COUNTIF('Задание1'!E:E,A69)</f>
        <v>3</v>
      </c>
    </row>
    <row r="70" hidden="1">
      <c r="A70" t="s">
        <v>29</v>
      </c>
      <c r="B70">
        <v>3</v>
      </c>
      <c r="C70">
        <v>230194</v>
      </c>
      <c r="D70">
        <f>COUNTIF('Задание1'!E:E,A70)</f>
        <v>3</v>
      </c>
    </row>
    <row r="71" hidden="1">
      <c r="A71" t="s">
        <v>237</v>
      </c>
      <c r="B71">
        <v>3</v>
      </c>
      <c r="C71">
        <v>236986</v>
      </c>
      <c r="D71">
        <f>COUNTIF('Задание1'!E:E,A71)</f>
        <v>3</v>
      </c>
    </row>
    <row r="72" hidden="1">
      <c r="A72" t="s">
        <v>75</v>
      </c>
      <c r="B72">
        <v>4</v>
      </c>
      <c r="C72">
        <v>183807</v>
      </c>
      <c r="D72">
        <f>COUNTIF('Задание1'!E:E,A72)</f>
        <v>4</v>
      </c>
    </row>
    <row r="73" hidden="1">
      <c r="A73" t="s">
        <v>133</v>
      </c>
      <c r="B73">
        <v>2</v>
      </c>
      <c r="C73">
        <v>116063</v>
      </c>
      <c r="D73">
        <f>COUNTIF('Задание1'!E:E,A73)</f>
        <v>2</v>
      </c>
    </row>
    <row r="74" hidden="1">
      <c r="A74" t="s">
        <v>132</v>
      </c>
      <c r="B74">
        <v>4</v>
      </c>
      <c r="C74">
        <v>134906</v>
      </c>
      <c r="D74">
        <f>COUNTIF('Задание1'!E:E,A74)</f>
        <v>4</v>
      </c>
    </row>
    <row r="75" hidden="1">
      <c r="A75" t="s">
        <v>273</v>
      </c>
      <c r="B75">
        <v>4</v>
      </c>
      <c r="C75">
        <v>197946</v>
      </c>
      <c r="D75">
        <f>COUNTIF('Задание1'!E:E,A75)</f>
        <v>3</v>
      </c>
    </row>
    <row r="76" hidden="1">
      <c r="A76" t="s">
        <v>342</v>
      </c>
      <c r="B76">
        <v>2</v>
      </c>
      <c r="C76">
        <v>75819</v>
      </c>
      <c r="D76">
        <f>COUNTIF('Задание1'!E:E,A76)</f>
        <v>2</v>
      </c>
    </row>
    <row r="77" hidden="1">
      <c r="A77" t="s">
        <v>39</v>
      </c>
      <c r="B77">
        <v>6</v>
      </c>
      <c r="C77">
        <v>311293</v>
      </c>
      <c r="D77">
        <f>COUNTIF('Задание1'!E:E,A77)</f>
        <v>6</v>
      </c>
    </row>
    <row r="78" hidden="1">
      <c r="A78" t="s">
        <v>138</v>
      </c>
      <c r="B78">
        <v>6</v>
      </c>
      <c r="C78">
        <v>203859</v>
      </c>
      <c r="D78">
        <f>COUNTIF('Задание1'!E:E,A78)</f>
        <v>5</v>
      </c>
    </row>
    <row r="79" hidden="1">
      <c r="A79" t="s">
        <v>68</v>
      </c>
      <c r="B79">
        <v>7</v>
      </c>
      <c r="C79">
        <v>291466</v>
      </c>
      <c r="D79">
        <f>COUNTIF('Задание1'!E:E,A79)</f>
        <v>7</v>
      </c>
    </row>
    <row r="80" hidden="1">
      <c r="A80" t="s">
        <v>207</v>
      </c>
      <c r="B80">
        <v>5</v>
      </c>
      <c r="C80">
        <v>323257</v>
      </c>
      <c r="D80">
        <f>COUNTIF('Задание1'!E:E,A80)</f>
        <v>4</v>
      </c>
    </row>
    <row r="81" hidden="1">
      <c r="A81" t="s">
        <v>65</v>
      </c>
      <c r="B81">
        <v>7</v>
      </c>
      <c r="C81">
        <v>356467</v>
      </c>
      <c r="D81">
        <f>COUNTIF('Задание1'!E:E,A81)</f>
        <v>6</v>
      </c>
    </row>
    <row r="82" hidden="1">
      <c r="A82" t="s">
        <v>209</v>
      </c>
      <c r="B82">
        <v>5</v>
      </c>
      <c r="C82">
        <v>287915</v>
      </c>
      <c r="D82">
        <f>COUNTIF('Задание1'!E:E,A82)</f>
        <v>4</v>
      </c>
    </row>
    <row r="83" hidden="1">
      <c r="A83" t="s">
        <v>108</v>
      </c>
      <c r="B83">
        <v>9</v>
      </c>
      <c r="C83">
        <v>676125</v>
      </c>
      <c r="D83">
        <f>COUNTIF('Задание1'!E:E,A83)</f>
        <v>5</v>
      </c>
    </row>
    <row r="84" hidden="1">
      <c r="A84" t="s">
        <v>218</v>
      </c>
      <c r="B84">
        <v>5</v>
      </c>
      <c r="C84">
        <v>283384</v>
      </c>
      <c r="D84">
        <f>COUNTIF('Задание1'!E:E,A84)</f>
        <v>5</v>
      </c>
    </row>
    <row r="85" hidden="1">
      <c r="A85" t="s">
        <v>163</v>
      </c>
      <c r="B85">
        <v>4</v>
      </c>
      <c r="C85">
        <v>182603</v>
      </c>
      <c r="D85">
        <f>COUNTIF('Задание1'!E:E,A85)</f>
        <v>4</v>
      </c>
    </row>
    <row r="86">
      <c r="A86" t="s">
        <v>182</v>
      </c>
      <c r="B86">
        <v>1</v>
      </c>
      <c r="C86">
        <v>24770</v>
      </c>
      <c r="D86">
        <f>COUNTIF('Задание1'!E:E,A86)</f>
        <v>1</v>
      </c>
    </row>
    <row r="87" hidden="1">
      <c r="A87" t="s">
        <v>248</v>
      </c>
      <c r="B87">
        <v>8</v>
      </c>
      <c r="C87">
        <v>424709</v>
      </c>
      <c r="D87">
        <f>COUNTIF('Задание1'!E:E,A87)</f>
        <v>6</v>
      </c>
    </row>
    <row r="88" hidden="1">
      <c r="A88" t="s">
        <v>151</v>
      </c>
      <c r="B88">
        <v>9</v>
      </c>
      <c r="C88">
        <v>627885</v>
      </c>
      <c r="D88">
        <f>COUNTIF('Задание1'!E:E,A88)</f>
        <v>7</v>
      </c>
    </row>
    <row r="89" hidden="1">
      <c r="A89" t="s">
        <v>267</v>
      </c>
      <c r="B89">
        <v>6</v>
      </c>
      <c r="C89">
        <v>353911</v>
      </c>
      <c r="D89">
        <f>COUNTIF('Задание1'!E:E,A89)</f>
        <v>5</v>
      </c>
    </row>
    <row r="90" hidden="1">
      <c r="A90" t="s">
        <v>190</v>
      </c>
      <c r="B90">
        <v>7</v>
      </c>
      <c r="C90">
        <v>430273</v>
      </c>
      <c r="D90">
        <f>COUNTIF('Задание1'!E:E,A90)</f>
        <v>6</v>
      </c>
    </row>
    <row r="91" hidden="1">
      <c r="A91" t="s">
        <v>91</v>
      </c>
      <c r="B91">
        <v>6</v>
      </c>
      <c r="C91">
        <v>324037</v>
      </c>
      <c r="D91">
        <f>COUNTIF('Задание1'!E:E,A91)</f>
        <v>6</v>
      </c>
    </row>
    <row r="92" hidden="1">
      <c r="A92" t="s">
        <v>37</v>
      </c>
      <c r="B92">
        <v>5</v>
      </c>
      <c r="C92">
        <v>268090</v>
      </c>
      <c r="D92">
        <f>COUNTIF('Задание1'!E:E,A92)</f>
        <v>4</v>
      </c>
    </row>
    <row r="93">
      <c r="A93" t="s">
        <v>220</v>
      </c>
      <c r="B93">
        <v>1</v>
      </c>
      <c r="C93">
        <v>58326</v>
      </c>
      <c r="D93">
        <f>COUNTIF('Задание1'!E:E,A93)</f>
        <v>1</v>
      </c>
    </row>
    <row r="94" hidden="1">
      <c r="A94" t="s">
        <v>280</v>
      </c>
      <c r="B94">
        <v>3</v>
      </c>
      <c r="C94">
        <v>102823</v>
      </c>
      <c r="D94">
        <f>COUNTIF('Задание1'!E:E,A94)</f>
        <v>2</v>
      </c>
    </row>
    <row r="95" hidden="1">
      <c r="A95" t="s">
        <v>186</v>
      </c>
      <c r="B95">
        <v>8</v>
      </c>
      <c r="C95">
        <v>579536</v>
      </c>
      <c r="D95">
        <f>COUNTIF('Задание1'!E:E,A95)</f>
        <v>6</v>
      </c>
    </row>
    <row r="96" hidden="1">
      <c r="A96" t="s">
        <v>119</v>
      </c>
      <c r="B96">
        <v>10</v>
      </c>
      <c r="C96">
        <v>486589</v>
      </c>
      <c r="D96">
        <f>COUNTIF('Задание1'!E:E,A96)</f>
        <v>7</v>
      </c>
    </row>
    <row r="97" hidden="1">
      <c r="A97" t="s">
        <v>168</v>
      </c>
      <c r="B97">
        <v>5</v>
      </c>
      <c r="C97">
        <v>253581</v>
      </c>
      <c r="D97">
        <f>COUNTIF('Задание1'!E:E,A97)</f>
        <v>4</v>
      </c>
    </row>
    <row r="98" hidden="1">
      <c r="A98" t="s">
        <v>252</v>
      </c>
      <c r="B98">
        <v>7</v>
      </c>
      <c r="C98">
        <v>431035</v>
      </c>
      <c r="D98">
        <f>COUNTIF('Задание1'!E:E,A98)</f>
        <v>6</v>
      </c>
    </row>
    <row r="99" hidden="1">
      <c r="A99" t="s">
        <v>227</v>
      </c>
      <c r="B99">
        <v>6</v>
      </c>
      <c r="C99">
        <v>266171</v>
      </c>
      <c r="D99">
        <f>COUNTIF('Задание1'!E:E,A99)</f>
        <v>4</v>
      </c>
    </row>
    <row r="100" hidden="1">
      <c r="A100" t="s">
        <v>270</v>
      </c>
      <c r="B100">
        <v>6</v>
      </c>
      <c r="C100">
        <v>314848</v>
      </c>
      <c r="D100">
        <f>COUNTIF('Задание1'!E:E,A100)</f>
        <v>4</v>
      </c>
    </row>
    <row r="101" hidden="1">
      <c r="A101" t="s">
        <v>73</v>
      </c>
      <c r="B101">
        <v>3</v>
      </c>
      <c r="C101">
        <v>205826</v>
      </c>
      <c r="D101">
        <f>COUNTIF('Задание1'!E:E,A101)</f>
        <v>3</v>
      </c>
    </row>
    <row r="102" hidden="1">
      <c r="A102" t="s">
        <v>208</v>
      </c>
      <c r="B102">
        <v>4</v>
      </c>
      <c r="C102">
        <v>300262</v>
      </c>
      <c r="D102">
        <f>COUNTIF('Задание1'!E:E,A102)</f>
        <v>4</v>
      </c>
    </row>
    <row r="103" hidden="1">
      <c r="A103" t="s">
        <v>225</v>
      </c>
      <c r="B103">
        <v>2</v>
      </c>
      <c r="C103">
        <v>130562</v>
      </c>
      <c r="D103">
        <f>COUNTIF('Задание1'!E:E,A103)</f>
        <v>2</v>
      </c>
    </row>
    <row r="104" hidden="1">
      <c r="A104" t="s">
        <v>184</v>
      </c>
      <c r="B104">
        <v>9</v>
      </c>
      <c r="C104">
        <v>525918</v>
      </c>
      <c r="D104">
        <f>COUNTIF('Задание1'!E:E,A104)</f>
        <v>7</v>
      </c>
    </row>
    <row r="105" hidden="1">
      <c r="A105" t="s">
        <v>241</v>
      </c>
      <c r="B105">
        <v>4</v>
      </c>
      <c r="C105">
        <v>303254</v>
      </c>
      <c r="D105">
        <f>COUNTIF('Задание1'!E:E,A105)</f>
        <v>4</v>
      </c>
    </row>
    <row r="106" hidden="1">
      <c r="A106" t="s">
        <v>35</v>
      </c>
      <c r="B106">
        <v>7</v>
      </c>
      <c r="C106">
        <v>365982</v>
      </c>
      <c r="D106">
        <f>COUNTIF('Задание1'!E:E,A106)</f>
        <v>4</v>
      </c>
    </row>
    <row r="107" hidden="1">
      <c r="A107" t="s">
        <v>147</v>
      </c>
      <c r="B107">
        <v>12</v>
      </c>
      <c r="C107">
        <v>457961</v>
      </c>
      <c r="D107">
        <f>COUNTIF('Задание1'!E:E,A107)</f>
        <v>9</v>
      </c>
    </row>
    <row r="108" hidden="1">
      <c r="A108" t="s">
        <v>116</v>
      </c>
      <c r="B108">
        <v>6</v>
      </c>
      <c r="C108">
        <v>378755</v>
      </c>
      <c r="D108">
        <f>COUNTIF('Задание1'!E:E,A108)</f>
        <v>5</v>
      </c>
    </row>
    <row r="109" hidden="1">
      <c r="A109" t="s">
        <v>170</v>
      </c>
      <c r="B109">
        <v>5</v>
      </c>
      <c r="C109">
        <v>232854</v>
      </c>
      <c r="D109">
        <f>COUNTIF('Задание1'!E:E,A109)</f>
        <v>5</v>
      </c>
    </row>
    <row r="110" hidden="1">
      <c r="A110" t="s">
        <v>154</v>
      </c>
      <c r="B110">
        <v>3</v>
      </c>
      <c r="C110">
        <v>223810</v>
      </c>
      <c r="D110">
        <f>COUNTIF('Задание1'!E:E,A110)</f>
        <v>3</v>
      </c>
    </row>
    <row r="111" hidden="1">
      <c r="A111" t="s">
        <v>6</v>
      </c>
      <c r="B111">
        <v>9</v>
      </c>
      <c r="C111">
        <v>616547</v>
      </c>
      <c r="D111">
        <f>COUNTIF('Задание1'!E:E,A111)</f>
        <v>7</v>
      </c>
    </row>
    <row r="112" hidden="1">
      <c r="A112" t="s">
        <v>246</v>
      </c>
      <c r="B112">
        <v>3</v>
      </c>
      <c r="C112">
        <v>174743</v>
      </c>
      <c r="D112">
        <f>COUNTIF('Задание1'!E:E,A112)</f>
        <v>3</v>
      </c>
    </row>
    <row r="113" hidden="1">
      <c r="A113" t="s">
        <v>87</v>
      </c>
      <c r="B113">
        <v>6</v>
      </c>
      <c r="C113">
        <v>387129</v>
      </c>
      <c r="D113">
        <f>COUNTIF('Задание1'!E:E,A113)</f>
        <v>4</v>
      </c>
    </row>
    <row r="114" hidden="1">
      <c r="A114" t="s">
        <v>97</v>
      </c>
      <c r="B114">
        <v>4</v>
      </c>
      <c r="C114">
        <v>251572</v>
      </c>
      <c r="D114">
        <f>COUNTIF('Задание1'!E:E,A114)</f>
        <v>4</v>
      </c>
    </row>
    <row r="115" hidden="1">
      <c r="A115" t="s">
        <v>41</v>
      </c>
      <c r="B115">
        <v>4</v>
      </c>
      <c r="C115">
        <v>198997</v>
      </c>
      <c r="D115">
        <f>COUNTIF('Задание1'!E:E,A115)</f>
        <v>4</v>
      </c>
    </row>
    <row r="116" hidden="1">
      <c r="A116" t="s">
        <v>19</v>
      </c>
      <c r="B116">
        <v>5</v>
      </c>
      <c r="C116">
        <v>318830</v>
      </c>
      <c r="D116">
        <f>COUNTIF('Задание1'!E:E,A116)</f>
        <v>3</v>
      </c>
    </row>
    <row r="117" hidden="1">
      <c r="A117" t="s">
        <v>200</v>
      </c>
      <c r="B117">
        <v>3</v>
      </c>
      <c r="C117">
        <v>144308</v>
      </c>
      <c r="D117">
        <f>COUNTIF('Задание1'!E:E,A117)</f>
        <v>3</v>
      </c>
    </row>
    <row r="118" hidden="1">
      <c r="A118" t="s">
        <v>131</v>
      </c>
      <c r="B118">
        <v>6</v>
      </c>
      <c r="C118">
        <v>330214</v>
      </c>
      <c r="D118">
        <f>COUNTIF('Задание1'!E:E,A118)</f>
        <v>5</v>
      </c>
    </row>
    <row r="119" hidden="1">
      <c r="A119" t="s">
        <v>292</v>
      </c>
      <c r="B119">
        <v>2</v>
      </c>
      <c r="C119">
        <v>71928</v>
      </c>
      <c r="D119">
        <f>COUNTIF('Задание1'!E:E,A119)</f>
        <v>2</v>
      </c>
    </row>
    <row r="120" hidden="1">
      <c r="A120" t="s">
        <v>158</v>
      </c>
      <c r="B120">
        <v>7</v>
      </c>
      <c r="C120">
        <v>515505</v>
      </c>
      <c r="D120">
        <f>COUNTIF('Задание1'!E:E,A120)</f>
        <v>6</v>
      </c>
    </row>
    <row r="121" hidden="1">
      <c r="A121" t="s">
        <v>25</v>
      </c>
      <c r="B121">
        <v>5</v>
      </c>
      <c r="C121">
        <v>302229</v>
      </c>
      <c r="D121">
        <f>COUNTIF('Задание1'!E:E,A121)</f>
        <v>5</v>
      </c>
    </row>
    <row r="122" hidden="1">
      <c r="A122" t="s">
        <v>383</v>
      </c>
      <c r="B122">
        <v>2</v>
      </c>
      <c r="C122">
        <v>115869</v>
      </c>
      <c r="D122">
        <f>COUNTIF('Задание1'!E:E,A122)</f>
        <v>2</v>
      </c>
    </row>
    <row r="123" hidden="1">
      <c r="A123" t="s">
        <v>101</v>
      </c>
      <c r="B123">
        <v>2</v>
      </c>
      <c r="C123">
        <v>117886</v>
      </c>
      <c r="D123">
        <f>COUNTIF('Задание1'!E:E,A123)</f>
        <v>2</v>
      </c>
    </row>
    <row r="124" hidden="1">
      <c r="A124" t="s">
        <v>239</v>
      </c>
      <c r="B124">
        <v>8</v>
      </c>
      <c r="C124">
        <v>402400</v>
      </c>
      <c r="D124">
        <f>COUNTIF('Задание1'!E:E,A124)</f>
        <v>6</v>
      </c>
    </row>
    <row r="125" hidden="1">
      <c r="A125" t="s">
        <v>77</v>
      </c>
      <c r="B125">
        <v>5</v>
      </c>
      <c r="C125">
        <v>278875</v>
      </c>
      <c r="D125">
        <f>COUNTIF('Задание1'!E:E,A125)</f>
        <v>3</v>
      </c>
    </row>
    <row r="126" hidden="1">
      <c r="A126" t="s">
        <v>78</v>
      </c>
      <c r="B126">
        <v>6</v>
      </c>
      <c r="C126">
        <v>436351</v>
      </c>
      <c r="D126">
        <f>COUNTIF('Задание1'!E:E,A126)</f>
        <v>5</v>
      </c>
    </row>
    <row r="127" hidden="1">
      <c r="A127" t="s">
        <v>305</v>
      </c>
      <c r="B127">
        <v>4</v>
      </c>
      <c r="C127">
        <v>197224</v>
      </c>
      <c r="D127">
        <f>COUNTIF('Задание1'!E:E,A127)</f>
        <v>4</v>
      </c>
    </row>
    <row r="128" hidden="1">
      <c r="A128" t="s">
        <v>111</v>
      </c>
      <c r="B128">
        <v>4</v>
      </c>
      <c r="C128">
        <v>224581</v>
      </c>
      <c r="D128">
        <f>COUNTIF('Задание1'!E:E,A128)</f>
        <v>4</v>
      </c>
    </row>
    <row r="129" hidden="1">
      <c r="A129" t="s">
        <v>58</v>
      </c>
      <c r="B129">
        <v>5</v>
      </c>
      <c r="C129">
        <v>383881</v>
      </c>
      <c r="D129">
        <f>COUNTIF('Задание1'!E:E,A129)</f>
        <v>3</v>
      </c>
    </row>
    <row r="130" hidden="1">
      <c r="A130" t="s">
        <v>100</v>
      </c>
      <c r="B130">
        <v>3</v>
      </c>
      <c r="C130">
        <v>231601</v>
      </c>
      <c r="D130">
        <f>COUNTIF('Задание1'!E:E,A130)</f>
        <v>3</v>
      </c>
    </row>
    <row r="131" hidden="1">
      <c r="A131" t="s">
        <v>117</v>
      </c>
      <c r="B131">
        <v>4</v>
      </c>
      <c r="C131">
        <v>195607</v>
      </c>
      <c r="D131">
        <f>COUNTIF('Задание1'!E:E,A131)</f>
        <v>4</v>
      </c>
    </row>
    <row r="132" hidden="1">
      <c r="A132" t="s">
        <v>149</v>
      </c>
      <c r="B132">
        <v>6</v>
      </c>
      <c r="C132">
        <v>320806</v>
      </c>
      <c r="D132">
        <f>COUNTIF('Задание1'!E:E,A132)</f>
        <v>5</v>
      </c>
    </row>
    <row r="133" hidden="1">
      <c r="A133" t="s">
        <v>211</v>
      </c>
      <c r="B133">
        <v>4</v>
      </c>
      <c r="C133">
        <v>241975</v>
      </c>
      <c r="D133">
        <f>COUNTIF('Задание1'!E:E,A133)</f>
        <v>4</v>
      </c>
    </row>
    <row r="134" hidden="1">
      <c r="A134" t="s">
        <v>89</v>
      </c>
      <c r="B134">
        <v>7</v>
      </c>
      <c r="C134">
        <v>347590</v>
      </c>
      <c r="D134">
        <f>COUNTIF('Задание1'!E:E,A134)</f>
        <v>6</v>
      </c>
    </row>
    <row r="135" hidden="1">
      <c r="A135" t="s">
        <v>52</v>
      </c>
      <c r="B135">
        <v>3</v>
      </c>
      <c r="C135">
        <v>181139</v>
      </c>
      <c r="D135">
        <f>COUNTIF('Задание1'!E:E,A135)</f>
        <v>3</v>
      </c>
    </row>
    <row r="136" hidden="1">
      <c r="A136" t="s">
        <v>234</v>
      </c>
      <c r="B136">
        <v>4</v>
      </c>
      <c r="C136">
        <v>245261</v>
      </c>
      <c r="D136">
        <f>COUNTIF('Задание1'!E:E,A136)</f>
        <v>3</v>
      </c>
    </row>
    <row r="137" hidden="1">
      <c r="A137" t="s">
        <v>160</v>
      </c>
      <c r="B137">
        <v>10</v>
      </c>
      <c r="C137">
        <v>466215</v>
      </c>
      <c r="D137">
        <f>COUNTIF('Задание1'!E:E,A137)</f>
        <v>6</v>
      </c>
    </row>
    <row r="138" hidden="1">
      <c r="A138" t="s">
        <v>124</v>
      </c>
      <c r="B138">
        <v>2</v>
      </c>
      <c r="C138">
        <v>63143</v>
      </c>
      <c r="D138">
        <f>COUNTIF('Задание1'!E:E,A138)</f>
        <v>2</v>
      </c>
    </row>
    <row r="139" hidden="1">
      <c r="A139" t="s">
        <v>181</v>
      </c>
      <c r="B139">
        <v>6</v>
      </c>
      <c r="C139">
        <v>247416</v>
      </c>
      <c r="D139">
        <f>COUNTIF('Задание1'!E:E,A139)</f>
        <v>5</v>
      </c>
    </row>
    <row r="140" hidden="1">
      <c r="A140" t="s">
        <v>113</v>
      </c>
      <c r="B140">
        <v>6</v>
      </c>
      <c r="C140">
        <v>243811</v>
      </c>
      <c r="D140">
        <f>COUNTIF('Задание1'!E:E,A140)</f>
        <v>6</v>
      </c>
    </row>
    <row r="141" hidden="1">
      <c r="A141" t="s">
        <v>106</v>
      </c>
      <c r="B141">
        <v>4</v>
      </c>
      <c r="C141">
        <v>244978</v>
      </c>
      <c r="D141">
        <f>COUNTIF('Задание1'!E:E,A141)</f>
        <v>4</v>
      </c>
    </row>
    <row r="142" hidden="1">
      <c r="A142" t="s">
        <v>243</v>
      </c>
      <c r="B142">
        <v>2</v>
      </c>
      <c r="C142">
        <v>91318</v>
      </c>
      <c r="D142">
        <f>COUNTIF('Задание1'!E:E,A142)</f>
        <v>2</v>
      </c>
    </row>
    <row r="143" hidden="1">
      <c r="A143" t="s">
        <v>206</v>
      </c>
      <c r="B143">
        <v>2</v>
      </c>
      <c r="C143">
        <v>166408</v>
      </c>
      <c r="D143">
        <f>COUNTIF('Задание1'!E:E,A143)</f>
        <v>2</v>
      </c>
    </row>
    <row r="144" hidden="1">
      <c r="A144" t="s">
        <v>20</v>
      </c>
      <c r="B144">
        <v>8</v>
      </c>
      <c r="C144">
        <v>541208</v>
      </c>
      <c r="D144">
        <f>COUNTIF('Задание1'!E:E,A144)</f>
        <v>6</v>
      </c>
    </row>
    <row r="145" hidden="1">
      <c r="A145" t="s">
        <v>192</v>
      </c>
      <c r="B145">
        <v>11</v>
      </c>
      <c r="C145">
        <v>620837</v>
      </c>
      <c r="D145">
        <f>COUNTIF('Задание1'!E:E,A145)</f>
        <v>8</v>
      </c>
    </row>
    <row r="146" hidden="1">
      <c r="A146" t="s">
        <v>69</v>
      </c>
      <c r="B146">
        <v>8</v>
      </c>
      <c r="C146">
        <v>444638</v>
      </c>
      <c r="D146">
        <f>COUNTIF('Задание1'!E:E,A146)</f>
        <v>7</v>
      </c>
    </row>
    <row r="147" hidden="1">
      <c r="A147" t="s">
        <v>288</v>
      </c>
      <c r="B147">
        <v>3</v>
      </c>
      <c r="C147">
        <v>151175</v>
      </c>
      <c r="D147">
        <f>COUNTIF('Задание1'!E:E,A147)</f>
        <v>2</v>
      </c>
    </row>
    <row r="148" hidden="1">
      <c r="A148" t="s">
        <v>299</v>
      </c>
      <c r="B148">
        <v>6</v>
      </c>
      <c r="C148">
        <v>396665</v>
      </c>
      <c r="D148">
        <f>COUNTIF('Задание1'!E:E,A148)</f>
        <v>5</v>
      </c>
    </row>
    <row r="149" hidden="1">
      <c r="A149" t="s">
        <v>258</v>
      </c>
      <c r="B149">
        <v>3</v>
      </c>
      <c r="C149">
        <v>158823</v>
      </c>
      <c r="D149">
        <f>COUNTIF('Задание1'!E:E,A149)</f>
        <v>3</v>
      </c>
    </row>
    <row r="150" hidden="1">
      <c r="A150" t="s">
        <v>362</v>
      </c>
      <c r="B150">
        <v>2</v>
      </c>
      <c r="C150">
        <v>108614</v>
      </c>
      <c r="D150">
        <f>COUNTIF('Задание1'!E:E,A150)</f>
        <v>2</v>
      </c>
    </row>
    <row r="151" hidden="1">
      <c r="A151" t="s">
        <v>102</v>
      </c>
      <c r="B151">
        <v>9</v>
      </c>
      <c r="C151">
        <v>475827</v>
      </c>
      <c r="D151">
        <f>COUNTIF('Задание1'!E:E,A151)</f>
        <v>7</v>
      </c>
    </row>
    <row r="152" hidden="1">
      <c r="A152" t="s">
        <v>172</v>
      </c>
      <c r="B152">
        <v>10</v>
      </c>
      <c r="C152">
        <v>439149</v>
      </c>
      <c r="D152">
        <f>COUNTIF('Задание1'!E:E,A152)</f>
        <v>7</v>
      </c>
    </row>
    <row r="153" hidden="1">
      <c r="A153" t="s">
        <v>30</v>
      </c>
      <c r="B153">
        <v>6</v>
      </c>
      <c r="C153">
        <v>311093</v>
      </c>
      <c r="D153">
        <f>COUNTIF('Задание1'!E:E,A153)</f>
        <v>5</v>
      </c>
    </row>
    <row r="154" hidden="1">
      <c r="A154" t="s">
        <v>148</v>
      </c>
      <c r="B154">
        <v>3</v>
      </c>
      <c r="C154">
        <v>245456</v>
      </c>
      <c r="D154">
        <f>COUNTIF('Задание1'!E:E,A154)</f>
        <v>2</v>
      </c>
    </row>
    <row r="155" hidden="1">
      <c r="A155" t="s">
        <v>308</v>
      </c>
      <c r="B155">
        <v>3</v>
      </c>
      <c r="C155">
        <v>191896</v>
      </c>
      <c r="D155">
        <f>COUNTIF('Задание1'!E:E,A155)</f>
        <v>3</v>
      </c>
    </row>
    <row r="156" hidden="1">
      <c r="A156" t="s">
        <v>14</v>
      </c>
      <c r="B156">
        <v>9</v>
      </c>
      <c r="C156">
        <v>461065</v>
      </c>
      <c r="D156">
        <f>COUNTIF('Задание1'!E:E,A156)</f>
        <v>7</v>
      </c>
    </row>
    <row r="157" hidden="1">
      <c r="A157" t="s">
        <v>50</v>
      </c>
      <c r="B157">
        <v>6</v>
      </c>
      <c r="C157">
        <v>388524</v>
      </c>
      <c r="D157">
        <f>COUNTIF('Задание1'!E:E,A157)</f>
        <v>6</v>
      </c>
    </row>
    <row r="158" hidden="1">
      <c r="A158" t="s">
        <v>64</v>
      </c>
      <c r="B158">
        <v>2</v>
      </c>
      <c r="C158">
        <v>62003</v>
      </c>
      <c r="D158">
        <f>COUNTIF('Задание1'!E:E,A158)</f>
        <v>2</v>
      </c>
    </row>
    <row r="159" hidden="1">
      <c r="A159" t="s">
        <v>128</v>
      </c>
      <c r="B159">
        <v>6</v>
      </c>
      <c r="C159">
        <v>346081</v>
      </c>
      <c r="D159">
        <f>COUNTIF('Задание1'!E:E,A159)</f>
        <v>5</v>
      </c>
    </row>
    <row r="160" hidden="1">
      <c r="A160" t="s">
        <v>171</v>
      </c>
      <c r="B160">
        <v>3</v>
      </c>
      <c r="C160">
        <v>211677</v>
      </c>
      <c r="D160">
        <f>COUNTIF('Задание1'!E:E,A160)</f>
        <v>3</v>
      </c>
    </row>
    <row r="161" hidden="1">
      <c r="A161" t="s">
        <v>257</v>
      </c>
      <c r="B161">
        <v>9</v>
      </c>
      <c r="C161">
        <v>544040</v>
      </c>
      <c r="D161">
        <f>COUNTIF('Задание1'!E:E,A161)</f>
        <v>7</v>
      </c>
    </row>
    <row r="162" hidden="1">
      <c r="A162" t="s">
        <v>177</v>
      </c>
      <c r="B162">
        <v>5</v>
      </c>
      <c r="C162">
        <v>232397</v>
      </c>
      <c r="D162">
        <f>COUNTIF('Задание1'!E:E,A162)</f>
        <v>5</v>
      </c>
    </row>
    <row r="163" hidden="1">
      <c r="A163" t="s">
        <v>254</v>
      </c>
      <c r="B163">
        <v>5</v>
      </c>
      <c r="C163">
        <v>296862</v>
      </c>
      <c r="D163">
        <f>COUNTIF('Задание1'!E:E,A163)</f>
        <v>5</v>
      </c>
    </row>
    <row r="164" hidden="1">
      <c r="A164" t="s">
        <v>316</v>
      </c>
      <c r="B164">
        <v>7</v>
      </c>
      <c r="C164">
        <v>371961</v>
      </c>
      <c r="D164">
        <f>COUNTIF('Задание1'!E:E,A164)</f>
        <v>5</v>
      </c>
    </row>
    <row r="165">
      <c r="A165" t="s">
        <v>382</v>
      </c>
      <c r="B165">
        <v>2</v>
      </c>
      <c r="C165">
        <v>154284</v>
      </c>
      <c r="D165">
        <f>COUNTIF('Задание1'!E:E,A165)</f>
        <v>1</v>
      </c>
    </row>
    <row r="166" hidden="1">
      <c r="A166" t="s">
        <v>403</v>
      </c>
      <c r="B166">
        <v>2</v>
      </c>
      <c r="C166">
        <v>112217</v>
      </c>
      <c r="D166">
        <f>COUNTIF('Задание1'!E:E,A166)</f>
        <v>2</v>
      </c>
    </row>
    <row r="167" hidden="1">
      <c r="A167" t="s">
        <v>327</v>
      </c>
      <c r="B167">
        <v>2</v>
      </c>
      <c r="C167">
        <v>167429</v>
      </c>
      <c r="D167">
        <f>COUNTIF('Задание1'!E:E,A167)</f>
        <v>2</v>
      </c>
    </row>
    <row r="168">
      <c r="A168" t="s">
        <v>374</v>
      </c>
      <c r="B168">
        <v>1</v>
      </c>
      <c r="C168">
        <v>13819</v>
      </c>
      <c r="D168">
        <f>COUNTIF('Задание1'!E:E,A168)</f>
        <v>1</v>
      </c>
    </row>
    <row r="169" hidden="1">
      <c r="A169" t="s">
        <v>31</v>
      </c>
      <c r="B169">
        <v>4</v>
      </c>
      <c r="C169">
        <v>258490</v>
      </c>
      <c r="D169">
        <f>COUNTIF('Задание1'!E:E,A169)</f>
        <v>3</v>
      </c>
    </row>
    <row r="170" hidden="1">
      <c r="A170" t="s">
        <v>63</v>
      </c>
      <c r="B170">
        <v>6</v>
      </c>
      <c r="C170">
        <v>390354</v>
      </c>
      <c r="D170">
        <f>COUNTIF('Задание1'!E:E,A170)</f>
        <v>5</v>
      </c>
    </row>
    <row r="171" hidden="1">
      <c r="A171" t="s">
        <v>212</v>
      </c>
      <c r="B171">
        <v>7</v>
      </c>
      <c r="C171">
        <v>428300</v>
      </c>
      <c r="D171">
        <f>COUNTIF('Задание1'!E:E,A171)</f>
        <v>4</v>
      </c>
    </row>
    <row r="172" hidden="1">
      <c r="A172" t="s">
        <v>197</v>
      </c>
      <c r="B172">
        <v>3</v>
      </c>
      <c r="C172">
        <v>135866</v>
      </c>
      <c r="D172">
        <f>COUNTIF('Задание1'!E:E,A172)</f>
        <v>3</v>
      </c>
    </row>
    <row r="173" hidden="1">
      <c r="A173" t="s">
        <v>255</v>
      </c>
      <c r="B173">
        <v>4</v>
      </c>
      <c r="C173">
        <v>202635</v>
      </c>
      <c r="D173">
        <f>COUNTIF('Задание1'!E:E,A173)</f>
        <v>3</v>
      </c>
    </row>
    <row r="174" hidden="1">
      <c r="A174" t="s">
        <v>331</v>
      </c>
      <c r="B174">
        <v>2</v>
      </c>
      <c r="C174">
        <v>72872</v>
      </c>
      <c r="D174">
        <f>COUNTIF('Задание1'!E:E,A174)</f>
        <v>2</v>
      </c>
    </row>
    <row r="175" hidden="1">
      <c r="A175" t="s">
        <v>60</v>
      </c>
      <c r="B175">
        <v>4</v>
      </c>
      <c r="C175">
        <v>236014</v>
      </c>
      <c r="D175">
        <f>COUNTIF('Задание1'!E:E,A175)</f>
        <v>4</v>
      </c>
    </row>
    <row r="176" hidden="1">
      <c r="A176" t="s">
        <v>310</v>
      </c>
      <c r="B176">
        <v>3</v>
      </c>
      <c r="C176">
        <v>250189</v>
      </c>
      <c r="D176">
        <f>COUNTIF('Задание1'!E:E,A176)</f>
        <v>3</v>
      </c>
    </row>
    <row r="177" hidden="1">
      <c r="A177" t="s">
        <v>44</v>
      </c>
      <c r="B177">
        <v>9</v>
      </c>
      <c r="C177">
        <v>505529</v>
      </c>
      <c r="D177">
        <f>COUNTIF('Задание1'!E:E,A177)</f>
        <v>5</v>
      </c>
    </row>
    <row r="178" hidden="1">
      <c r="A178" t="s">
        <v>302</v>
      </c>
      <c r="B178">
        <v>7</v>
      </c>
      <c r="C178">
        <v>406240</v>
      </c>
      <c r="D178">
        <f>COUNTIF('Задание1'!E:E,A178)</f>
        <v>6</v>
      </c>
    </row>
    <row r="179" hidden="1">
      <c r="A179" t="s">
        <v>123</v>
      </c>
      <c r="B179">
        <v>8</v>
      </c>
      <c r="C179">
        <v>465481</v>
      </c>
      <c r="D179">
        <f>COUNTIF('Задание1'!E:E,A179)</f>
        <v>6</v>
      </c>
    </row>
    <row r="180" hidden="1">
      <c r="A180" t="s">
        <v>144</v>
      </c>
      <c r="B180">
        <v>9</v>
      </c>
      <c r="C180">
        <v>544017</v>
      </c>
      <c r="D180">
        <f>COUNTIF('Задание1'!E:E,A180)</f>
        <v>7</v>
      </c>
    </row>
    <row r="181" hidden="1">
      <c r="A181" t="s">
        <v>67</v>
      </c>
      <c r="B181">
        <v>4</v>
      </c>
      <c r="C181">
        <v>298347</v>
      </c>
      <c r="D181">
        <f>COUNTIF('Задание1'!E:E,A181)</f>
        <v>4</v>
      </c>
    </row>
    <row r="182" hidden="1">
      <c r="A182" t="s">
        <v>263</v>
      </c>
      <c r="B182">
        <v>4</v>
      </c>
      <c r="C182">
        <v>223409</v>
      </c>
      <c r="D182">
        <f>COUNTIF('Задание1'!E:E,A182)</f>
        <v>4</v>
      </c>
    </row>
    <row r="183" hidden="1">
      <c r="A183" t="s">
        <v>99</v>
      </c>
      <c r="B183">
        <v>10</v>
      </c>
      <c r="C183">
        <v>468444</v>
      </c>
      <c r="D183">
        <f>COUNTIF('Задание1'!E:E,A183)</f>
        <v>8</v>
      </c>
    </row>
    <row r="184" hidden="1">
      <c r="A184" t="s">
        <v>45</v>
      </c>
      <c r="B184">
        <v>5</v>
      </c>
      <c r="C184">
        <v>338507</v>
      </c>
      <c r="D184">
        <f>COUNTIF('Задание1'!E:E,A184)</f>
        <v>4</v>
      </c>
    </row>
    <row r="185" hidden="1">
      <c r="A185" t="s">
        <v>153</v>
      </c>
      <c r="B185">
        <v>5</v>
      </c>
      <c r="C185">
        <v>121875</v>
      </c>
      <c r="D185">
        <f>COUNTIF('Задание1'!E:E,A185)</f>
        <v>5</v>
      </c>
    </row>
    <row r="186" hidden="1">
      <c r="A186" t="s">
        <v>93</v>
      </c>
      <c r="B186">
        <v>6</v>
      </c>
      <c r="C186">
        <v>400373</v>
      </c>
      <c r="D186">
        <f>COUNTIF('Задание1'!E:E,A186)</f>
        <v>5</v>
      </c>
    </row>
    <row r="187" hidden="1">
      <c r="A187" t="s">
        <v>174</v>
      </c>
      <c r="B187">
        <v>10</v>
      </c>
      <c r="C187">
        <v>535471</v>
      </c>
      <c r="D187">
        <f>COUNTIF('Задание1'!E:E,A187)</f>
        <v>7</v>
      </c>
    </row>
    <row r="188" hidden="1">
      <c r="A188" t="s">
        <v>370</v>
      </c>
      <c r="B188">
        <v>2</v>
      </c>
      <c r="C188">
        <v>81089</v>
      </c>
      <c r="D188">
        <f>COUNTIF('Задание1'!E:E,A188)</f>
        <v>2</v>
      </c>
    </row>
    <row r="189" hidden="1">
      <c r="A189" t="s">
        <v>56</v>
      </c>
      <c r="B189">
        <v>5</v>
      </c>
      <c r="C189">
        <v>299185</v>
      </c>
      <c r="D189">
        <f>COUNTIF('Задание1'!E:E,A189)</f>
        <v>4</v>
      </c>
    </row>
    <row r="190" hidden="1">
      <c r="A190" t="s">
        <v>105</v>
      </c>
      <c r="B190">
        <v>4</v>
      </c>
      <c r="C190">
        <v>273731</v>
      </c>
      <c r="D190">
        <f>COUNTIF('Задание1'!E:E,A190)</f>
        <v>4</v>
      </c>
    </row>
    <row r="191" hidden="1">
      <c r="A191" t="s">
        <v>178</v>
      </c>
      <c r="B191">
        <v>3</v>
      </c>
      <c r="C191">
        <v>147097</v>
      </c>
      <c r="D191">
        <f>COUNTIF('Задание1'!E:E,A191)</f>
        <v>3</v>
      </c>
    </row>
    <row r="192" hidden="1">
      <c r="A192" t="s">
        <v>363</v>
      </c>
      <c r="B192">
        <v>2</v>
      </c>
      <c r="C192">
        <v>101898</v>
      </c>
      <c r="D192">
        <f>COUNTIF('Задание1'!E:E,A192)</f>
        <v>2</v>
      </c>
    </row>
    <row r="193" hidden="1">
      <c r="A193" t="s">
        <v>157</v>
      </c>
      <c r="B193">
        <v>4</v>
      </c>
      <c r="C193">
        <v>226222</v>
      </c>
      <c r="D193">
        <f>COUNTIF('Задание1'!E:E,A193)</f>
        <v>3</v>
      </c>
    </row>
    <row r="194" hidden="1">
      <c r="A194" t="s">
        <v>204</v>
      </c>
      <c r="B194">
        <v>5</v>
      </c>
      <c r="C194">
        <v>206828</v>
      </c>
      <c r="D194">
        <f>COUNTIF('Задание1'!E:E,A194)</f>
        <v>4</v>
      </c>
    </row>
    <row r="195" hidden="1">
      <c r="A195" t="s">
        <v>143</v>
      </c>
      <c r="B195">
        <v>4</v>
      </c>
      <c r="C195">
        <v>278158</v>
      </c>
      <c r="D195">
        <f>COUNTIF('Задание1'!E:E,A195)</f>
        <v>4</v>
      </c>
    </row>
    <row r="196" hidden="1">
      <c r="A196" t="s">
        <v>215</v>
      </c>
      <c r="B196">
        <v>6</v>
      </c>
      <c r="C196">
        <v>333896</v>
      </c>
      <c r="D196">
        <f>COUNTIF('Задание1'!E:E,A196)</f>
        <v>6</v>
      </c>
    </row>
    <row r="197" hidden="1">
      <c r="A197" t="s">
        <v>344</v>
      </c>
      <c r="B197">
        <v>4</v>
      </c>
      <c r="C197">
        <v>240878</v>
      </c>
      <c r="D197">
        <f>COUNTIF('Задание1'!E:E,A197)</f>
        <v>4</v>
      </c>
    </row>
  </sheetData>
  <autoFilter ref="D1:D197">
    <filterColumn colId="0">
      <filters>
        <filter val="1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2" activeCellId="0" sqref="A2:N13"/>
    </sheetView>
  </sheetViews>
  <sheetFormatPr defaultRowHeight="15" outlineLevelRow="0" outlineLevelCol="0"/>
  <cols>
    <col min="1" max="1" width="25.44140625" customWidth="1"/>
  </cols>
  <sheetData>
    <row r="1">
      <c r="B1" s="55" t="s">
        <v>521</v>
      </c>
      <c r="C1" s="55" t="s">
        <v>522</v>
      </c>
      <c r="D1" s="55" t="s">
        <v>523</v>
      </c>
      <c r="E1" s="55" t="s">
        <v>524</v>
      </c>
      <c r="F1" s="55" t="s">
        <v>525</v>
      </c>
      <c r="G1" s="55" t="s">
        <v>526</v>
      </c>
      <c r="H1" s="55" t="s">
        <v>527</v>
      </c>
      <c r="I1" s="55" t="s">
        <v>528</v>
      </c>
      <c r="J1" s="55" t="s">
        <v>529</v>
      </c>
      <c r="K1" s="55" t="s">
        <v>530</v>
      </c>
      <c r="L1" s="55" t="s">
        <v>531</v>
      </c>
      <c r="M1" s="55" t="s">
        <v>532</v>
      </c>
      <c r="N1" s="55" t="s">
        <v>533</v>
      </c>
    </row>
    <row r="2">
      <c r="A2" s="7" t="s">
        <v>47</v>
      </c>
      <c r="B2">
        <f>COUNTIFS('Задача3.1'!$A:$A,$A2,'Задача3.1'!$H:$H,B$1)</f>
        <v>0</v>
      </c>
      <c r="C2">
        <f>COUNTIFS('Задача3.1'!$A:$A,$A2,'Задача3.1'!$H:$H,C$1)</f>
        <v>1</v>
      </c>
      <c r="D2">
        <f>COUNTIFS('Задача3.1'!$A:$A,$A2,'Задача3.1'!$H:$H,D$1)</f>
        <v>1</v>
      </c>
      <c r="E2">
        <f>COUNTIFS('Задача3.1'!$A:$A,$A2,'Задача3.1'!$H:$H,E$1)</f>
        <v>2</v>
      </c>
      <c r="F2">
        <f>COUNTIFS('Задача3.1'!$A:$A,$A2,'Задача3.1'!$H:$H,F$1)</f>
        <v>3</v>
      </c>
      <c r="G2">
        <f>COUNTIFS('Задача3.1'!$A:$A,$A2,'Задача3.1'!$H:$H,G$1)</f>
        <v>1</v>
      </c>
      <c r="H2">
        <f>COUNTIFS('Задача3.1'!$A:$A,$A2,'Задача3.1'!$H:$H,H$1)</f>
        <v>4</v>
      </c>
      <c r="I2">
        <f>COUNTIFS('Задача3.1'!$A:$A,$A2,'Задача3.1'!$H:$H,I$1)</f>
        <v>3</v>
      </c>
      <c r="J2">
        <f>COUNTIFS('Задача3.1'!$A:$A,$A2,'Задача3.1'!$H:$H,J$1)</f>
        <v>1</v>
      </c>
      <c r="K2">
        <f>COUNTIFS('Задача3.1'!$A:$A,$A2,'Задача3.1'!$H:$H,K$1)</f>
        <v>1</v>
      </c>
      <c r="L2">
        <f>COUNTIFS('Задача3.1'!$A:$A,$A2,'Задача3.1'!$H:$H,L$1)</f>
        <v>1</v>
      </c>
      <c r="M2">
        <f>COUNTIFS('Задача3.1'!$A:$A,$A2,'Задача3.1'!$H:$H,M$1)</f>
        <v>4</v>
      </c>
      <c r="N2">
        <f>COUNTIFS('Задача3.1'!$A:$A,$A2,'Задача3.1'!$H:$H,N$1)</f>
        <v>1</v>
      </c>
    </row>
    <row r="3">
      <c r="A3" s="7" t="s">
        <v>13</v>
      </c>
      <c r="B3">
        <f>COUNTIFS('Задача3.1'!$A:$A,$A3,'Задача3.1'!$H:$H,B$1)</f>
        <v>1</v>
      </c>
      <c r="C3">
        <f>COUNTIFS('Задача3.1'!$A:$A,$A3,'Задача3.1'!$H:$H,C$1)</f>
        <v>1</v>
      </c>
      <c r="D3">
        <f>COUNTIFS('Задача3.1'!$A:$A,$A3,'Задача3.1'!$H:$H,D$1)</f>
        <v>1</v>
      </c>
      <c r="E3">
        <f>COUNTIFS('Задача3.1'!$A:$A,$A3,'Задача3.1'!$H:$H,E$1)</f>
        <v>0</v>
      </c>
      <c r="F3">
        <f>COUNTIFS('Задача3.1'!$A:$A,$A3,'Задача3.1'!$H:$H,F$1)</f>
        <v>3</v>
      </c>
      <c r="G3">
        <f>COUNTIFS('Задача3.1'!$A:$A,$A3,'Задача3.1'!$H:$H,G$1)</f>
        <v>4</v>
      </c>
      <c r="H3">
        <f>COUNTIFS('Задача3.1'!$A:$A,$A3,'Задача3.1'!$H:$H,H$1)</f>
        <v>1</v>
      </c>
      <c r="I3">
        <f>COUNTIFS('Задача3.1'!$A:$A,$A3,'Задача3.1'!$H:$H,I$1)</f>
        <v>3</v>
      </c>
      <c r="J3">
        <f>COUNTIFS('Задача3.1'!$A:$A,$A3,'Задача3.1'!$H:$H,J$1)</f>
        <v>3</v>
      </c>
      <c r="K3">
        <f>COUNTIFS('Задача3.1'!$A:$A,$A3,'Задача3.1'!$H:$H,K$1)</f>
        <v>0</v>
      </c>
      <c r="L3">
        <f>COUNTIFS('Задача3.1'!$A:$A,$A3,'Задача3.1'!$H:$H,L$1)</f>
        <v>2</v>
      </c>
      <c r="M3">
        <f>COUNTIFS('Задача3.1'!$A:$A,$A3,'Задача3.1'!$H:$H,M$1)</f>
        <v>3</v>
      </c>
      <c r="N3">
        <f>COUNTIFS('Задача3.1'!$A:$A,$A3,'Задача3.1'!$H:$H,N$1)</f>
        <v>0</v>
      </c>
    </row>
    <row r="4">
      <c r="A4" s="7" t="s">
        <v>11</v>
      </c>
      <c r="B4">
        <f>COUNTIFS('Задача3.1'!$A:$A,$A4,'Задача3.1'!$H:$H,B$1)</f>
        <v>2</v>
      </c>
      <c r="C4">
        <f>COUNTIFS('Задача3.1'!$A:$A,$A4,'Задача3.1'!$H:$H,C$1)</f>
        <v>1</v>
      </c>
      <c r="D4">
        <f>COUNTIFS('Задача3.1'!$A:$A,$A4,'Задача3.1'!$H:$H,D$1)</f>
        <v>0</v>
      </c>
      <c r="E4">
        <f>COUNTIFS('Задача3.1'!$A:$A,$A4,'Задача3.1'!$H:$H,E$1)</f>
        <v>0</v>
      </c>
      <c r="F4">
        <f>COUNTIFS('Задача3.1'!$A:$A,$A4,'Задача3.1'!$H:$H,F$1)</f>
        <v>1</v>
      </c>
      <c r="G4">
        <f>COUNTIFS('Задача3.1'!$A:$A,$A4,'Задача3.1'!$H:$H,G$1)</f>
        <v>1</v>
      </c>
      <c r="H4">
        <f>COUNTIFS('Задача3.1'!$A:$A,$A4,'Задача3.1'!$H:$H,H$1)</f>
        <v>1</v>
      </c>
      <c r="I4">
        <f>COUNTIFS('Задача3.1'!$A:$A,$A4,'Задача3.1'!$H:$H,I$1)</f>
        <v>0</v>
      </c>
      <c r="J4">
        <f>COUNTIFS('Задача3.1'!$A:$A,$A4,'Задача3.1'!$H:$H,J$1)</f>
        <v>2</v>
      </c>
      <c r="K4">
        <f>COUNTIFS('Задача3.1'!$A:$A,$A4,'Задача3.1'!$H:$H,K$1)</f>
        <v>1</v>
      </c>
      <c r="L4">
        <f>COUNTIFS('Задача3.1'!$A:$A,$A4,'Задача3.1'!$H:$H,L$1)</f>
        <v>0</v>
      </c>
      <c r="M4">
        <f>COUNTIFS('Задача3.1'!$A:$A,$A4,'Задача3.1'!$H:$H,M$1)</f>
        <v>1</v>
      </c>
      <c r="N4">
        <f>COUNTIFS('Задача3.1'!$A:$A,$A4,'Задача3.1'!$H:$H,N$1)</f>
        <v>0</v>
      </c>
    </row>
    <row r="5">
      <c r="A5" s="7" t="s">
        <v>8</v>
      </c>
      <c r="B5">
        <f>COUNTIFS('Задача3.1'!$A:$A,$A5,'Задача3.1'!$H:$H,B$1)</f>
        <v>1</v>
      </c>
      <c r="C5">
        <f>COUNTIFS('Задача3.1'!$A:$A,$A5,'Задача3.1'!$H:$H,C$1)</f>
        <v>0</v>
      </c>
      <c r="D5">
        <f>COUNTIFS('Задача3.1'!$A:$A,$A5,'Задача3.1'!$H:$H,D$1)</f>
        <v>4</v>
      </c>
      <c r="E5">
        <f>COUNTIFS('Задача3.1'!$A:$A,$A5,'Задача3.1'!$H:$H,E$1)</f>
        <v>2</v>
      </c>
      <c r="F5">
        <f>COUNTIFS('Задача3.1'!$A:$A,$A5,'Задача3.1'!$H:$H,F$1)</f>
        <v>1</v>
      </c>
      <c r="G5">
        <f>COUNTIFS('Задача3.1'!$A:$A,$A5,'Задача3.1'!$H:$H,G$1)</f>
        <v>1</v>
      </c>
      <c r="H5">
        <f>COUNTIFS('Задача3.1'!$A:$A,$A5,'Задача3.1'!$H:$H,H$1)</f>
        <v>4</v>
      </c>
      <c r="I5">
        <f>COUNTIFS('Задача3.1'!$A:$A,$A5,'Задача3.1'!$H:$H,I$1)</f>
        <v>0</v>
      </c>
      <c r="J5">
        <f>COUNTIFS('Задача3.1'!$A:$A,$A5,'Задача3.1'!$H:$H,J$1)</f>
        <v>2</v>
      </c>
      <c r="K5">
        <f>COUNTIFS('Задача3.1'!$A:$A,$A5,'Задача3.1'!$H:$H,K$1)</f>
        <v>1</v>
      </c>
      <c r="L5">
        <f>COUNTIFS('Задача3.1'!$A:$A,$A5,'Задача3.1'!$H:$H,L$1)</f>
        <v>1</v>
      </c>
      <c r="M5">
        <f>COUNTIFS('Задача3.1'!$A:$A,$A5,'Задача3.1'!$H:$H,M$1)</f>
        <v>4</v>
      </c>
      <c r="N5">
        <f>COUNTIFS('Задача3.1'!$A:$A,$A5,'Задача3.1'!$H:$H,N$1)</f>
        <v>1</v>
      </c>
    </row>
    <row r="6">
      <c r="A6" s="7" t="s">
        <v>17</v>
      </c>
      <c r="B6">
        <f>COUNTIFS('Задача3.1'!$A:$A,$A6,'Задача3.1'!$H:$H,B$1)</f>
        <v>1</v>
      </c>
      <c r="C6">
        <f>COUNTIFS('Задача3.1'!$A:$A,$A6,'Задача3.1'!$H:$H,C$1)</f>
        <v>0</v>
      </c>
      <c r="D6">
        <f>COUNTIFS('Задача3.1'!$A:$A,$A6,'Задача3.1'!$H:$H,D$1)</f>
        <v>0</v>
      </c>
      <c r="E6">
        <f>COUNTIFS('Задача3.1'!$A:$A,$A6,'Задача3.1'!$H:$H,E$1)</f>
        <v>0</v>
      </c>
      <c r="F6">
        <f>COUNTIFS('Задача3.1'!$A:$A,$A6,'Задача3.1'!$H:$H,F$1)</f>
        <v>2</v>
      </c>
      <c r="G6">
        <f>COUNTIFS('Задача3.1'!$A:$A,$A6,'Задача3.1'!$H:$H,G$1)</f>
        <v>2</v>
      </c>
      <c r="H6">
        <f>COUNTIFS('Задача3.1'!$A:$A,$A6,'Задача3.1'!$H:$H,H$1)</f>
        <v>1</v>
      </c>
      <c r="I6">
        <f>COUNTIFS('Задача3.1'!$A:$A,$A6,'Задача3.1'!$H:$H,I$1)</f>
        <v>2</v>
      </c>
      <c r="J6">
        <f>COUNTIFS('Задача3.1'!$A:$A,$A6,'Задача3.1'!$H:$H,J$1)</f>
        <v>3</v>
      </c>
      <c r="K6">
        <f>COUNTIFS('Задача3.1'!$A:$A,$A6,'Задача3.1'!$H:$H,K$1)</f>
        <v>3</v>
      </c>
      <c r="L6">
        <f>COUNTIFS('Задача3.1'!$A:$A,$A6,'Задача3.1'!$H:$H,L$1)</f>
        <v>2</v>
      </c>
      <c r="M6">
        <f>COUNTIFS('Задача3.1'!$A:$A,$A6,'Задача3.1'!$H:$H,M$1)</f>
        <v>1</v>
      </c>
      <c r="N6">
        <f>COUNTIFS('Задача3.1'!$A:$A,$A6,'Задача3.1'!$H:$H,N$1)</f>
        <v>3</v>
      </c>
    </row>
    <row r="7">
      <c r="A7" s="7" t="s">
        <v>43</v>
      </c>
      <c r="B7">
        <f>COUNTIFS('Задача3.1'!$A:$A,$A7,'Задача3.1'!$H:$H,B$1)</f>
        <v>2</v>
      </c>
      <c r="C7">
        <f>COUNTIFS('Задача3.1'!$A:$A,$A7,'Задача3.1'!$H:$H,C$1)</f>
        <v>0</v>
      </c>
      <c r="D7">
        <f>COUNTIFS('Задача3.1'!$A:$A,$A7,'Задача3.1'!$H:$H,D$1)</f>
        <v>2</v>
      </c>
      <c r="E7">
        <f>COUNTIFS('Задача3.1'!$A:$A,$A7,'Задача3.1'!$H:$H,E$1)</f>
        <v>1</v>
      </c>
      <c r="F7">
        <f>COUNTIFS('Задача3.1'!$A:$A,$A7,'Задача3.1'!$H:$H,F$1)</f>
        <v>1</v>
      </c>
      <c r="G7">
        <f>COUNTIFS('Задача3.1'!$A:$A,$A7,'Задача3.1'!$H:$H,G$1)</f>
        <v>0</v>
      </c>
      <c r="H7">
        <f>COUNTIFS('Задача3.1'!$A:$A,$A7,'Задача3.1'!$H:$H,H$1)</f>
        <v>3</v>
      </c>
      <c r="I7">
        <f>COUNTIFS('Задача3.1'!$A:$A,$A7,'Задача3.1'!$H:$H,I$1)</f>
        <v>3</v>
      </c>
      <c r="J7">
        <f>COUNTIFS('Задача3.1'!$A:$A,$A7,'Задача3.1'!$H:$H,J$1)</f>
        <v>4</v>
      </c>
      <c r="K7">
        <f>COUNTIFS('Задача3.1'!$A:$A,$A7,'Задача3.1'!$H:$H,K$1)</f>
        <v>1</v>
      </c>
      <c r="L7">
        <f>COUNTIFS('Задача3.1'!$A:$A,$A7,'Задача3.1'!$H:$H,L$1)</f>
        <v>1</v>
      </c>
      <c r="M7">
        <f>COUNTIFS('Задача3.1'!$A:$A,$A7,'Задача3.1'!$H:$H,M$1)</f>
        <v>2</v>
      </c>
      <c r="N7">
        <f>COUNTIFS('Задача3.1'!$A:$A,$A7,'Задача3.1'!$H:$H,N$1)</f>
        <v>1</v>
      </c>
    </row>
    <row r="8">
      <c r="A8" s="7" t="s">
        <v>28</v>
      </c>
      <c r="B8">
        <f>COUNTIFS('Задача3.1'!$A:$A,$A8,'Задача3.1'!$H:$H,B$1)</f>
        <v>0</v>
      </c>
      <c r="C8">
        <f>COUNTIFS('Задача3.1'!$A:$A,$A8,'Задача3.1'!$H:$H,C$1)</f>
        <v>0</v>
      </c>
      <c r="D8">
        <f>COUNTIFS('Задача3.1'!$A:$A,$A8,'Задача3.1'!$H:$H,D$1)</f>
        <v>2</v>
      </c>
      <c r="E8">
        <f>COUNTIFS('Задача3.1'!$A:$A,$A8,'Задача3.1'!$H:$H,E$1)</f>
        <v>0</v>
      </c>
      <c r="F8">
        <f>COUNTIFS('Задача3.1'!$A:$A,$A8,'Задача3.1'!$H:$H,F$1)</f>
        <v>1</v>
      </c>
      <c r="G8">
        <f>COUNTIFS('Задача3.1'!$A:$A,$A8,'Задача3.1'!$H:$H,G$1)</f>
        <v>0</v>
      </c>
      <c r="H8">
        <f>COUNTIFS('Задача3.1'!$A:$A,$A8,'Задача3.1'!$H:$H,H$1)</f>
        <v>1</v>
      </c>
      <c r="I8">
        <f>COUNTIFS('Задача3.1'!$A:$A,$A8,'Задача3.1'!$H:$H,I$1)</f>
        <v>0</v>
      </c>
      <c r="J8">
        <f>COUNTIFS('Задача3.1'!$A:$A,$A8,'Задача3.1'!$H:$H,J$1)</f>
        <v>1</v>
      </c>
      <c r="K8">
        <f>COUNTIFS('Задача3.1'!$A:$A,$A8,'Задача3.1'!$H:$H,K$1)</f>
        <v>3</v>
      </c>
      <c r="L8">
        <f>COUNTIFS('Задача3.1'!$A:$A,$A8,'Задача3.1'!$H:$H,L$1)</f>
        <v>0</v>
      </c>
      <c r="M8">
        <f>COUNTIFS('Задача3.1'!$A:$A,$A8,'Задача3.1'!$H:$H,M$1)</f>
        <v>4</v>
      </c>
      <c r="N8">
        <f>COUNTIFS('Задача3.1'!$A:$A,$A8,'Задача3.1'!$H:$H,N$1)</f>
        <v>1</v>
      </c>
    </row>
    <row r="9">
      <c r="A9" s="7" t="s">
        <v>57</v>
      </c>
      <c r="B9">
        <f>COUNTIFS('Задача3.1'!$A:$A,$A9,'Задача3.1'!$H:$H,B$1)</f>
        <v>1</v>
      </c>
      <c r="C9">
        <f>COUNTIFS('Задача3.1'!$A:$A,$A9,'Задача3.1'!$H:$H,C$1)</f>
        <v>1</v>
      </c>
      <c r="D9">
        <f>COUNTIFS('Задача3.1'!$A:$A,$A9,'Задача3.1'!$H:$H,D$1)</f>
        <v>1</v>
      </c>
      <c r="E9">
        <f>COUNTIFS('Задача3.1'!$A:$A,$A9,'Задача3.1'!$H:$H,E$1)</f>
        <v>1</v>
      </c>
      <c r="F9">
        <f>COUNTIFS('Задача3.1'!$A:$A,$A9,'Задача3.1'!$H:$H,F$1)</f>
        <v>3</v>
      </c>
      <c r="G9">
        <f>COUNTIFS('Задача3.1'!$A:$A,$A9,'Задача3.1'!$H:$H,G$1)</f>
        <v>0</v>
      </c>
      <c r="H9">
        <f>COUNTIFS('Задача3.1'!$A:$A,$A9,'Задача3.1'!$H:$H,H$1)</f>
        <v>2</v>
      </c>
      <c r="I9">
        <f>COUNTIFS('Задача3.1'!$A:$A,$A9,'Задача3.1'!$H:$H,I$1)</f>
        <v>3</v>
      </c>
      <c r="J9">
        <f>COUNTIFS('Задача3.1'!$A:$A,$A9,'Задача3.1'!$H:$H,J$1)</f>
        <v>3</v>
      </c>
      <c r="K9">
        <f>COUNTIFS('Задача3.1'!$A:$A,$A9,'Задача3.1'!$H:$H,K$1)</f>
        <v>4</v>
      </c>
      <c r="L9">
        <f>COUNTIFS('Задача3.1'!$A:$A,$A9,'Задача3.1'!$H:$H,L$1)</f>
        <v>0</v>
      </c>
      <c r="M9">
        <f>COUNTIFS('Задача3.1'!$A:$A,$A9,'Задача3.1'!$H:$H,M$1)</f>
        <v>1</v>
      </c>
      <c r="N9">
        <f>COUNTIFS('Задача3.1'!$A:$A,$A9,'Задача3.1'!$H:$H,N$1)</f>
        <v>0</v>
      </c>
    </row>
    <row r="10">
      <c r="A10" s="7" t="s">
        <v>15</v>
      </c>
      <c r="B10">
        <f>COUNTIFS('Задача3.1'!$A:$A,$A10,'Задача3.1'!$H:$H,B$1)</f>
        <v>1</v>
      </c>
      <c r="C10">
        <f>COUNTIFS('Задача3.1'!$A:$A,$A10,'Задача3.1'!$H:$H,C$1)</f>
        <v>1</v>
      </c>
      <c r="D10">
        <f>COUNTIFS('Задача3.1'!$A:$A,$A10,'Задача3.1'!$H:$H,D$1)</f>
        <v>3</v>
      </c>
      <c r="E10">
        <f>COUNTIFS('Задача3.1'!$A:$A,$A10,'Задача3.1'!$H:$H,E$1)</f>
        <v>2</v>
      </c>
      <c r="F10">
        <f>COUNTIFS('Задача3.1'!$A:$A,$A10,'Задача3.1'!$H:$H,F$1)</f>
        <v>2</v>
      </c>
      <c r="G10">
        <f>COUNTIFS('Задача3.1'!$A:$A,$A10,'Задача3.1'!$H:$H,G$1)</f>
        <v>0</v>
      </c>
      <c r="H10">
        <f>COUNTIFS('Задача3.1'!$A:$A,$A10,'Задача3.1'!$H:$H,H$1)</f>
        <v>1</v>
      </c>
      <c r="I10">
        <f>COUNTIFS('Задача3.1'!$A:$A,$A10,'Задача3.1'!$H:$H,I$1)</f>
        <v>2</v>
      </c>
      <c r="J10">
        <f>COUNTIFS('Задача3.1'!$A:$A,$A10,'Задача3.1'!$H:$H,J$1)</f>
        <v>2</v>
      </c>
      <c r="K10">
        <f>COUNTIFS('Задача3.1'!$A:$A,$A10,'Задача3.1'!$H:$H,K$1)</f>
        <v>0</v>
      </c>
      <c r="L10">
        <f>COUNTIFS('Задача3.1'!$A:$A,$A10,'Задача3.1'!$H:$H,L$1)</f>
        <v>3</v>
      </c>
      <c r="M10">
        <f>COUNTIFS('Задача3.1'!$A:$A,$A10,'Задача3.1'!$H:$H,M$1)</f>
        <v>2</v>
      </c>
      <c r="N10">
        <f>COUNTIFS('Задача3.1'!$A:$A,$A10,'Задача3.1'!$H:$H,N$1)</f>
        <v>1</v>
      </c>
    </row>
    <row r="11">
      <c r="A11" s="7" t="s">
        <v>24</v>
      </c>
      <c r="B11">
        <f>COUNTIFS('Задача3.1'!$A:$A,$A11,'Задача3.1'!$H:$H,B$1)</f>
        <v>2</v>
      </c>
      <c r="C11">
        <f>COUNTIFS('Задача3.1'!$A:$A,$A11,'Задача3.1'!$H:$H,C$1)</f>
        <v>1</v>
      </c>
      <c r="D11">
        <f>COUNTIFS('Задача3.1'!$A:$A,$A11,'Задача3.1'!$H:$H,D$1)</f>
        <v>0</v>
      </c>
      <c r="E11">
        <f>COUNTIFS('Задача3.1'!$A:$A,$A11,'Задача3.1'!$H:$H,E$1)</f>
        <v>0</v>
      </c>
      <c r="F11">
        <f>COUNTIFS('Задача3.1'!$A:$A,$A11,'Задача3.1'!$H:$H,F$1)</f>
        <v>4</v>
      </c>
      <c r="G11">
        <f>COUNTIFS('Задача3.1'!$A:$A,$A11,'Задача3.1'!$H:$H,G$1)</f>
        <v>0</v>
      </c>
      <c r="H11">
        <f>COUNTIFS('Задача3.1'!$A:$A,$A11,'Задача3.1'!$H:$H,H$1)</f>
        <v>2</v>
      </c>
      <c r="I11">
        <f>COUNTIFS('Задача3.1'!$A:$A,$A11,'Задача3.1'!$H:$H,I$1)</f>
        <v>2</v>
      </c>
      <c r="J11">
        <f>COUNTIFS('Задача3.1'!$A:$A,$A11,'Задача3.1'!$H:$H,J$1)</f>
        <v>2</v>
      </c>
      <c r="K11">
        <f>COUNTIFS('Задача3.1'!$A:$A,$A11,'Задача3.1'!$H:$H,K$1)</f>
        <v>2</v>
      </c>
      <c r="L11">
        <f>COUNTIFS('Задача3.1'!$A:$A,$A11,'Задача3.1'!$H:$H,L$1)</f>
        <v>2</v>
      </c>
      <c r="M11">
        <f>COUNTIFS('Задача3.1'!$A:$A,$A11,'Задача3.1'!$H:$H,M$1)</f>
        <v>3</v>
      </c>
      <c r="N11">
        <f>COUNTIFS('Задача3.1'!$A:$A,$A11,'Задача3.1'!$H:$H,N$1)</f>
        <v>1</v>
      </c>
    </row>
    <row r="12">
      <c r="A12" s="7" t="s">
        <v>5</v>
      </c>
      <c r="B12">
        <f>COUNTIFS('Задача3.1'!$A:$A,$A12,'Задача3.1'!$H:$H,B$1)</f>
        <v>1</v>
      </c>
      <c r="C12">
        <f>COUNTIFS('Задача3.1'!$A:$A,$A12,'Задача3.1'!$H:$H,C$1)</f>
        <v>2</v>
      </c>
      <c r="D12">
        <f>COUNTIFS('Задача3.1'!$A:$A,$A12,'Задача3.1'!$H:$H,D$1)</f>
        <v>3</v>
      </c>
      <c r="E12">
        <f>COUNTIFS('Задача3.1'!$A:$A,$A12,'Задача3.1'!$H:$H,E$1)</f>
        <v>0</v>
      </c>
      <c r="F12">
        <f>COUNTIFS('Задача3.1'!$A:$A,$A12,'Задача3.1'!$H:$H,F$1)</f>
        <v>5</v>
      </c>
      <c r="G12">
        <f>COUNTIFS('Задача3.1'!$A:$A,$A12,'Задача3.1'!$H:$H,G$1)</f>
        <v>3</v>
      </c>
      <c r="H12">
        <f>COUNTIFS('Задача3.1'!$A:$A,$A12,'Задача3.1'!$H:$H,H$1)</f>
        <v>2</v>
      </c>
      <c r="I12">
        <f>COUNTIFS('Задача3.1'!$A:$A,$A12,'Задача3.1'!$H:$H,I$1)</f>
        <v>0</v>
      </c>
      <c r="J12">
        <f>COUNTIFS('Задача3.1'!$A:$A,$A12,'Задача3.1'!$H:$H,J$1)</f>
        <v>3</v>
      </c>
      <c r="K12">
        <f>COUNTIFS('Задача3.1'!$A:$A,$A12,'Задача3.1'!$H:$H,K$1)</f>
        <v>4</v>
      </c>
      <c r="L12">
        <f>COUNTIFS('Задача3.1'!$A:$A,$A12,'Задача3.1'!$H:$H,L$1)</f>
        <v>1</v>
      </c>
      <c r="M12">
        <f>COUNTIFS('Задача3.1'!$A:$A,$A12,'Задача3.1'!$H:$H,M$1)</f>
        <v>3</v>
      </c>
      <c r="N12">
        <f>COUNTIFS('Задача3.1'!$A:$A,$A12,'Задача3.1'!$H:$H,N$1)</f>
        <v>4</v>
      </c>
    </row>
    <row r="13">
      <c r="A13" s="7" t="s">
        <v>21</v>
      </c>
      <c r="B13">
        <f>COUNTIFS('Задача3.1'!$A:$A,$A13,'Задача3.1'!$H:$H,B$1)</f>
        <v>0</v>
      </c>
      <c r="C13">
        <f>COUNTIFS('Задача3.1'!$A:$A,$A13,'Задача3.1'!$H:$H,C$1)</f>
        <v>0</v>
      </c>
      <c r="D13">
        <f>COUNTIFS('Задача3.1'!$A:$A,$A13,'Задача3.1'!$H:$H,D$1)</f>
        <v>2</v>
      </c>
      <c r="E13">
        <f>COUNTIFS('Задача3.1'!$A:$A,$A13,'Задача3.1'!$H:$H,E$1)</f>
        <v>0</v>
      </c>
      <c r="F13">
        <f>COUNTIFS('Задача3.1'!$A:$A,$A13,'Задача3.1'!$H:$H,F$1)</f>
        <v>2</v>
      </c>
      <c r="G13">
        <f>COUNTIFS('Задача3.1'!$A:$A,$A13,'Задача3.1'!$H:$H,G$1)</f>
        <v>2</v>
      </c>
      <c r="H13">
        <f>COUNTIFS('Задача3.1'!$A:$A,$A13,'Задача3.1'!$H:$H,H$1)</f>
        <v>4</v>
      </c>
      <c r="I13">
        <f>COUNTIFS('Задача3.1'!$A:$A,$A13,'Задача3.1'!$H:$H,I$1)</f>
        <v>0</v>
      </c>
      <c r="J13">
        <f>COUNTIFS('Задача3.1'!$A:$A,$A13,'Задача3.1'!$H:$H,J$1)</f>
        <v>3</v>
      </c>
      <c r="K13">
        <f>COUNTIFS('Задача3.1'!$A:$A,$A13,'Задача3.1'!$H:$H,K$1)</f>
        <v>0</v>
      </c>
      <c r="L13">
        <f>COUNTIFS('Задача3.1'!$A:$A,$A13,'Задача3.1'!$H:$H,L$1)</f>
        <v>1</v>
      </c>
      <c r="M13">
        <f>COUNTIFS('Задача3.1'!$A:$A,$A13,'Задача3.1'!$H:$H,M$1)</f>
        <v>4</v>
      </c>
      <c r="N13">
        <f>COUNTIFS('Задача3.1'!$A:$A,$A13,'Задача3.1'!$H:$H,N$1)</f>
        <v>1</v>
      </c>
    </row>
    <row r="15">
      <c r="A15" t="s">
        <v>555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A1" activeCellId="0" sqref="A1"/>
    </sheetView>
  </sheetViews>
  <sheetFormatPr defaultRowHeight="15" outlineLevelRow="0" outlineLevelCol="0"/>
  <cols>
    <col min="1" max="1" width="33" customWidth="1"/>
    <col min="2" max="2" width="33" customWidth="1" hidden="1"/>
    <col min="3" max="3" width="12" customWidth="1"/>
    <col min="4" max="4" width="15" customWidth="1"/>
    <col min="5" max="5" width="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552</v>
      </c>
      <c r="G1" t="s">
        <v>553</v>
      </c>
      <c r="H1" t="s">
        <v>554</v>
      </c>
    </row>
    <row r="2">
      <c r="A2" t="s">
        <v>5</v>
      </c>
      <c r="B2" t="s">
        <v>6</v>
      </c>
      <c r="C2" t="s">
        <v>7</v>
      </c>
      <c r="D2">
        <v>62110</v>
      </c>
      <c r="E2">
        <v>5</v>
      </c>
      <c r="F2">
        <f>YEAR(C2)</f>
        <v>2023</v>
      </c>
      <c r="G2">
        <f>MONTH(C2)</f>
        <v>1</v>
      </c>
      <c r="H2" t="str">
        <f>F2&amp;"-"&amp;G2</f>
        <v>2023-1</v>
      </c>
    </row>
    <row r="3">
      <c r="A3" t="s">
        <v>8</v>
      </c>
      <c r="B3" t="s">
        <v>9</v>
      </c>
      <c r="C3" t="s">
        <v>10</v>
      </c>
      <c r="D3">
        <v>73955</v>
      </c>
      <c r="E3">
        <v>7</v>
      </c>
      <c r="F3">
        <f>YEAR(C3)</f>
        <v>2023</v>
      </c>
      <c r="G3">
        <f>MONTH(C3)</f>
        <v>4</v>
      </c>
      <c r="H3" t="str">
        <f>F3&amp;"-"&amp;G3</f>
        <v>2023-4</v>
      </c>
    </row>
    <row r="4">
      <c r="A4" t="s">
        <v>11</v>
      </c>
      <c r="B4" t="s">
        <v>12</v>
      </c>
      <c r="C4" t="s">
        <v>10</v>
      </c>
      <c r="D4">
        <v>60135</v>
      </c>
      <c r="E4">
        <v>8</v>
      </c>
      <c r="F4">
        <f>YEAR(C4)</f>
        <v>2023</v>
      </c>
      <c r="G4">
        <f>MONTH(C4)</f>
        <v>4</v>
      </c>
      <c r="H4" t="str">
        <f>F4&amp;"-"&amp;G4</f>
        <v>2023-4</v>
      </c>
    </row>
    <row r="5">
      <c r="A5" t="s">
        <v>13</v>
      </c>
      <c r="B5" t="s">
        <v>14</v>
      </c>
      <c r="C5" t="s">
        <v>10</v>
      </c>
      <c r="D5">
        <v>59782</v>
      </c>
      <c r="E5">
        <v>8</v>
      </c>
      <c r="F5">
        <f>YEAR(C5)</f>
        <v>2023</v>
      </c>
      <c r="G5">
        <f>MONTH(C5)</f>
        <v>4</v>
      </c>
      <c r="H5" t="str">
        <f>F5&amp;"-"&amp;G5</f>
        <v>2023-4</v>
      </c>
    </row>
    <row r="6">
      <c r="A6" t="s">
        <v>15</v>
      </c>
      <c r="B6" t="s">
        <v>16</v>
      </c>
      <c r="C6" t="s">
        <v>10</v>
      </c>
      <c r="D6">
        <v>71041</v>
      </c>
      <c r="E6">
        <v>0</v>
      </c>
      <c r="F6">
        <f>YEAR(C6)</f>
        <v>2023</v>
      </c>
      <c r="G6">
        <f>MONTH(C6)</f>
        <v>4</v>
      </c>
      <c r="H6" t="str">
        <f>F6&amp;"-"&amp;G6</f>
        <v>2023-4</v>
      </c>
    </row>
    <row r="7">
      <c r="A7" t="s">
        <v>17</v>
      </c>
      <c r="B7" t="s">
        <v>18</v>
      </c>
      <c r="C7" t="s">
        <v>10</v>
      </c>
      <c r="D7">
        <v>62764</v>
      </c>
      <c r="E7">
        <v>7</v>
      </c>
      <c r="F7">
        <f>YEAR(C7)</f>
        <v>2023</v>
      </c>
      <c r="G7">
        <f>MONTH(C7)</f>
        <v>4</v>
      </c>
      <c r="H7" t="str">
        <f>F7&amp;"-"&amp;G7</f>
        <v>2023-4</v>
      </c>
    </row>
    <row r="8">
      <c r="A8" t="s">
        <v>8</v>
      </c>
      <c r="B8" t="s">
        <v>19</v>
      </c>
      <c r="C8" t="s">
        <v>10</v>
      </c>
      <c r="D8">
        <v>97781</v>
      </c>
      <c r="E8">
        <v>10</v>
      </c>
      <c r="F8">
        <f>YEAR(C8)</f>
        <v>2023</v>
      </c>
      <c r="G8">
        <f>MONTH(C8)</f>
        <v>4</v>
      </c>
      <c r="H8" t="str">
        <f>F8&amp;"-"&amp;G8</f>
        <v>2023-4</v>
      </c>
    </row>
    <row r="9">
      <c r="A9" t="s">
        <v>11</v>
      </c>
      <c r="B9" t="s">
        <v>20</v>
      </c>
      <c r="C9" t="s">
        <v>10</v>
      </c>
      <c r="D9">
        <v>32384</v>
      </c>
      <c r="E9">
        <v>8</v>
      </c>
      <c r="F9">
        <f>YEAR(C9)</f>
        <v>2023</v>
      </c>
      <c r="G9">
        <f>MONTH(C9)</f>
        <v>4</v>
      </c>
      <c r="H9" t="str">
        <f>F9&amp;"-"&amp;G9</f>
        <v>2023-4</v>
      </c>
    </row>
    <row r="10">
      <c r="A10" t="s">
        <v>21</v>
      </c>
      <c r="B10" t="s">
        <v>22</v>
      </c>
      <c r="C10" t="s">
        <v>23</v>
      </c>
      <c r="D10">
        <v>74878</v>
      </c>
      <c r="E10">
        <v>4</v>
      </c>
      <c r="F10">
        <f>YEAR(C10)</f>
        <v>2023</v>
      </c>
      <c r="G10">
        <f>MONTH(C10)</f>
        <v>5</v>
      </c>
      <c r="H10" t="str">
        <f>F10&amp;"-"&amp;G10</f>
        <v>2023-5</v>
      </c>
    </row>
    <row r="11">
      <c r="A11" t="s">
        <v>24</v>
      </c>
      <c r="B11" t="s">
        <v>25</v>
      </c>
      <c r="C11" t="s">
        <v>23</v>
      </c>
      <c r="D11">
        <v>72619</v>
      </c>
      <c r="E11">
        <v>7</v>
      </c>
      <c r="F11">
        <f>YEAR(C11)</f>
        <v>2023</v>
      </c>
      <c r="G11">
        <f>MONTH(C11)</f>
        <v>5</v>
      </c>
      <c r="H11" t="str">
        <f>F11&amp;"-"&amp;G11</f>
        <v>2023-5</v>
      </c>
    </row>
    <row r="12">
      <c r="A12" t="s">
        <v>17</v>
      </c>
      <c r="B12" t="s">
        <v>26</v>
      </c>
      <c r="C12" t="s">
        <v>27</v>
      </c>
      <c r="D12">
        <v>41496</v>
      </c>
      <c r="E12">
        <v>7</v>
      </c>
      <c r="F12">
        <f>YEAR(C12)</f>
        <v>2023</v>
      </c>
      <c r="G12">
        <f>MONTH(C12)</f>
        <v>6</v>
      </c>
      <c r="H12" t="str">
        <f>F12&amp;"-"&amp;G12</f>
        <v>2023-6</v>
      </c>
    </row>
    <row r="13">
      <c r="A13" t="s">
        <v>28</v>
      </c>
      <c r="B13" t="s">
        <v>29</v>
      </c>
      <c r="C13" t="s">
        <v>27</v>
      </c>
      <c r="D13">
        <v>84622</v>
      </c>
      <c r="E13">
        <v>7</v>
      </c>
      <c r="F13">
        <f>YEAR(C13)</f>
        <v>2023</v>
      </c>
      <c r="G13">
        <f>MONTH(C13)</f>
        <v>6</v>
      </c>
      <c r="H13" t="str">
        <f>F13&amp;"-"&amp;G13</f>
        <v>2023-6</v>
      </c>
    </row>
    <row r="14">
      <c r="A14" t="s">
        <v>11</v>
      </c>
      <c r="B14" t="s">
        <v>30</v>
      </c>
      <c r="C14" t="s">
        <v>27</v>
      </c>
      <c r="D14">
        <v>94800</v>
      </c>
      <c r="E14">
        <v>8</v>
      </c>
      <c r="F14">
        <f>YEAR(C14)</f>
        <v>2023</v>
      </c>
      <c r="G14">
        <f>MONTH(C14)</f>
        <v>6</v>
      </c>
      <c r="H14" t="str">
        <f>F14&amp;"-"&amp;G14</f>
        <v>2023-6</v>
      </c>
    </row>
    <row r="15">
      <c r="A15" t="s">
        <v>8</v>
      </c>
      <c r="B15" t="s">
        <v>31</v>
      </c>
      <c r="C15" t="s">
        <v>32</v>
      </c>
      <c r="D15">
        <v>98546</v>
      </c>
      <c r="E15">
        <v>7</v>
      </c>
      <c r="F15">
        <f>YEAR(C15)</f>
        <v>2023</v>
      </c>
      <c r="G15">
        <f>MONTH(C15)</f>
        <v>7</v>
      </c>
      <c r="H15" t="str">
        <f>F15&amp;"-"&amp;G15</f>
        <v>2023-7</v>
      </c>
    </row>
    <row r="16">
      <c r="A16" t="s">
        <v>17</v>
      </c>
      <c r="B16" t="s">
        <v>33</v>
      </c>
      <c r="C16" t="s">
        <v>34</v>
      </c>
      <c r="D16">
        <v>79908</v>
      </c>
      <c r="E16">
        <v>10</v>
      </c>
      <c r="F16">
        <f>YEAR(C16)</f>
        <v>2023</v>
      </c>
      <c r="G16">
        <f>MONTH(C16)</f>
        <v>8</v>
      </c>
      <c r="H16" t="str">
        <f>F16&amp;"-"&amp;G16</f>
        <v>2023-8</v>
      </c>
    </row>
    <row r="17">
      <c r="A17" t="s">
        <v>24</v>
      </c>
      <c r="B17" t="s">
        <v>35</v>
      </c>
      <c r="C17" t="s">
        <v>34</v>
      </c>
      <c r="D17">
        <v>84706</v>
      </c>
      <c r="E17">
        <v>5</v>
      </c>
      <c r="F17">
        <f>YEAR(C17)</f>
        <v>2023</v>
      </c>
      <c r="G17">
        <f>MONTH(C17)</f>
        <v>8</v>
      </c>
      <c r="H17" t="str">
        <f>F17&amp;"-"&amp;G17</f>
        <v>2023-8</v>
      </c>
    </row>
    <row r="18">
      <c r="A18" t="s">
        <v>28</v>
      </c>
      <c r="B18" t="s">
        <v>22</v>
      </c>
      <c r="C18" t="s">
        <v>36</v>
      </c>
      <c r="D18">
        <v>85122</v>
      </c>
      <c r="E18">
        <v>2</v>
      </c>
      <c r="F18">
        <f>YEAR(C18)</f>
        <v>2023</v>
      </c>
      <c r="G18">
        <f>MONTH(C18)</f>
        <v>11</v>
      </c>
      <c r="H18" t="str">
        <f>F18&amp;"-"&amp;G18</f>
        <v>2023-11</v>
      </c>
    </row>
    <row r="19">
      <c r="A19" t="s">
        <v>28</v>
      </c>
      <c r="B19" t="s">
        <v>37</v>
      </c>
      <c r="C19" t="s">
        <v>36</v>
      </c>
      <c r="D19">
        <v>13267</v>
      </c>
      <c r="E19">
        <v>2</v>
      </c>
      <c r="F19">
        <f>YEAR(C19)</f>
        <v>2023</v>
      </c>
      <c r="G19">
        <f>MONTH(C19)</f>
        <v>11</v>
      </c>
      <c r="H19" t="str">
        <f>F19&amp;"-"&amp;G19</f>
        <v>2023-11</v>
      </c>
    </row>
    <row r="20">
      <c r="A20" t="s">
        <v>15</v>
      </c>
      <c r="B20" t="s">
        <v>38</v>
      </c>
      <c r="C20" t="s">
        <v>36</v>
      </c>
      <c r="D20">
        <v>41359</v>
      </c>
      <c r="E20">
        <v>2</v>
      </c>
      <c r="F20">
        <f>YEAR(C20)</f>
        <v>2023</v>
      </c>
      <c r="G20">
        <f>MONTH(C20)</f>
        <v>11</v>
      </c>
      <c r="H20" t="str">
        <f>F20&amp;"-"&amp;G20</f>
        <v>2023-11</v>
      </c>
    </row>
    <row r="21">
      <c r="A21" t="s">
        <v>21</v>
      </c>
      <c r="B21" t="s">
        <v>39</v>
      </c>
      <c r="C21" t="s">
        <v>36</v>
      </c>
      <c r="D21">
        <v>39440</v>
      </c>
      <c r="E21">
        <v>8</v>
      </c>
      <c r="F21">
        <f>YEAR(C21)</f>
        <v>2023</v>
      </c>
      <c r="G21">
        <f>MONTH(C21)</f>
        <v>11</v>
      </c>
      <c r="H21" t="str">
        <f>F21&amp;"-"&amp;G21</f>
        <v>2023-11</v>
      </c>
    </row>
    <row r="22">
      <c r="A22" t="s">
        <v>8</v>
      </c>
      <c r="B22" t="s">
        <v>40</v>
      </c>
      <c r="C22" t="s">
        <v>36</v>
      </c>
      <c r="D22">
        <v>17235</v>
      </c>
      <c r="E22">
        <v>5</v>
      </c>
      <c r="F22">
        <f>YEAR(C22)</f>
        <v>2023</v>
      </c>
      <c r="G22">
        <f>MONTH(C22)</f>
        <v>11</v>
      </c>
      <c r="H22" t="str">
        <f>F22&amp;"-"&amp;G22</f>
        <v>2023-11</v>
      </c>
    </row>
    <row r="23">
      <c r="A23" t="s">
        <v>15</v>
      </c>
      <c r="B23" t="s">
        <v>41</v>
      </c>
      <c r="C23" t="s">
        <v>36</v>
      </c>
      <c r="D23">
        <v>60871</v>
      </c>
      <c r="E23">
        <v>7</v>
      </c>
      <c r="F23">
        <f>YEAR(C23)</f>
        <v>2023</v>
      </c>
      <c r="G23">
        <f>MONTH(C23)</f>
        <v>11</v>
      </c>
      <c r="H23" t="str">
        <f>F23&amp;"-"&amp;G23</f>
        <v>2023-11</v>
      </c>
    </row>
    <row r="24">
      <c r="A24" t="s">
        <v>13</v>
      </c>
      <c r="B24" t="s">
        <v>42</v>
      </c>
      <c r="C24" t="s">
        <v>36</v>
      </c>
      <c r="D24">
        <v>46289</v>
      </c>
      <c r="E24">
        <v>3</v>
      </c>
      <c r="F24">
        <f>YEAR(C24)</f>
        <v>2023</v>
      </c>
      <c r="G24">
        <f>MONTH(C24)</f>
        <v>11</v>
      </c>
      <c r="H24" t="str">
        <f>F24&amp;"-"&amp;G24</f>
        <v>2023-11</v>
      </c>
    </row>
    <row r="25">
      <c r="A25" t="s">
        <v>5</v>
      </c>
      <c r="B25" t="s">
        <v>14</v>
      </c>
      <c r="C25" t="s">
        <v>36</v>
      </c>
      <c r="D25">
        <v>27397</v>
      </c>
      <c r="E25">
        <v>3</v>
      </c>
      <c r="F25">
        <f>YEAR(C25)</f>
        <v>2023</v>
      </c>
      <c r="G25">
        <f>MONTH(C25)</f>
        <v>11</v>
      </c>
      <c r="H25" t="str">
        <f>F25&amp;"-"&amp;G25</f>
        <v>2023-11</v>
      </c>
    </row>
    <row r="26">
      <c r="A26" t="s">
        <v>43</v>
      </c>
      <c r="B26" t="s">
        <v>44</v>
      </c>
      <c r="C26" t="s">
        <v>36</v>
      </c>
      <c r="D26">
        <v>69460</v>
      </c>
      <c r="E26">
        <v>5</v>
      </c>
      <c r="F26">
        <f>YEAR(C26)</f>
        <v>2023</v>
      </c>
      <c r="G26">
        <f>MONTH(C26)</f>
        <v>11</v>
      </c>
      <c r="H26" t="str">
        <f>F26&amp;"-"&amp;G26</f>
        <v>2023-11</v>
      </c>
    </row>
    <row r="27">
      <c r="A27" t="s">
        <v>8</v>
      </c>
      <c r="B27" t="s">
        <v>45</v>
      </c>
      <c r="C27" t="s">
        <v>36</v>
      </c>
      <c r="D27">
        <v>45249</v>
      </c>
      <c r="E27">
        <v>5</v>
      </c>
      <c r="F27">
        <f>YEAR(C27)</f>
        <v>2023</v>
      </c>
      <c r="G27">
        <f>MONTH(C27)</f>
        <v>11</v>
      </c>
      <c r="H27" t="str">
        <f>F27&amp;"-"&amp;G27</f>
        <v>2023-11</v>
      </c>
    </row>
    <row r="28">
      <c r="A28" t="s">
        <v>8</v>
      </c>
      <c r="B28" t="s">
        <v>14</v>
      </c>
      <c r="C28" t="s">
        <v>46</v>
      </c>
      <c r="D28">
        <v>97292</v>
      </c>
      <c r="E28">
        <v>8</v>
      </c>
      <c r="F28">
        <f>YEAR(C28)</f>
        <v>2023</v>
      </c>
      <c r="G28">
        <f>MONTH(C28)</f>
        <v>12</v>
      </c>
      <c r="H28" t="str">
        <f>F28&amp;"-"&amp;G28</f>
        <v>2023-12</v>
      </c>
    </row>
    <row r="29">
      <c r="A29" t="s">
        <v>47</v>
      </c>
      <c r="B29" t="s">
        <v>48</v>
      </c>
      <c r="C29" t="s">
        <v>46</v>
      </c>
      <c r="D29">
        <v>46609</v>
      </c>
      <c r="E29">
        <v>8</v>
      </c>
      <c r="F29">
        <f>YEAR(C29)</f>
        <v>2023</v>
      </c>
      <c r="G29">
        <f>MONTH(C29)</f>
        <v>12</v>
      </c>
      <c r="H29" t="str">
        <f>F29&amp;"-"&amp;G29</f>
        <v>2023-12</v>
      </c>
    </row>
    <row r="30">
      <c r="A30" t="s">
        <v>8</v>
      </c>
      <c r="B30" t="s">
        <v>38</v>
      </c>
      <c r="C30" t="s">
        <v>46</v>
      </c>
      <c r="D30">
        <v>64436</v>
      </c>
      <c r="E30">
        <v>7</v>
      </c>
      <c r="F30">
        <f>YEAR(C30)</f>
        <v>2023</v>
      </c>
      <c r="G30">
        <f>MONTH(C30)</f>
        <v>12</v>
      </c>
      <c r="H30" t="str">
        <f>F30&amp;"-"&amp;G30</f>
        <v>2023-12</v>
      </c>
    </row>
    <row r="31">
      <c r="A31" t="s">
        <v>43</v>
      </c>
      <c r="B31" t="s">
        <v>49</v>
      </c>
      <c r="C31" t="s">
        <v>46</v>
      </c>
      <c r="D31">
        <v>94418</v>
      </c>
      <c r="E31">
        <v>5</v>
      </c>
      <c r="F31">
        <f>YEAR(C31)</f>
        <v>2023</v>
      </c>
      <c r="G31">
        <f>MONTH(C31)</f>
        <v>12</v>
      </c>
      <c r="H31" t="str">
        <f>F31&amp;"-"&amp;G31</f>
        <v>2023-12</v>
      </c>
    </row>
    <row r="32">
      <c r="A32" t="s">
        <v>21</v>
      </c>
      <c r="B32" t="s">
        <v>50</v>
      </c>
      <c r="C32" t="s">
        <v>51</v>
      </c>
      <c r="D32">
        <v>89753</v>
      </c>
      <c r="E32">
        <v>8</v>
      </c>
      <c r="F32" t="e">
        <f>YEAR(C32)</f>
        <v>#VALUE!</v>
      </c>
      <c r="G32" t="e">
        <f>MONTH(C32)</f>
        <v>#VALUE!</v>
      </c>
      <c r="H32" t="e">
        <f>F32&amp;"-"&amp;G32</f>
        <v>#VALUE!</v>
      </c>
    </row>
    <row r="33">
      <c r="A33" t="s">
        <v>8</v>
      </c>
      <c r="B33" t="s">
        <v>52</v>
      </c>
      <c r="C33" t="s">
        <v>51</v>
      </c>
      <c r="D33">
        <v>48055</v>
      </c>
      <c r="E33">
        <v>9</v>
      </c>
      <c r="F33" t="e">
        <f>YEAR(C33)</f>
        <v>#VALUE!</v>
      </c>
      <c r="G33" t="e">
        <f>MONTH(C33)</f>
        <v>#VALUE!</v>
      </c>
      <c r="H33" t="e">
        <f>F33&amp;"-"&amp;G33</f>
        <v>#VALUE!</v>
      </c>
    </row>
    <row r="34">
      <c r="A34" t="s">
        <v>8</v>
      </c>
      <c r="B34" t="s">
        <v>50</v>
      </c>
      <c r="C34" t="s">
        <v>53</v>
      </c>
      <c r="D34">
        <v>20944</v>
      </c>
      <c r="E34">
        <v>9</v>
      </c>
      <c r="F34" t="e">
        <f>YEAR(C34)</f>
        <v>#VALUE!</v>
      </c>
      <c r="G34" t="e">
        <f>MONTH(C34)</f>
        <v>#VALUE!</v>
      </c>
      <c r="H34" t="e">
        <f>F34&amp;"-"&amp;G34</f>
        <v>#VALUE!</v>
      </c>
    </row>
    <row r="35">
      <c r="A35" t="s">
        <v>8</v>
      </c>
      <c r="B35" t="s">
        <v>40</v>
      </c>
      <c r="C35" t="s">
        <v>54</v>
      </c>
      <c r="D35">
        <v>62314</v>
      </c>
      <c r="E35">
        <v>10</v>
      </c>
      <c r="F35" t="e">
        <f>YEAR(C35)</f>
        <v>#VALUE!</v>
      </c>
      <c r="G35" t="e">
        <f>MONTH(C35)</f>
        <v>#VALUE!</v>
      </c>
      <c r="H35" t="e">
        <f>F35&amp;"-"&amp;G35</f>
        <v>#VALUE!</v>
      </c>
    </row>
    <row r="36">
      <c r="A36" t="s">
        <v>17</v>
      </c>
      <c r="B36" t="s">
        <v>55</v>
      </c>
      <c r="C36" t="s">
        <v>54</v>
      </c>
      <c r="D36">
        <v>69894</v>
      </c>
      <c r="E36">
        <v>8</v>
      </c>
      <c r="F36" t="e">
        <f>YEAR(C36)</f>
        <v>#VALUE!</v>
      </c>
      <c r="G36" t="e">
        <f>MONTH(C36)</f>
        <v>#VALUE!</v>
      </c>
      <c r="H36" t="e">
        <f>F36&amp;"-"&amp;G36</f>
        <v>#VALUE!</v>
      </c>
    </row>
    <row r="37">
      <c r="A37" t="s">
        <v>15</v>
      </c>
      <c r="B37" t="s">
        <v>56</v>
      </c>
      <c r="C37" t="s">
        <v>54</v>
      </c>
      <c r="D37">
        <v>97915</v>
      </c>
      <c r="E37">
        <v>7</v>
      </c>
      <c r="F37" t="e">
        <f>YEAR(C37)</f>
        <v>#VALUE!</v>
      </c>
      <c r="G37" t="e">
        <f>MONTH(C37)</f>
        <v>#VALUE!</v>
      </c>
      <c r="H37" t="e">
        <f>F37&amp;"-"&amp;G37</f>
        <v>#VALUE!</v>
      </c>
    </row>
    <row r="38">
      <c r="A38" t="s">
        <v>57</v>
      </c>
      <c r="B38" t="s">
        <v>58</v>
      </c>
      <c r="C38" t="s">
        <v>54</v>
      </c>
      <c r="D38">
        <v>99972</v>
      </c>
      <c r="E38">
        <v>6</v>
      </c>
      <c r="F38" t="e">
        <f>YEAR(C38)</f>
        <v>#VALUE!</v>
      </c>
      <c r="G38" t="e">
        <f>MONTH(C38)</f>
        <v>#VALUE!</v>
      </c>
      <c r="H38" t="e">
        <f>F38&amp;"-"&amp;G38</f>
        <v>#VALUE!</v>
      </c>
    </row>
    <row r="39">
      <c r="A39" t="s">
        <v>28</v>
      </c>
      <c r="B39" t="s">
        <v>59</v>
      </c>
      <c r="C39" t="s">
        <v>54</v>
      </c>
      <c r="D39">
        <v>38674</v>
      </c>
      <c r="E39">
        <v>9</v>
      </c>
      <c r="F39" t="e">
        <f>YEAR(C39)</f>
        <v>#VALUE!</v>
      </c>
      <c r="G39" t="e">
        <f>MONTH(C39)</f>
        <v>#VALUE!</v>
      </c>
      <c r="H39" t="e">
        <f>F39&amp;"-"&amp;G39</f>
        <v>#VALUE!</v>
      </c>
    </row>
    <row r="40">
      <c r="A40" t="s">
        <v>13</v>
      </c>
      <c r="B40" t="s">
        <v>6</v>
      </c>
      <c r="C40" t="s">
        <v>54</v>
      </c>
      <c r="D40">
        <v>68702</v>
      </c>
      <c r="E40">
        <v>0</v>
      </c>
      <c r="F40" t="e">
        <f>YEAR(C40)</f>
        <v>#VALUE!</v>
      </c>
      <c r="G40" t="e">
        <f>MONTH(C40)</f>
        <v>#VALUE!</v>
      </c>
      <c r="H40" t="e">
        <f>F40&amp;"-"&amp;G40</f>
        <v>#VALUE!</v>
      </c>
    </row>
    <row r="41">
      <c r="A41" t="s">
        <v>17</v>
      </c>
      <c r="B41" t="s">
        <v>60</v>
      </c>
      <c r="C41" t="s">
        <v>54</v>
      </c>
      <c r="D41">
        <v>50615</v>
      </c>
      <c r="E41">
        <v>8</v>
      </c>
      <c r="F41" t="e">
        <f>YEAR(C41)</f>
        <v>#VALUE!</v>
      </c>
      <c r="G41" t="e">
        <f>MONTH(C41)</f>
        <v>#VALUE!</v>
      </c>
      <c r="H41" t="e">
        <f>F41&amp;"-"&amp;G41</f>
        <v>#VALUE!</v>
      </c>
    </row>
    <row r="42">
      <c r="A42" t="s">
        <v>8</v>
      </c>
      <c r="B42" t="s">
        <v>61</v>
      </c>
      <c r="C42" t="s">
        <v>62</v>
      </c>
      <c r="D42">
        <v>32198</v>
      </c>
      <c r="E42">
        <v>9</v>
      </c>
      <c r="F42" t="e">
        <f>YEAR(C42)</f>
        <v>#VALUE!</v>
      </c>
      <c r="G42" t="e">
        <f>MONTH(C42)</f>
        <v>#VALUE!</v>
      </c>
      <c r="H42" t="e">
        <f>F42&amp;"-"&amp;G42</f>
        <v>#VALUE!</v>
      </c>
    </row>
    <row r="43">
      <c r="A43" t="s">
        <v>47</v>
      </c>
      <c r="B43" t="s">
        <v>22</v>
      </c>
      <c r="C43" t="s">
        <v>62</v>
      </c>
      <c r="D43">
        <v>75290</v>
      </c>
      <c r="E43">
        <v>9</v>
      </c>
      <c r="F43" t="e">
        <f>YEAR(C43)</f>
        <v>#VALUE!</v>
      </c>
      <c r="G43" t="e">
        <f>MONTH(C43)</f>
        <v>#VALUE!</v>
      </c>
      <c r="H43" t="e">
        <f>F43&amp;"-"&amp;G43</f>
        <v>#VALUE!</v>
      </c>
    </row>
    <row r="44">
      <c r="A44" t="s">
        <v>43</v>
      </c>
      <c r="B44" t="s">
        <v>63</v>
      </c>
      <c r="C44" t="s">
        <v>62</v>
      </c>
      <c r="D44">
        <v>75210</v>
      </c>
      <c r="E44">
        <v>7</v>
      </c>
      <c r="F44" t="e">
        <f>YEAR(C44)</f>
        <v>#VALUE!</v>
      </c>
      <c r="G44" t="e">
        <f>MONTH(C44)</f>
        <v>#VALUE!</v>
      </c>
      <c r="H44" t="e">
        <f>F44&amp;"-"&amp;G44</f>
        <v>#VALUE!</v>
      </c>
    </row>
    <row r="45">
      <c r="A45" t="s">
        <v>24</v>
      </c>
      <c r="B45" t="s">
        <v>64</v>
      </c>
      <c r="C45" t="s">
        <v>62</v>
      </c>
      <c r="D45">
        <v>39751</v>
      </c>
      <c r="E45">
        <v>8</v>
      </c>
      <c r="F45" t="e">
        <f>YEAR(C45)</f>
        <v>#VALUE!</v>
      </c>
      <c r="G45" t="e">
        <f>MONTH(C45)</f>
        <v>#VALUE!</v>
      </c>
      <c r="H45" t="e">
        <f>F45&amp;"-"&amp;G45</f>
        <v>#VALUE!</v>
      </c>
    </row>
    <row r="46">
      <c r="A46" t="s">
        <v>15</v>
      </c>
      <c r="B46" t="s">
        <v>65</v>
      </c>
      <c r="C46" t="s">
        <v>62</v>
      </c>
      <c r="D46">
        <v>82247</v>
      </c>
      <c r="E46">
        <v>7</v>
      </c>
      <c r="F46" t="e">
        <f>YEAR(C46)</f>
        <v>#VALUE!</v>
      </c>
      <c r="G46" t="e">
        <f>MONTH(C46)</f>
        <v>#VALUE!</v>
      </c>
      <c r="H46" t="e">
        <f>F46&amp;"-"&amp;G46</f>
        <v>#VALUE!</v>
      </c>
    </row>
    <row r="47">
      <c r="A47" t="s">
        <v>47</v>
      </c>
      <c r="B47" t="s">
        <v>22</v>
      </c>
      <c r="C47" t="s">
        <v>66</v>
      </c>
      <c r="D47">
        <v>68487</v>
      </c>
      <c r="E47">
        <v>7</v>
      </c>
      <c r="F47" t="e">
        <f>YEAR(C47)</f>
        <v>#VALUE!</v>
      </c>
      <c r="G47" t="e">
        <f>MONTH(C47)</f>
        <v>#VALUE!</v>
      </c>
      <c r="H47" t="e">
        <f>F47&amp;"-"&amp;G47</f>
        <v>#VALUE!</v>
      </c>
    </row>
    <row r="48">
      <c r="A48" t="s">
        <v>5</v>
      </c>
      <c r="B48" t="s">
        <v>67</v>
      </c>
      <c r="C48" t="s">
        <v>66</v>
      </c>
      <c r="D48">
        <v>78668</v>
      </c>
      <c r="E48">
        <v>7</v>
      </c>
      <c r="F48" t="e">
        <f>YEAR(C48)</f>
        <v>#VALUE!</v>
      </c>
      <c r="G48" t="e">
        <f>MONTH(C48)</f>
        <v>#VALUE!</v>
      </c>
      <c r="H48" t="e">
        <f>F48&amp;"-"&amp;G48</f>
        <v>#VALUE!</v>
      </c>
    </row>
    <row r="49">
      <c r="A49" t="s">
        <v>28</v>
      </c>
      <c r="B49" t="s">
        <v>68</v>
      </c>
      <c r="C49" t="s">
        <v>66</v>
      </c>
      <c r="D49">
        <v>33825</v>
      </c>
      <c r="E49">
        <v>8</v>
      </c>
      <c r="F49" t="e">
        <f>YEAR(C49)</f>
        <v>#VALUE!</v>
      </c>
      <c r="G49" t="e">
        <f>MONTH(C49)</f>
        <v>#VALUE!</v>
      </c>
      <c r="H49" t="e">
        <f>F49&amp;"-"&amp;G49</f>
        <v>#VALUE!</v>
      </c>
    </row>
    <row r="50">
      <c r="A50" t="s">
        <v>8</v>
      </c>
      <c r="B50" t="s">
        <v>69</v>
      </c>
      <c r="C50" t="s">
        <v>66</v>
      </c>
      <c r="D50">
        <v>98617</v>
      </c>
      <c r="E50">
        <v>9</v>
      </c>
      <c r="F50" t="e">
        <f>YEAR(C50)</f>
        <v>#VALUE!</v>
      </c>
      <c r="G50" t="e">
        <f>MONTH(C50)</f>
        <v>#VALUE!</v>
      </c>
      <c r="H50" t="e">
        <f>F50&amp;"-"&amp;G50</f>
        <v>#VALUE!</v>
      </c>
    </row>
    <row r="51">
      <c r="A51" t="s">
        <v>47</v>
      </c>
      <c r="B51" t="s">
        <v>70</v>
      </c>
      <c r="C51" t="s">
        <v>66</v>
      </c>
      <c r="D51">
        <v>53316</v>
      </c>
      <c r="E51">
        <v>8</v>
      </c>
      <c r="F51" t="e">
        <f>YEAR(C51)</f>
        <v>#VALUE!</v>
      </c>
      <c r="G51" t="e">
        <f>MONTH(C51)</f>
        <v>#VALUE!</v>
      </c>
      <c r="H51" t="e">
        <f>F51&amp;"-"&amp;G51</f>
        <v>#VALUE!</v>
      </c>
    </row>
    <row r="52">
      <c r="A52" t="s">
        <v>5</v>
      </c>
      <c r="B52" t="s">
        <v>71</v>
      </c>
      <c r="C52" t="s">
        <v>72</v>
      </c>
      <c r="D52">
        <v>24530</v>
      </c>
      <c r="E52">
        <v>8</v>
      </c>
      <c r="F52" t="e">
        <f>YEAR(C52)</f>
        <v>#VALUE!</v>
      </c>
      <c r="G52" t="e">
        <f>MONTH(C52)</f>
        <v>#VALUE!</v>
      </c>
      <c r="H52" t="e">
        <f>F52&amp;"-"&amp;G52</f>
        <v>#VALUE!</v>
      </c>
    </row>
    <row r="53">
      <c r="A53" t="s">
        <v>8</v>
      </c>
      <c r="B53" t="s">
        <v>44</v>
      </c>
      <c r="C53" t="s">
        <v>72</v>
      </c>
      <c r="D53">
        <v>70387</v>
      </c>
      <c r="E53">
        <v>4</v>
      </c>
      <c r="F53" t="e">
        <f>YEAR(C53)</f>
        <v>#VALUE!</v>
      </c>
      <c r="G53" t="e">
        <f>MONTH(C53)</f>
        <v>#VALUE!</v>
      </c>
      <c r="H53" t="e">
        <f>F53&amp;"-"&amp;G53</f>
        <v>#VALUE!</v>
      </c>
    </row>
    <row r="54">
      <c r="A54" t="s">
        <v>5</v>
      </c>
      <c r="B54" t="s">
        <v>73</v>
      </c>
      <c r="C54" t="s">
        <v>74</v>
      </c>
      <c r="D54">
        <v>65551</v>
      </c>
      <c r="E54">
        <v>7</v>
      </c>
      <c r="F54" t="e">
        <f>YEAR(C54)</f>
        <v>#VALUE!</v>
      </c>
      <c r="G54" t="e">
        <f>MONTH(C54)</f>
        <v>#VALUE!</v>
      </c>
      <c r="H54" t="e">
        <f>F54&amp;"-"&amp;G54</f>
        <v>#VALUE!</v>
      </c>
    </row>
    <row r="55">
      <c r="A55" t="s">
        <v>24</v>
      </c>
      <c r="B55" t="s">
        <v>75</v>
      </c>
      <c r="C55" t="s">
        <v>76</v>
      </c>
      <c r="D55">
        <v>20825</v>
      </c>
      <c r="E55">
        <v>8</v>
      </c>
      <c r="F55" t="e">
        <f>YEAR(C55)</f>
        <v>#VALUE!</v>
      </c>
      <c r="G55" t="e">
        <f>MONTH(C55)</f>
        <v>#VALUE!</v>
      </c>
      <c r="H55" t="e">
        <f>F55&amp;"-"&amp;G55</f>
        <v>#VALUE!</v>
      </c>
    </row>
    <row r="56">
      <c r="A56" t="s">
        <v>15</v>
      </c>
      <c r="B56" t="s">
        <v>77</v>
      </c>
      <c r="C56" t="s">
        <v>76</v>
      </c>
      <c r="D56">
        <v>50444</v>
      </c>
      <c r="E56">
        <v>10</v>
      </c>
      <c r="F56" t="e">
        <f>YEAR(C56)</f>
        <v>#VALUE!</v>
      </c>
      <c r="G56" t="e">
        <f>MONTH(C56)</f>
        <v>#VALUE!</v>
      </c>
      <c r="H56" t="e">
        <f>F56&amp;"-"&amp;G56</f>
        <v>#VALUE!</v>
      </c>
    </row>
    <row r="57">
      <c r="A57" t="s">
        <v>57</v>
      </c>
      <c r="B57" t="s">
        <v>78</v>
      </c>
      <c r="C57" t="s">
        <v>76</v>
      </c>
      <c r="D57">
        <v>52020</v>
      </c>
      <c r="E57">
        <v>6</v>
      </c>
      <c r="F57" t="e">
        <f>YEAR(C57)</f>
        <v>#VALUE!</v>
      </c>
      <c r="G57" t="e">
        <f>MONTH(C57)</f>
        <v>#VALUE!</v>
      </c>
      <c r="H57" t="e">
        <f>F57&amp;"-"&amp;G57</f>
        <v>#VALUE!</v>
      </c>
    </row>
    <row r="58">
      <c r="A58" t="s">
        <v>13</v>
      </c>
      <c r="B58" t="s">
        <v>79</v>
      </c>
      <c r="C58" t="s">
        <v>76</v>
      </c>
      <c r="D58">
        <v>78301</v>
      </c>
      <c r="E58">
        <v>7</v>
      </c>
      <c r="F58" t="e">
        <f>YEAR(C58)</f>
        <v>#VALUE!</v>
      </c>
      <c r="G58" t="e">
        <f>MONTH(C58)</f>
        <v>#VALUE!</v>
      </c>
      <c r="H58" t="e">
        <f>F58&amp;"-"&amp;G58</f>
        <v>#VALUE!</v>
      </c>
    </row>
    <row r="59">
      <c r="A59" t="s">
        <v>43</v>
      </c>
      <c r="B59" t="s">
        <v>80</v>
      </c>
      <c r="C59" t="s">
        <v>76</v>
      </c>
      <c r="D59">
        <v>15549</v>
      </c>
      <c r="E59">
        <v>4</v>
      </c>
      <c r="F59" t="e">
        <f>YEAR(C59)</f>
        <v>#VALUE!</v>
      </c>
      <c r="G59" t="e">
        <f>MONTH(C59)</f>
        <v>#VALUE!</v>
      </c>
      <c r="H59" t="e">
        <f>F59&amp;"-"&amp;G59</f>
        <v>#VALUE!</v>
      </c>
    </row>
    <row r="60">
      <c r="A60" t="s">
        <v>13</v>
      </c>
      <c r="B60" t="s">
        <v>81</v>
      </c>
      <c r="C60" t="s">
        <v>76</v>
      </c>
      <c r="D60">
        <v>75959</v>
      </c>
      <c r="E60">
        <v>5</v>
      </c>
      <c r="F60" t="e">
        <f>YEAR(C60)</f>
        <v>#VALUE!</v>
      </c>
      <c r="G60" t="e">
        <f>MONTH(C60)</f>
        <v>#VALUE!</v>
      </c>
      <c r="H60" t="e">
        <f>F60&amp;"-"&amp;G60</f>
        <v>#VALUE!</v>
      </c>
    </row>
    <row r="61">
      <c r="A61" t="s">
        <v>5</v>
      </c>
      <c r="B61" t="s">
        <v>82</v>
      </c>
      <c r="C61" t="s">
        <v>76</v>
      </c>
      <c r="D61">
        <v>56425</v>
      </c>
      <c r="E61">
        <v>7</v>
      </c>
      <c r="F61" t="e">
        <f>YEAR(C61)</f>
        <v>#VALUE!</v>
      </c>
      <c r="G61" t="e">
        <f>MONTH(C61)</f>
        <v>#VALUE!</v>
      </c>
      <c r="H61" t="e">
        <f>F61&amp;"-"&amp;G61</f>
        <v>#VALUE!</v>
      </c>
    </row>
    <row r="62">
      <c r="A62" t="s">
        <v>17</v>
      </c>
      <c r="B62" t="s">
        <v>83</v>
      </c>
      <c r="C62" t="s">
        <v>84</v>
      </c>
      <c r="D62">
        <v>28109</v>
      </c>
      <c r="E62">
        <v>7</v>
      </c>
      <c r="F62" t="e">
        <f>YEAR(C62)</f>
        <v>#VALUE!</v>
      </c>
      <c r="G62" t="e">
        <f>MONTH(C62)</f>
        <v>#VALUE!</v>
      </c>
      <c r="H62" t="e">
        <f>F62&amp;"-"&amp;G62</f>
        <v>#VALUE!</v>
      </c>
    </row>
    <row r="63">
      <c r="A63" t="s">
        <v>43</v>
      </c>
      <c r="B63" t="s">
        <v>6</v>
      </c>
      <c r="C63" t="s">
        <v>84</v>
      </c>
      <c r="D63">
        <v>82016</v>
      </c>
      <c r="E63">
        <v>5</v>
      </c>
      <c r="F63" t="e">
        <f>YEAR(C63)</f>
        <v>#VALUE!</v>
      </c>
      <c r="G63" t="e">
        <f>MONTH(C63)</f>
        <v>#VALUE!</v>
      </c>
      <c r="H63" t="e">
        <f>F63&amp;"-"&amp;G63</f>
        <v>#VALUE!</v>
      </c>
    </row>
    <row r="64">
      <c r="A64" t="s">
        <v>21</v>
      </c>
      <c r="B64" t="s">
        <v>60</v>
      </c>
      <c r="C64" t="s">
        <v>84</v>
      </c>
      <c r="D64">
        <v>62923</v>
      </c>
      <c r="E64">
        <v>9</v>
      </c>
      <c r="F64" t="e">
        <f>YEAR(C64)</f>
        <v>#VALUE!</v>
      </c>
      <c r="G64" t="e">
        <f>MONTH(C64)</f>
        <v>#VALUE!</v>
      </c>
      <c r="H64" t="e">
        <f>F64&amp;"-"&amp;G64</f>
        <v>#VALUE!</v>
      </c>
    </row>
    <row r="65">
      <c r="A65" t="s">
        <v>17</v>
      </c>
      <c r="B65" t="s">
        <v>61</v>
      </c>
      <c r="C65" t="s">
        <v>84</v>
      </c>
      <c r="D65">
        <v>26443</v>
      </c>
      <c r="E65">
        <v>8</v>
      </c>
      <c r="F65" t="e">
        <f>YEAR(C65)</f>
        <v>#VALUE!</v>
      </c>
      <c r="G65" t="e">
        <f>MONTH(C65)</f>
        <v>#VALUE!</v>
      </c>
      <c r="H65" t="e">
        <f>F65&amp;"-"&amp;G65</f>
        <v>#VALUE!</v>
      </c>
    </row>
    <row r="66">
      <c r="A66" t="s">
        <v>8</v>
      </c>
      <c r="B66" t="s">
        <v>85</v>
      </c>
      <c r="C66" t="s">
        <v>84</v>
      </c>
      <c r="D66">
        <v>87198</v>
      </c>
      <c r="E66">
        <v>7</v>
      </c>
      <c r="F66" t="e">
        <f>YEAR(C66)</f>
        <v>#VALUE!</v>
      </c>
      <c r="G66" t="e">
        <f>MONTH(C66)</f>
        <v>#VALUE!</v>
      </c>
      <c r="H66" t="e">
        <f>F66&amp;"-"&amp;G66</f>
        <v>#VALUE!</v>
      </c>
    </row>
    <row r="67">
      <c r="A67" t="s">
        <v>8</v>
      </c>
      <c r="B67" t="s">
        <v>49</v>
      </c>
      <c r="C67" t="s">
        <v>86</v>
      </c>
      <c r="D67">
        <v>54777</v>
      </c>
      <c r="E67">
        <v>9</v>
      </c>
      <c r="F67" t="e">
        <f>YEAR(C67)</f>
        <v>#VALUE!</v>
      </c>
      <c r="G67" t="e">
        <f>MONTH(C67)</f>
        <v>#VALUE!</v>
      </c>
      <c r="H67" t="e">
        <f>F67&amp;"-"&amp;G67</f>
        <v>#VALUE!</v>
      </c>
    </row>
    <row r="68">
      <c r="A68" t="s">
        <v>57</v>
      </c>
      <c r="B68" t="s">
        <v>25</v>
      </c>
      <c r="C68" t="s">
        <v>86</v>
      </c>
      <c r="D68">
        <v>32002</v>
      </c>
      <c r="E68">
        <v>4</v>
      </c>
      <c r="F68" t="e">
        <f>YEAR(C68)</f>
        <v>#VALUE!</v>
      </c>
      <c r="G68" t="e">
        <f>MONTH(C68)</f>
        <v>#VALUE!</v>
      </c>
      <c r="H68" t="e">
        <f>F68&amp;"-"&amp;G68</f>
        <v>#VALUE!</v>
      </c>
    </row>
    <row r="69">
      <c r="A69" t="s">
        <v>13</v>
      </c>
      <c r="B69" t="s">
        <v>87</v>
      </c>
      <c r="C69" t="s">
        <v>88</v>
      </c>
      <c r="D69">
        <v>20092</v>
      </c>
      <c r="E69">
        <v>6</v>
      </c>
      <c r="F69" t="e">
        <f>YEAR(C69)</f>
        <v>#VALUE!</v>
      </c>
      <c r="G69" t="e">
        <f>MONTH(C69)</f>
        <v>#VALUE!</v>
      </c>
      <c r="H69" t="e">
        <f>F69&amp;"-"&amp;G69</f>
        <v>#VALUE!</v>
      </c>
    </row>
    <row r="70">
      <c r="A70" t="s">
        <v>57</v>
      </c>
      <c r="B70" t="s">
        <v>89</v>
      </c>
      <c r="C70" t="s">
        <v>88</v>
      </c>
      <c r="D70">
        <v>55456</v>
      </c>
      <c r="E70">
        <v>5</v>
      </c>
      <c r="F70" t="e">
        <f>YEAR(C70)</f>
        <v>#VALUE!</v>
      </c>
      <c r="G70" t="e">
        <f>MONTH(C70)</f>
        <v>#VALUE!</v>
      </c>
      <c r="H70" t="e">
        <f>F70&amp;"-"&amp;G70</f>
        <v>#VALUE!</v>
      </c>
    </row>
    <row r="71">
      <c r="A71" t="s">
        <v>24</v>
      </c>
      <c r="B71" t="s">
        <v>68</v>
      </c>
      <c r="C71" t="s">
        <v>90</v>
      </c>
      <c r="D71">
        <v>86045</v>
      </c>
      <c r="E71">
        <v>6</v>
      </c>
      <c r="F71" t="e">
        <f>YEAR(C71)</f>
        <v>#VALUE!</v>
      </c>
      <c r="G71" t="e">
        <f>MONTH(C71)</f>
        <v>#VALUE!</v>
      </c>
      <c r="H71" t="e">
        <f>F71&amp;"-"&amp;G71</f>
        <v>#VALUE!</v>
      </c>
    </row>
    <row r="72">
      <c r="A72" t="s">
        <v>24</v>
      </c>
      <c r="B72" t="s">
        <v>91</v>
      </c>
      <c r="C72" t="s">
        <v>90</v>
      </c>
      <c r="D72">
        <v>92089</v>
      </c>
      <c r="E72">
        <v>5</v>
      </c>
      <c r="F72" t="e">
        <f>YEAR(C72)</f>
        <v>#VALUE!</v>
      </c>
      <c r="G72" t="e">
        <f>MONTH(C72)</f>
        <v>#VALUE!</v>
      </c>
      <c r="H72" t="e">
        <f>F72&amp;"-"&amp;G72</f>
        <v>#VALUE!</v>
      </c>
    </row>
    <row r="73">
      <c r="A73" t="s">
        <v>17</v>
      </c>
      <c r="B73" t="s">
        <v>92</v>
      </c>
      <c r="C73" t="s">
        <v>90</v>
      </c>
      <c r="D73">
        <v>57619</v>
      </c>
      <c r="E73">
        <v>8</v>
      </c>
      <c r="F73" t="e">
        <f>YEAR(C73)</f>
        <v>#VALUE!</v>
      </c>
      <c r="G73" t="e">
        <f>MONTH(C73)</f>
        <v>#VALUE!</v>
      </c>
      <c r="H73" t="e">
        <f>F73&amp;"-"&amp;G73</f>
        <v>#VALUE!</v>
      </c>
    </row>
    <row r="74">
      <c r="A74" t="s">
        <v>28</v>
      </c>
      <c r="B74" t="s">
        <v>93</v>
      </c>
      <c r="C74" t="s">
        <v>94</v>
      </c>
      <c r="D74">
        <v>85770</v>
      </c>
      <c r="E74">
        <v>8</v>
      </c>
      <c r="F74">
        <f>YEAR(C74)</f>
        <v>2023</v>
      </c>
      <c r="G74">
        <f>MONTH(C74)</f>
        <v>2</v>
      </c>
      <c r="H74" t="str">
        <f>F74&amp;"-"&amp;G74</f>
        <v>2023-2</v>
      </c>
    </row>
    <row r="75">
      <c r="A75" t="s">
        <v>11</v>
      </c>
      <c r="B75" t="s">
        <v>95</v>
      </c>
      <c r="C75" t="s">
        <v>94</v>
      </c>
      <c r="D75">
        <v>35335</v>
      </c>
      <c r="E75">
        <v>1</v>
      </c>
      <c r="F75">
        <f>YEAR(C75)</f>
        <v>2023</v>
      </c>
      <c r="G75">
        <f>MONTH(C75)</f>
        <v>2</v>
      </c>
      <c r="H75" t="str">
        <f>F75&amp;"-"&amp;G75</f>
        <v>2023-2</v>
      </c>
    </row>
    <row r="76">
      <c r="A76" t="s">
        <v>21</v>
      </c>
      <c r="B76" t="s">
        <v>96</v>
      </c>
      <c r="C76" t="s">
        <v>94</v>
      </c>
      <c r="D76">
        <v>94317</v>
      </c>
      <c r="E76">
        <v>6</v>
      </c>
      <c r="F76">
        <f>YEAR(C76)</f>
        <v>2023</v>
      </c>
      <c r="G76">
        <f>MONTH(C76)</f>
        <v>2</v>
      </c>
      <c r="H76" t="str">
        <f>F76&amp;"-"&amp;G76</f>
        <v>2023-2</v>
      </c>
    </row>
    <row r="77">
      <c r="A77" t="s">
        <v>11</v>
      </c>
      <c r="B77" t="s">
        <v>97</v>
      </c>
      <c r="C77" t="s">
        <v>94</v>
      </c>
      <c r="D77">
        <v>70959</v>
      </c>
      <c r="E77">
        <v>7</v>
      </c>
      <c r="F77">
        <f>YEAR(C77)</f>
        <v>2023</v>
      </c>
      <c r="G77">
        <f>MONTH(C77)</f>
        <v>2</v>
      </c>
      <c r="H77" t="str">
        <f>F77&amp;"-"&amp;G77</f>
        <v>2023-2</v>
      </c>
    </row>
    <row r="78">
      <c r="A78" t="s">
        <v>57</v>
      </c>
      <c r="B78" t="s">
        <v>98</v>
      </c>
      <c r="C78" t="s">
        <v>94</v>
      </c>
      <c r="D78">
        <v>17611</v>
      </c>
      <c r="E78">
        <v>0</v>
      </c>
      <c r="F78">
        <f>YEAR(C78)</f>
        <v>2023</v>
      </c>
      <c r="G78">
        <f>MONTH(C78)</f>
        <v>2</v>
      </c>
      <c r="H78" t="str">
        <f>F78&amp;"-"&amp;G78</f>
        <v>2023-2</v>
      </c>
    </row>
    <row r="79">
      <c r="A79" t="s">
        <v>24</v>
      </c>
      <c r="B79" t="s">
        <v>99</v>
      </c>
      <c r="C79" t="s">
        <v>94</v>
      </c>
      <c r="D79">
        <v>78224</v>
      </c>
      <c r="E79">
        <v>6</v>
      </c>
      <c r="F79">
        <f>YEAR(C79)</f>
        <v>2023</v>
      </c>
      <c r="G79">
        <f>MONTH(C79)</f>
        <v>2</v>
      </c>
      <c r="H79" t="str">
        <f>F79&amp;"-"&amp;G79</f>
        <v>2023-2</v>
      </c>
    </row>
    <row r="80">
      <c r="A80" t="s">
        <v>24</v>
      </c>
      <c r="B80" t="s">
        <v>100</v>
      </c>
      <c r="C80" t="s">
        <v>94</v>
      </c>
      <c r="D80">
        <v>40753</v>
      </c>
      <c r="E80">
        <v>6</v>
      </c>
      <c r="F80">
        <f>YEAR(C80)</f>
        <v>2023</v>
      </c>
      <c r="G80">
        <f>MONTH(C80)</f>
        <v>2</v>
      </c>
      <c r="H80" t="str">
        <f>F80&amp;"-"&amp;G80</f>
        <v>2023-2</v>
      </c>
    </row>
    <row r="81">
      <c r="A81" t="s">
        <v>21</v>
      </c>
      <c r="B81" t="s">
        <v>101</v>
      </c>
      <c r="C81" t="s">
        <v>94</v>
      </c>
      <c r="D81">
        <v>65725</v>
      </c>
      <c r="E81">
        <v>8</v>
      </c>
      <c r="F81">
        <f>YEAR(C81)</f>
        <v>2023</v>
      </c>
      <c r="G81">
        <f>MONTH(C81)</f>
        <v>2</v>
      </c>
      <c r="H81" t="str">
        <f>F81&amp;"-"&amp;G81</f>
        <v>2023-2</v>
      </c>
    </row>
    <row r="82">
      <c r="A82" t="s">
        <v>28</v>
      </c>
      <c r="B82" t="s">
        <v>102</v>
      </c>
      <c r="C82" t="s">
        <v>94</v>
      </c>
      <c r="D82">
        <v>55413</v>
      </c>
      <c r="E82">
        <v>10</v>
      </c>
      <c r="F82">
        <f>YEAR(C82)</f>
        <v>2023</v>
      </c>
      <c r="G82">
        <f>MONTH(C82)</f>
        <v>2</v>
      </c>
      <c r="H82" t="str">
        <f>F82&amp;"-"&amp;G82</f>
        <v>2023-2</v>
      </c>
    </row>
    <row r="83">
      <c r="A83" t="s">
        <v>5</v>
      </c>
      <c r="B83" t="s">
        <v>103</v>
      </c>
      <c r="C83" t="s">
        <v>104</v>
      </c>
      <c r="D83">
        <v>46585</v>
      </c>
      <c r="E83">
        <v>6</v>
      </c>
      <c r="F83">
        <f>YEAR(C83)</f>
        <v>2023</v>
      </c>
      <c r="G83">
        <f>MONTH(C83)</f>
        <v>3</v>
      </c>
      <c r="H83" t="str">
        <f>F83&amp;"-"&amp;G83</f>
        <v>2023-3</v>
      </c>
    </row>
    <row r="84">
      <c r="A84" t="s">
        <v>15</v>
      </c>
      <c r="B84" t="s">
        <v>105</v>
      </c>
      <c r="C84" t="s">
        <v>104</v>
      </c>
      <c r="D84">
        <v>90278</v>
      </c>
      <c r="E84">
        <v>5</v>
      </c>
      <c r="F84">
        <f>YEAR(C84)</f>
        <v>2023</v>
      </c>
      <c r="G84">
        <f>MONTH(C84)</f>
        <v>3</v>
      </c>
      <c r="H84" t="str">
        <f>F84&amp;"-"&amp;G84</f>
        <v>2023-3</v>
      </c>
    </row>
    <row r="85">
      <c r="A85" t="s">
        <v>28</v>
      </c>
      <c r="B85" t="s">
        <v>106</v>
      </c>
      <c r="C85" t="s">
        <v>107</v>
      </c>
      <c r="D85">
        <v>44476</v>
      </c>
      <c r="E85">
        <v>3</v>
      </c>
      <c r="F85">
        <f>YEAR(C85)</f>
        <v>2023</v>
      </c>
      <c r="G85">
        <f>MONTH(C85)</f>
        <v>4</v>
      </c>
      <c r="H85" t="str">
        <f>F85&amp;"-"&amp;G85</f>
        <v>2023-4</v>
      </c>
    </row>
    <row r="86">
      <c r="A86" t="s">
        <v>43</v>
      </c>
      <c r="B86" t="s">
        <v>108</v>
      </c>
      <c r="C86" t="s">
        <v>109</v>
      </c>
      <c r="D86">
        <v>40087</v>
      </c>
      <c r="E86">
        <v>5</v>
      </c>
      <c r="F86">
        <f>YEAR(C86)</f>
        <v>2023</v>
      </c>
      <c r="G86">
        <f>MONTH(C86)</f>
        <v>5</v>
      </c>
      <c r="H86" t="str">
        <f>F86&amp;"-"&amp;G86</f>
        <v>2023-5</v>
      </c>
    </row>
    <row r="87">
      <c r="A87" t="s">
        <v>28</v>
      </c>
      <c r="B87" t="s">
        <v>110</v>
      </c>
      <c r="C87" t="s">
        <v>109</v>
      </c>
      <c r="D87">
        <v>47050</v>
      </c>
      <c r="E87">
        <v>5</v>
      </c>
      <c r="F87">
        <f>YEAR(C87)</f>
        <v>2023</v>
      </c>
      <c r="G87">
        <f>MONTH(C87)</f>
        <v>5</v>
      </c>
      <c r="H87" t="str">
        <f>F87&amp;"-"&amp;G87</f>
        <v>2023-5</v>
      </c>
    </row>
    <row r="88">
      <c r="A88" t="s">
        <v>15</v>
      </c>
      <c r="B88" t="s">
        <v>111</v>
      </c>
      <c r="C88" t="s">
        <v>112</v>
      </c>
      <c r="D88">
        <v>42994</v>
      </c>
      <c r="E88">
        <v>7</v>
      </c>
      <c r="F88">
        <f>YEAR(C88)</f>
        <v>2023</v>
      </c>
      <c r="G88">
        <f>MONTH(C88)</f>
        <v>6</v>
      </c>
      <c r="H88" t="str">
        <f>F88&amp;"-"&amp;G88</f>
        <v>2023-6</v>
      </c>
    </row>
    <row r="89">
      <c r="A89" t="s">
        <v>11</v>
      </c>
      <c r="B89" t="s">
        <v>113</v>
      </c>
      <c r="C89" t="s">
        <v>114</v>
      </c>
      <c r="D89">
        <v>40658</v>
      </c>
      <c r="E89">
        <v>7</v>
      </c>
      <c r="F89">
        <f>YEAR(C89)</f>
        <v>2023</v>
      </c>
      <c r="G89">
        <f>MONTH(C89)</f>
        <v>9</v>
      </c>
      <c r="H89" t="str">
        <f>F89&amp;"-"&amp;G89</f>
        <v>2023-9</v>
      </c>
    </row>
    <row r="90">
      <c r="A90" t="s">
        <v>17</v>
      </c>
      <c r="B90" t="s">
        <v>115</v>
      </c>
      <c r="C90" t="s">
        <v>114</v>
      </c>
      <c r="D90">
        <v>83205</v>
      </c>
      <c r="E90">
        <v>10</v>
      </c>
      <c r="F90">
        <f>YEAR(C90)</f>
        <v>2023</v>
      </c>
      <c r="G90">
        <f>MONTH(C90)</f>
        <v>9</v>
      </c>
      <c r="H90" t="str">
        <f>F90&amp;"-"&amp;G90</f>
        <v>2023-9</v>
      </c>
    </row>
    <row r="91">
      <c r="A91" t="s">
        <v>13</v>
      </c>
      <c r="B91" t="s">
        <v>12</v>
      </c>
      <c r="C91" t="s">
        <v>114</v>
      </c>
      <c r="D91">
        <v>39127</v>
      </c>
      <c r="E91">
        <v>6</v>
      </c>
      <c r="F91">
        <f>YEAR(C91)</f>
        <v>2023</v>
      </c>
      <c r="G91">
        <f>MONTH(C91)</f>
        <v>9</v>
      </c>
      <c r="H91" t="str">
        <f>F91&amp;"-"&amp;G91</f>
        <v>2023-9</v>
      </c>
    </row>
    <row r="92">
      <c r="A92" t="s">
        <v>43</v>
      </c>
      <c r="B92" t="s">
        <v>116</v>
      </c>
      <c r="C92" t="s">
        <v>114</v>
      </c>
      <c r="D92">
        <v>55019</v>
      </c>
      <c r="E92">
        <v>6</v>
      </c>
      <c r="F92">
        <f>YEAR(C92)</f>
        <v>2023</v>
      </c>
      <c r="G92">
        <f>MONTH(C92)</f>
        <v>9</v>
      </c>
      <c r="H92" t="str">
        <f>F92&amp;"-"&amp;G92</f>
        <v>2023-9</v>
      </c>
    </row>
    <row r="93">
      <c r="A93" t="s">
        <v>11</v>
      </c>
      <c r="B93" t="s">
        <v>117</v>
      </c>
      <c r="C93" t="s">
        <v>114</v>
      </c>
      <c r="D93">
        <v>79621</v>
      </c>
      <c r="E93">
        <v>5</v>
      </c>
      <c r="F93">
        <f>YEAR(C93)</f>
        <v>2023</v>
      </c>
      <c r="G93">
        <f>MONTH(C93)</f>
        <v>9</v>
      </c>
      <c r="H93" t="str">
        <f>F93&amp;"-"&amp;G93</f>
        <v>2023-9</v>
      </c>
    </row>
    <row r="94">
      <c r="A94" t="s">
        <v>57</v>
      </c>
      <c r="B94" t="s">
        <v>118</v>
      </c>
      <c r="C94" t="s">
        <v>114</v>
      </c>
      <c r="D94">
        <v>13893</v>
      </c>
      <c r="E94">
        <v>2</v>
      </c>
      <c r="F94">
        <f>YEAR(C94)</f>
        <v>2023</v>
      </c>
      <c r="G94">
        <f>MONTH(C94)</f>
        <v>9</v>
      </c>
      <c r="H94" t="str">
        <f>F94&amp;"-"&amp;G94</f>
        <v>2023-9</v>
      </c>
    </row>
    <row r="95">
      <c r="A95" t="s">
        <v>15</v>
      </c>
      <c r="B95" t="s">
        <v>33</v>
      </c>
      <c r="C95" t="s">
        <v>114</v>
      </c>
      <c r="D95">
        <v>13478</v>
      </c>
      <c r="E95">
        <v>9</v>
      </c>
      <c r="F95">
        <f>YEAR(C95)</f>
        <v>2023</v>
      </c>
      <c r="G95">
        <f>MONTH(C95)</f>
        <v>9</v>
      </c>
      <c r="H95" t="str">
        <f>F95&amp;"-"&amp;G95</f>
        <v>2023-9</v>
      </c>
    </row>
    <row r="96">
      <c r="A96" t="s">
        <v>11</v>
      </c>
      <c r="B96" t="s">
        <v>119</v>
      </c>
      <c r="C96" t="s">
        <v>120</v>
      </c>
      <c r="D96">
        <v>64227</v>
      </c>
      <c r="E96">
        <v>4</v>
      </c>
      <c r="F96">
        <f>YEAR(C96)</f>
        <v>2023</v>
      </c>
      <c r="G96">
        <f>MONTH(C96)</f>
        <v>10</v>
      </c>
      <c r="H96" t="str">
        <f>F96&amp;"-"&amp;G96</f>
        <v>2023-10</v>
      </c>
    </row>
    <row r="97">
      <c r="A97" t="s">
        <v>13</v>
      </c>
      <c r="B97" t="s">
        <v>121</v>
      </c>
      <c r="C97" t="s">
        <v>120</v>
      </c>
      <c r="D97">
        <v>51486</v>
      </c>
      <c r="E97">
        <v>8</v>
      </c>
      <c r="F97">
        <f>YEAR(C97)</f>
        <v>2023</v>
      </c>
      <c r="G97">
        <f>MONTH(C97)</f>
        <v>10</v>
      </c>
      <c r="H97" t="str">
        <f>F97&amp;"-"&amp;G97</f>
        <v>2023-10</v>
      </c>
    </row>
    <row r="98">
      <c r="A98" t="s">
        <v>47</v>
      </c>
      <c r="B98" t="s">
        <v>102</v>
      </c>
      <c r="C98" t="s">
        <v>120</v>
      </c>
      <c r="D98">
        <v>67538</v>
      </c>
      <c r="E98">
        <v>9</v>
      </c>
      <c r="F98">
        <f>YEAR(C98)</f>
        <v>2023</v>
      </c>
      <c r="G98">
        <f>MONTH(C98)</f>
        <v>10</v>
      </c>
      <c r="H98" t="str">
        <f>F98&amp;"-"&amp;G98</f>
        <v>2023-10</v>
      </c>
    </row>
    <row r="99">
      <c r="A99" t="s">
        <v>5</v>
      </c>
      <c r="B99" t="s">
        <v>96</v>
      </c>
      <c r="C99" t="s">
        <v>120</v>
      </c>
      <c r="D99">
        <v>54785</v>
      </c>
      <c r="E99">
        <v>9</v>
      </c>
      <c r="F99">
        <f>YEAR(C99)</f>
        <v>2023</v>
      </c>
      <c r="G99">
        <f>MONTH(C99)</f>
        <v>10</v>
      </c>
      <c r="H99" t="str">
        <f>F99&amp;"-"&amp;G99</f>
        <v>2023-10</v>
      </c>
    </row>
    <row r="100">
      <c r="A100" t="s">
        <v>8</v>
      </c>
      <c r="B100" t="s">
        <v>83</v>
      </c>
      <c r="C100" t="s">
        <v>122</v>
      </c>
      <c r="D100">
        <v>29679</v>
      </c>
      <c r="E100">
        <v>5</v>
      </c>
      <c r="F100">
        <f>YEAR(C100)</f>
        <v>2023</v>
      </c>
      <c r="G100">
        <f>MONTH(C100)</f>
        <v>11</v>
      </c>
      <c r="H100" t="str">
        <f>F100&amp;"-"&amp;G100</f>
        <v>2023-11</v>
      </c>
    </row>
    <row r="101">
      <c r="A101" t="s">
        <v>57</v>
      </c>
      <c r="B101" t="s">
        <v>123</v>
      </c>
      <c r="C101" t="s">
        <v>122</v>
      </c>
      <c r="D101">
        <v>84441</v>
      </c>
      <c r="E101">
        <v>6</v>
      </c>
      <c r="F101">
        <f>YEAR(C101)</f>
        <v>2023</v>
      </c>
      <c r="G101">
        <f>MONTH(C101)</f>
        <v>11</v>
      </c>
      <c r="H101" t="str">
        <f>F101&amp;"-"&amp;G101</f>
        <v>2023-11</v>
      </c>
    </row>
    <row r="102">
      <c r="A102" t="s">
        <v>15</v>
      </c>
      <c r="B102" t="s">
        <v>124</v>
      </c>
      <c r="C102" t="s">
        <v>125</v>
      </c>
      <c r="D102">
        <v>42180</v>
      </c>
      <c r="E102">
        <v>9</v>
      </c>
      <c r="F102">
        <f>YEAR(C102)</f>
        <v>2023</v>
      </c>
      <c r="G102">
        <f>MONTH(C102)</f>
        <v>12</v>
      </c>
      <c r="H102" t="str">
        <f>F102&amp;"-"&amp;G102</f>
        <v>2023-12</v>
      </c>
    </row>
    <row r="103">
      <c r="A103" t="s">
        <v>17</v>
      </c>
      <c r="B103" t="s">
        <v>91</v>
      </c>
      <c r="C103" t="s">
        <v>126</v>
      </c>
      <c r="D103">
        <v>39340</v>
      </c>
      <c r="E103">
        <v>8</v>
      </c>
      <c r="F103" t="e">
        <f>YEAR(C103)</f>
        <v>#VALUE!</v>
      </c>
      <c r="G103" t="e">
        <f>MONTH(C103)</f>
        <v>#VALUE!</v>
      </c>
      <c r="H103" t="e">
        <f>F103&amp;"-"&amp;G103</f>
        <v>#VALUE!</v>
      </c>
    </row>
    <row r="104">
      <c r="A104" t="s">
        <v>15</v>
      </c>
      <c r="B104" t="s">
        <v>91</v>
      </c>
      <c r="C104" t="s">
        <v>127</v>
      </c>
      <c r="D104">
        <v>22950</v>
      </c>
      <c r="E104">
        <v>7</v>
      </c>
      <c r="F104" t="e">
        <f>YEAR(C104)</f>
        <v>#VALUE!</v>
      </c>
      <c r="G104" t="e">
        <f>MONTH(C104)</f>
        <v>#VALUE!</v>
      </c>
      <c r="H104" t="e">
        <f>F104&amp;"-"&amp;G104</f>
        <v>#VALUE!</v>
      </c>
    </row>
    <row r="105">
      <c r="A105" t="s">
        <v>28</v>
      </c>
      <c r="B105" t="s">
        <v>80</v>
      </c>
      <c r="C105" t="s">
        <v>127</v>
      </c>
      <c r="D105">
        <v>20920</v>
      </c>
      <c r="E105">
        <v>6</v>
      </c>
      <c r="F105" t="e">
        <f>YEAR(C105)</f>
        <v>#VALUE!</v>
      </c>
      <c r="G105" t="e">
        <f>MONTH(C105)</f>
        <v>#VALUE!</v>
      </c>
      <c r="H105" t="e">
        <f>F105&amp;"-"&amp;G105</f>
        <v>#VALUE!</v>
      </c>
    </row>
    <row r="106">
      <c r="A106" t="s">
        <v>24</v>
      </c>
      <c r="B106" t="s">
        <v>128</v>
      </c>
      <c r="C106" t="s">
        <v>127</v>
      </c>
      <c r="D106">
        <v>99525</v>
      </c>
      <c r="E106">
        <v>5</v>
      </c>
      <c r="F106" t="e">
        <f>YEAR(C106)</f>
        <v>#VALUE!</v>
      </c>
      <c r="G106" t="e">
        <f>MONTH(C106)</f>
        <v>#VALUE!</v>
      </c>
      <c r="H106" t="e">
        <f>F106&amp;"-"&amp;G106</f>
        <v>#VALUE!</v>
      </c>
    </row>
    <row r="107">
      <c r="A107" t="s">
        <v>8</v>
      </c>
      <c r="B107" t="s">
        <v>129</v>
      </c>
      <c r="C107" t="s">
        <v>127</v>
      </c>
      <c r="D107">
        <v>48433</v>
      </c>
      <c r="E107">
        <v>9</v>
      </c>
      <c r="F107" t="e">
        <f>YEAR(C107)</f>
        <v>#VALUE!</v>
      </c>
      <c r="G107" t="e">
        <f>MONTH(C107)</f>
        <v>#VALUE!</v>
      </c>
      <c r="H107" t="e">
        <f>F107&amp;"-"&amp;G107</f>
        <v>#VALUE!</v>
      </c>
    </row>
    <row r="108">
      <c r="A108" t="s">
        <v>5</v>
      </c>
      <c r="B108" t="s">
        <v>93</v>
      </c>
      <c r="C108" t="s">
        <v>127</v>
      </c>
      <c r="D108">
        <v>52149</v>
      </c>
      <c r="E108">
        <v>6</v>
      </c>
      <c r="F108" t="e">
        <f>YEAR(C108)</f>
        <v>#VALUE!</v>
      </c>
      <c r="G108" t="e">
        <f>MONTH(C108)</f>
        <v>#VALUE!</v>
      </c>
      <c r="H108" t="e">
        <f>F108&amp;"-"&amp;G108</f>
        <v>#VALUE!</v>
      </c>
    </row>
    <row r="109">
      <c r="A109" t="s">
        <v>11</v>
      </c>
      <c r="B109" t="s">
        <v>130</v>
      </c>
      <c r="C109" t="s">
        <v>127</v>
      </c>
      <c r="D109">
        <v>36573</v>
      </c>
      <c r="E109">
        <v>2</v>
      </c>
      <c r="F109" t="e">
        <f>YEAR(C109)</f>
        <v>#VALUE!</v>
      </c>
      <c r="G109" t="e">
        <f>MONTH(C109)</f>
        <v>#VALUE!</v>
      </c>
      <c r="H109" t="e">
        <f>F109&amp;"-"&amp;G109</f>
        <v>#VALUE!</v>
      </c>
    </row>
    <row r="110">
      <c r="A110" t="s">
        <v>24</v>
      </c>
      <c r="B110" t="s">
        <v>87</v>
      </c>
      <c r="C110" t="s">
        <v>127</v>
      </c>
      <c r="D110">
        <v>98763</v>
      </c>
      <c r="E110">
        <v>4</v>
      </c>
      <c r="F110" t="e">
        <f>YEAR(C110)</f>
        <v>#VALUE!</v>
      </c>
      <c r="G110" t="e">
        <f>MONTH(C110)</f>
        <v>#VALUE!</v>
      </c>
      <c r="H110" t="e">
        <f>F110&amp;"-"&amp;G110</f>
        <v>#VALUE!</v>
      </c>
    </row>
    <row r="111">
      <c r="A111" t="s">
        <v>5</v>
      </c>
      <c r="B111" t="s">
        <v>131</v>
      </c>
      <c r="C111" t="s">
        <v>127</v>
      </c>
      <c r="D111">
        <v>35853</v>
      </c>
      <c r="E111">
        <v>7</v>
      </c>
      <c r="F111" t="e">
        <f>YEAR(C111)</f>
        <v>#VALUE!</v>
      </c>
      <c r="G111" t="e">
        <f>MONTH(C111)</f>
        <v>#VALUE!</v>
      </c>
      <c r="H111" t="e">
        <f>F111&amp;"-"&amp;G111</f>
        <v>#VALUE!</v>
      </c>
    </row>
    <row r="112">
      <c r="A112" t="s">
        <v>11</v>
      </c>
      <c r="B112" t="s">
        <v>110</v>
      </c>
      <c r="C112" t="s">
        <v>127</v>
      </c>
      <c r="D112">
        <v>60043</v>
      </c>
      <c r="E112">
        <v>5</v>
      </c>
      <c r="F112" t="e">
        <f>YEAR(C112)</f>
        <v>#VALUE!</v>
      </c>
      <c r="G112" t="e">
        <f>MONTH(C112)</f>
        <v>#VALUE!</v>
      </c>
      <c r="H112" t="e">
        <f>F112&amp;"-"&amp;G112</f>
        <v>#VALUE!</v>
      </c>
    </row>
    <row r="113">
      <c r="A113" t="s">
        <v>5</v>
      </c>
      <c r="B113" t="s">
        <v>132</v>
      </c>
      <c r="C113" t="s">
        <v>127</v>
      </c>
      <c r="D113">
        <v>62014</v>
      </c>
      <c r="E113">
        <v>5</v>
      </c>
      <c r="F113" t="e">
        <f>YEAR(C113)</f>
        <v>#VALUE!</v>
      </c>
      <c r="G113" t="e">
        <f>MONTH(C113)</f>
        <v>#VALUE!</v>
      </c>
      <c r="H113" t="e">
        <f>F113&amp;"-"&amp;G113</f>
        <v>#VALUE!</v>
      </c>
    </row>
    <row r="114">
      <c r="A114" t="s">
        <v>43</v>
      </c>
      <c r="B114" t="s">
        <v>118</v>
      </c>
      <c r="C114" t="s">
        <v>127</v>
      </c>
      <c r="D114">
        <v>10515</v>
      </c>
      <c r="E114">
        <v>8</v>
      </c>
      <c r="F114" t="e">
        <f>YEAR(C114)</f>
        <v>#VALUE!</v>
      </c>
      <c r="G114" t="e">
        <f>MONTH(C114)</f>
        <v>#VALUE!</v>
      </c>
      <c r="H114" t="e">
        <f>F114&amp;"-"&amp;G114</f>
        <v>#VALUE!</v>
      </c>
    </row>
    <row r="115">
      <c r="A115" t="s">
        <v>17</v>
      </c>
      <c r="B115" t="s">
        <v>133</v>
      </c>
      <c r="C115" t="s">
        <v>127</v>
      </c>
      <c r="D115">
        <v>59074</v>
      </c>
      <c r="E115">
        <v>7</v>
      </c>
      <c r="F115" t="e">
        <f>YEAR(C115)</f>
        <v>#VALUE!</v>
      </c>
      <c r="G115" t="e">
        <f>MONTH(C115)</f>
        <v>#VALUE!</v>
      </c>
      <c r="H115" t="e">
        <f>F115&amp;"-"&amp;G115</f>
        <v>#VALUE!</v>
      </c>
    </row>
    <row r="116">
      <c r="A116" t="s">
        <v>57</v>
      </c>
      <c r="B116" t="s">
        <v>42</v>
      </c>
      <c r="C116" t="s">
        <v>134</v>
      </c>
      <c r="D116">
        <v>88278</v>
      </c>
      <c r="E116">
        <v>9</v>
      </c>
      <c r="F116" t="e">
        <f>YEAR(C116)</f>
        <v>#VALUE!</v>
      </c>
      <c r="G116" t="e">
        <f>MONTH(C116)</f>
        <v>#VALUE!</v>
      </c>
      <c r="H116" t="e">
        <f>F116&amp;"-"&amp;G116</f>
        <v>#VALUE!</v>
      </c>
    </row>
    <row r="117">
      <c r="A117" t="s">
        <v>15</v>
      </c>
      <c r="B117" t="s">
        <v>135</v>
      </c>
      <c r="C117" t="s">
        <v>136</v>
      </c>
      <c r="D117">
        <v>42960</v>
      </c>
      <c r="E117">
        <v>8</v>
      </c>
      <c r="F117" t="e">
        <f>YEAR(C117)</f>
        <v>#VALUE!</v>
      </c>
      <c r="G117" t="e">
        <f>MONTH(C117)</f>
        <v>#VALUE!</v>
      </c>
      <c r="H117" t="e">
        <f>F117&amp;"-"&amp;G117</f>
        <v>#VALUE!</v>
      </c>
    </row>
    <row r="118">
      <c r="A118" t="s">
        <v>5</v>
      </c>
      <c r="B118" t="s">
        <v>137</v>
      </c>
      <c r="C118" t="s">
        <v>136</v>
      </c>
      <c r="D118">
        <v>57306</v>
      </c>
      <c r="E118">
        <v>8</v>
      </c>
      <c r="F118" t="e">
        <f>YEAR(C118)</f>
        <v>#VALUE!</v>
      </c>
      <c r="G118" t="e">
        <f>MONTH(C118)</f>
        <v>#VALUE!</v>
      </c>
      <c r="H118" t="e">
        <f>F118&amp;"-"&amp;G118</f>
        <v>#VALUE!</v>
      </c>
    </row>
    <row r="119">
      <c r="A119" t="s">
        <v>17</v>
      </c>
      <c r="B119" t="s">
        <v>116</v>
      </c>
      <c r="C119" t="s">
        <v>136</v>
      </c>
      <c r="D119">
        <v>50202</v>
      </c>
      <c r="E119">
        <v>4</v>
      </c>
      <c r="F119" t="e">
        <f>YEAR(C119)</f>
        <v>#VALUE!</v>
      </c>
      <c r="G119" t="e">
        <f>MONTH(C119)</f>
        <v>#VALUE!</v>
      </c>
      <c r="H119" t="e">
        <f>F119&amp;"-"&amp;G119</f>
        <v>#VALUE!</v>
      </c>
    </row>
    <row r="120">
      <c r="A120" t="s">
        <v>15</v>
      </c>
      <c r="B120" t="s">
        <v>138</v>
      </c>
      <c r="C120" t="s">
        <v>139</v>
      </c>
      <c r="D120">
        <v>11159</v>
      </c>
      <c r="E120">
        <v>9</v>
      </c>
      <c r="F120" t="e">
        <f>YEAR(C120)</f>
        <v>#VALUE!</v>
      </c>
      <c r="G120" t="e">
        <f>MONTH(C120)</f>
        <v>#VALUE!</v>
      </c>
      <c r="H120" t="e">
        <f>F120&amp;"-"&amp;G120</f>
        <v>#VALUE!</v>
      </c>
    </row>
    <row r="121">
      <c r="A121" t="s">
        <v>17</v>
      </c>
      <c r="B121" t="s">
        <v>115</v>
      </c>
      <c r="C121" t="s">
        <v>139</v>
      </c>
      <c r="D121">
        <v>50738</v>
      </c>
      <c r="E121">
        <v>5</v>
      </c>
      <c r="F121" t="e">
        <f>YEAR(C121)</f>
        <v>#VALUE!</v>
      </c>
      <c r="G121" t="e">
        <f>MONTH(C121)</f>
        <v>#VALUE!</v>
      </c>
      <c r="H121" t="e">
        <f>F121&amp;"-"&amp;G121</f>
        <v>#VALUE!</v>
      </c>
    </row>
    <row r="122">
      <c r="A122" t="s">
        <v>57</v>
      </c>
      <c r="B122" t="s">
        <v>140</v>
      </c>
      <c r="C122" t="s">
        <v>139</v>
      </c>
      <c r="D122">
        <v>86364</v>
      </c>
      <c r="E122">
        <v>8</v>
      </c>
      <c r="F122" t="e">
        <f>YEAR(C122)</f>
        <v>#VALUE!</v>
      </c>
      <c r="G122" t="e">
        <f>MONTH(C122)</f>
        <v>#VALUE!</v>
      </c>
      <c r="H122" t="e">
        <f>F122&amp;"-"&amp;G122</f>
        <v>#VALUE!</v>
      </c>
    </row>
    <row r="123">
      <c r="A123" t="s">
        <v>28</v>
      </c>
      <c r="B123" t="s">
        <v>50</v>
      </c>
      <c r="C123" t="s">
        <v>141</v>
      </c>
      <c r="D123">
        <v>74772</v>
      </c>
      <c r="E123">
        <v>7</v>
      </c>
      <c r="F123" t="e">
        <f>YEAR(C123)</f>
        <v>#VALUE!</v>
      </c>
      <c r="G123" t="e">
        <f>MONTH(C123)</f>
        <v>#VALUE!</v>
      </c>
      <c r="H123" t="e">
        <f>F123&amp;"-"&amp;G123</f>
        <v>#VALUE!</v>
      </c>
    </row>
    <row r="124">
      <c r="A124" t="s">
        <v>28</v>
      </c>
      <c r="B124" t="s">
        <v>142</v>
      </c>
      <c r="C124" t="s">
        <v>141</v>
      </c>
      <c r="D124">
        <v>55522</v>
      </c>
      <c r="E124">
        <v>9</v>
      </c>
      <c r="F124" t="e">
        <f>YEAR(C124)</f>
        <v>#VALUE!</v>
      </c>
      <c r="G124" t="e">
        <f>MONTH(C124)</f>
        <v>#VALUE!</v>
      </c>
      <c r="H124" t="e">
        <f>F124&amp;"-"&amp;G124</f>
        <v>#VALUE!</v>
      </c>
    </row>
    <row r="125">
      <c r="A125" t="s">
        <v>13</v>
      </c>
      <c r="B125" t="s">
        <v>143</v>
      </c>
      <c r="C125" t="s">
        <v>141</v>
      </c>
      <c r="D125">
        <v>55985</v>
      </c>
      <c r="E125">
        <v>4</v>
      </c>
      <c r="F125" t="e">
        <f>YEAR(C125)</f>
        <v>#VALUE!</v>
      </c>
      <c r="G125" t="e">
        <f>MONTH(C125)</f>
        <v>#VALUE!</v>
      </c>
      <c r="H125" t="e">
        <f>F125&amp;"-"&amp;G125</f>
        <v>#VALUE!</v>
      </c>
    </row>
    <row r="126">
      <c r="A126" t="s">
        <v>24</v>
      </c>
      <c r="B126" t="s">
        <v>144</v>
      </c>
      <c r="C126" t="s">
        <v>145</v>
      </c>
      <c r="D126">
        <v>40910</v>
      </c>
      <c r="E126">
        <v>5</v>
      </c>
      <c r="F126" t="e">
        <f>YEAR(C126)</f>
        <v>#VALUE!</v>
      </c>
      <c r="G126" t="e">
        <f>MONTH(C126)</f>
        <v>#VALUE!</v>
      </c>
      <c r="H126" t="e">
        <f>F126&amp;"-"&amp;G126</f>
        <v>#VALUE!</v>
      </c>
    </row>
    <row r="127">
      <c r="A127" t="s">
        <v>21</v>
      </c>
      <c r="B127" t="s">
        <v>146</v>
      </c>
      <c r="C127" t="s">
        <v>145</v>
      </c>
      <c r="D127">
        <v>69320</v>
      </c>
      <c r="E127">
        <v>5</v>
      </c>
      <c r="F127" t="e">
        <f>YEAR(C127)</f>
        <v>#VALUE!</v>
      </c>
      <c r="G127" t="e">
        <f>MONTH(C127)</f>
        <v>#VALUE!</v>
      </c>
      <c r="H127" t="e">
        <f>F127&amp;"-"&amp;G127</f>
        <v>#VALUE!</v>
      </c>
    </row>
    <row r="128">
      <c r="A128" t="s">
        <v>28</v>
      </c>
      <c r="B128" t="s">
        <v>99</v>
      </c>
      <c r="C128" t="s">
        <v>145</v>
      </c>
      <c r="D128">
        <v>32458</v>
      </c>
      <c r="E128">
        <v>9</v>
      </c>
      <c r="F128" t="e">
        <f>YEAR(C128)</f>
        <v>#VALUE!</v>
      </c>
      <c r="G128" t="e">
        <f>MONTH(C128)</f>
        <v>#VALUE!</v>
      </c>
      <c r="H128" t="e">
        <f>F128&amp;"-"&amp;G128</f>
        <v>#VALUE!</v>
      </c>
    </row>
    <row r="129">
      <c r="A129" t="s">
        <v>15</v>
      </c>
      <c r="B129" t="s">
        <v>147</v>
      </c>
      <c r="C129" t="s">
        <v>145</v>
      </c>
      <c r="D129">
        <v>71343</v>
      </c>
      <c r="E129">
        <v>7</v>
      </c>
      <c r="F129" t="e">
        <f>YEAR(C129)</f>
        <v>#VALUE!</v>
      </c>
      <c r="G129" t="e">
        <f>MONTH(C129)</f>
        <v>#VALUE!</v>
      </c>
      <c r="H129" t="e">
        <f>F129&amp;"-"&amp;G129</f>
        <v>#VALUE!</v>
      </c>
    </row>
    <row r="130">
      <c r="A130" t="s">
        <v>17</v>
      </c>
      <c r="B130" t="s">
        <v>148</v>
      </c>
      <c r="C130" t="s">
        <v>145</v>
      </c>
      <c r="D130">
        <v>68571</v>
      </c>
      <c r="E130">
        <v>5</v>
      </c>
      <c r="F130" t="e">
        <f>YEAR(C130)</f>
        <v>#VALUE!</v>
      </c>
      <c r="G130" t="e">
        <f>MONTH(C130)</f>
        <v>#VALUE!</v>
      </c>
      <c r="H130" t="e">
        <f>F130&amp;"-"&amp;G130</f>
        <v>#VALUE!</v>
      </c>
    </row>
    <row r="131">
      <c r="A131" t="s">
        <v>11</v>
      </c>
      <c r="B131" t="s">
        <v>121</v>
      </c>
      <c r="C131" t="s">
        <v>145</v>
      </c>
      <c r="D131">
        <v>45843</v>
      </c>
      <c r="E131">
        <v>8</v>
      </c>
      <c r="F131" t="e">
        <f>YEAR(C131)</f>
        <v>#VALUE!</v>
      </c>
      <c r="G131" t="e">
        <f>MONTH(C131)</f>
        <v>#VALUE!</v>
      </c>
      <c r="H131" t="e">
        <f>F131&amp;"-"&amp;G131</f>
        <v>#VALUE!</v>
      </c>
    </row>
    <row r="132">
      <c r="A132" t="s">
        <v>8</v>
      </c>
      <c r="B132" t="s">
        <v>149</v>
      </c>
      <c r="C132" t="s">
        <v>150</v>
      </c>
      <c r="D132">
        <v>25953</v>
      </c>
      <c r="E132">
        <v>6</v>
      </c>
      <c r="F132" t="e">
        <f>YEAR(C132)</f>
        <v>#VALUE!</v>
      </c>
      <c r="G132" t="e">
        <f>MONTH(C132)</f>
        <v>#VALUE!</v>
      </c>
      <c r="H132" t="e">
        <f>F132&amp;"-"&amp;G132</f>
        <v>#VALUE!</v>
      </c>
    </row>
    <row r="133">
      <c r="A133" t="s">
        <v>17</v>
      </c>
      <c r="B133" t="s">
        <v>151</v>
      </c>
      <c r="C133" t="s">
        <v>150</v>
      </c>
      <c r="D133">
        <v>92396</v>
      </c>
      <c r="E133">
        <v>3</v>
      </c>
      <c r="F133" t="e">
        <f>YEAR(C133)</f>
        <v>#VALUE!</v>
      </c>
      <c r="G133" t="e">
        <f>MONTH(C133)</f>
        <v>#VALUE!</v>
      </c>
      <c r="H133" t="e">
        <f>F133&amp;"-"&amp;G133</f>
        <v>#VALUE!</v>
      </c>
    </row>
    <row r="134">
      <c r="A134" t="s">
        <v>28</v>
      </c>
      <c r="B134" t="s">
        <v>93</v>
      </c>
      <c r="C134" t="s">
        <v>152</v>
      </c>
      <c r="D134">
        <v>79312</v>
      </c>
      <c r="E134">
        <v>0</v>
      </c>
      <c r="F134" t="e">
        <f>YEAR(C134)</f>
        <v>#VALUE!</v>
      </c>
      <c r="G134" t="e">
        <f>MONTH(C134)</f>
        <v>#VALUE!</v>
      </c>
      <c r="H134" t="e">
        <f>F134&amp;"-"&amp;G134</f>
        <v>#VALUE!</v>
      </c>
    </row>
    <row r="135">
      <c r="A135" t="s">
        <v>13</v>
      </c>
      <c r="B135" t="s">
        <v>153</v>
      </c>
      <c r="C135" t="s">
        <v>152</v>
      </c>
      <c r="D135">
        <v>14131</v>
      </c>
      <c r="E135">
        <v>9</v>
      </c>
      <c r="F135" t="e">
        <f>YEAR(C135)</f>
        <v>#VALUE!</v>
      </c>
      <c r="G135" t="e">
        <f>MONTH(C135)</f>
        <v>#VALUE!</v>
      </c>
      <c r="H135" t="e">
        <f>F135&amp;"-"&amp;G135</f>
        <v>#VALUE!</v>
      </c>
    </row>
    <row r="136">
      <c r="A136" t="s">
        <v>24</v>
      </c>
      <c r="B136" t="s">
        <v>154</v>
      </c>
      <c r="C136" t="s">
        <v>152</v>
      </c>
      <c r="D136">
        <v>74806</v>
      </c>
      <c r="E136">
        <v>10</v>
      </c>
      <c r="F136" t="e">
        <f>YEAR(C136)</f>
        <v>#VALUE!</v>
      </c>
      <c r="G136" t="e">
        <f>MONTH(C136)</f>
        <v>#VALUE!</v>
      </c>
      <c r="H136" t="e">
        <f>F136&amp;"-"&amp;G136</f>
        <v>#VALUE!</v>
      </c>
    </row>
    <row r="137">
      <c r="A137" t="s">
        <v>47</v>
      </c>
      <c r="B137" t="s">
        <v>89</v>
      </c>
      <c r="C137" t="s">
        <v>155</v>
      </c>
      <c r="D137">
        <v>60284</v>
      </c>
      <c r="E137">
        <v>6</v>
      </c>
      <c r="F137" t="e">
        <f>YEAR(C137)</f>
        <v>#VALUE!</v>
      </c>
      <c r="G137" t="e">
        <f>MONTH(C137)</f>
        <v>#VALUE!</v>
      </c>
      <c r="H137" t="e">
        <f>F137&amp;"-"&amp;G137</f>
        <v>#VALUE!</v>
      </c>
    </row>
    <row r="138">
      <c r="A138" t="s">
        <v>15</v>
      </c>
      <c r="B138" t="s">
        <v>78</v>
      </c>
      <c r="C138" t="s">
        <v>156</v>
      </c>
      <c r="D138">
        <v>98447</v>
      </c>
      <c r="E138">
        <v>3</v>
      </c>
      <c r="F138" t="e">
        <f>YEAR(C138)</f>
        <v>#VALUE!</v>
      </c>
      <c r="G138" t="e">
        <f>MONTH(C138)</f>
        <v>#VALUE!</v>
      </c>
      <c r="H138" t="e">
        <f>F138&amp;"-"&amp;G138</f>
        <v>#VALUE!</v>
      </c>
    </row>
    <row r="139">
      <c r="A139" t="s">
        <v>24</v>
      </c>
      <c r="B139" t="s">
        <v>157</v>
      </c>
      <c r="C139" t="s">
        <v>156</v>
      </c>
      <c r="D139">
        <v>98253</v>
      </c>
      <c r="E139">
        <v>8</v>
      </c>
      <c r="F139" t="e">
        <f>YEAR(C139)</f>
        <v>#VALUE!</v>
      </c>
      <c r="G139" t="e">
        <f>MONTH(C139)</f>
        <v>#VALUE!</v>
      </c>
      <c r="H139" t="e">
        <f>F139&amp;"-"&amp;G139</f>
        <v>#VALUE!</v>
      </c>
    </row>
    <row r="140">
      <c r="A140" t="s">
        <v>13</v>
      </c>
      <c r="B140" t="s">
        <v>158</v>
      </c>
      <c r="C140" t="s">
        <v>159</v>
      </c>
      <c r="D140">
        <v>51403</v>
      </c>
      <c r="E140">
        <v>7</v>
      </c>
      <c r="F140" t="e">
        <f>YEAR(C140)</f>
        <v>#VALUE!</v>
      </c>
      <c r="G140" t="e">
        <f>MONTH(C140)</f>
        <v>#VALUE!</v>
      </c>
      <c r="H140" t="e">
        <f>F140&amp;"-"&amp;G140</f>
        <v>#VALUE!</v>
      </c>
    </row>
    <row r="141">
      <c r="A141" t="s">
        <v>5</v>
      </c>
      <c r="B141" t="s">
        <v>160</v>
      </c>
      <c r="C141" t="s">
        <v>159</v>
      </c>
      <c r="D141">
        <v>51217</v>
      </c>
      <c r="E141">
        <v>6</v>
      </c>
      <c r="F141" t="e">
        <f>YEAR(C141)</f>
        <v>#VALUE!</v>
      </c>
      <c r="G141" t="e">
        <f>MONTH(C141)</f>
        <v>#VALUE!</v>
      </c>
      <c r="H141" t="e">
        <f>F141&amp;"-"&amp;G141</f>
        <v>#VALUE!</v>
      </c>
    </row>
    <row r="142">
      <c r="A142" t="s">
        <v>13</v>
      </c>
      <c r="B142" t="s">
        <v>161</v>
      </c>
      <c r="C142" t="s">
        <v>159</v>
      </c>
      <c r="D142">
        <v>56847</v>
      </c>
      <c r="E142">
        <v>6</v>
      </c>
      <c r="F142" t="e">
        <f>YEAR(C142)</f>
        <v>#VALUE!</v>
      </c>
      <c r="G142" t="e">
        <f>MONTH(C142)</f>
        <v>#VALUE!</v>
      </c>
      <c r="H142" t="e">
        <f>F142&amp;"-"&amp;G142</f>
        <v>#VALUE!</v>
      </c>
    </row>
    <row r="143">
      <c r="A143" t="s">
        <v>21</v>
      </c>
      <c r="B143" t="s">
        <v>33</v>
      </c>
      <c r="C143" t="s">
        <v>159</v>
      </c>
      <c r="D143">
        <v>35117</v>
      </c>
      <c r="E143">
        <v>3</v>
      </c>
      <c r="F143" t="e">
        <f>YEAR(C143)</f>
        <v>#VALUE!</v>
      </c>
      <c r="G143" t="e">
        <f>MONTH(C143)</f>
        <v>#VALUE!</v>
      </c>
      <c r="H143" t="e">
        <f>F143&amp;"-"&amp;G143</f>
        <v>#VALUE!</v>
      </c>
    </row>
    <row r="144">
      <c r="A144" t="s">
        <v>24</v>
      </c>
      <c r="B144" t="s">
        <v>162</v>
      </c>
      <c r="C144" t="s">
        <v>159</v>
      </c>
      <c r="D144">
        <v>25338</v>
      </c>
      <c r="E144">
        <v>1</v>
      </c>
      <c r="F144" t="e">
        <f>YEAR(C144)</f>
        <v>#VALUE!</v>
      </c>
      <c r="G144" t="e">
        <f>MONTH(C144)</f>
        <v>#VALUE!</v>
      </c>
      <c r="H144" t="e">
        <f>F144&amp;"-"&amp;G144</f>
        <v>#VALUE!</v>
      </c>
    </row>
    <row r="145">
      <c r="A145" t="s">
        <v>57</v>
      </c>
      <c r="B145" t="s">
        <v>163</v>
      </c>
      <c r="C145" t="s">
        <v>159</v>
      </c>
      <c r="D145">
        <v>35270</v>
      </c>
      <c r="E145">
        <v>4</v>
      </c>
      <c r="F145" t="e">
        <f>YEAR(C145)</f>
        <v>#VALUE!</v>
      </c>
      <c r="G145" t="e">
        <f>MONTH(C145)</f>
        <v>#VALUE!</v>
      </c>
      <c r="H145" t="e">
        <f>F145&amp;"-"&amp;G145</f>
        <v>#VALUE!</v>
      </c>
    </row>
    <row r="146">
      <c r="A146" t="s">
        <v>17</v>
      </c>
      <c r="B146" t="s">
        <v>147</v>
      </c>
      <c r="C146" t="s">
        <v>164</v>
      </c>
      <c r="D146">
        <v>33171</v>
      </c>
      <c r="E146">
        <v>6</v>
      </c>
      <c r="F146" t="e">
        <f>YEAR(C146)</f>
        <v>#VALUE!</v>
      </c>
      <c r="G146" t="e">
        <f>MONTH(C146)</f>
        <v>#VALUE!</v>
      </c>
      <c r="H146" t="e">
        <f>F146&amp;"-"&amp;G146</f>
        <v>#VALUE!</v>
      </c>
    </row>
    <row r="147">
      <c r="A147" t="s">
        <v>43</v>
      </c>
      <c r="B147" t="s">
        <v>105</v>
      </c>
      <c r="C147" t="s">
        <v>164</v>
      </c>
      <c r="D147">
        <v>60794</v>
      </c>
      <c r="E147">
        <v>6</v>
      </c>
      <c r="F147" t="e">
        <f>YEAR(C147)</f>
        <v>#VALUE!</v>
      </c>
      <c r="G147" t="e">
        <f>MONTH(C147)</f>
        <v>#VALUE!</v>
      </c>
      <c r="H147" t="e">
        <f>F147&amp;"-"&amp;G147</f>
        <v>#VALUE!</v>
      </c>
    </row>
    <row r="148">
      <c r="A148" t="s">
        <v>28</v>
      </c>
      <c r="B148" t="s">
        <v>59</v>
      </c>
      <c r="C148" t="s">
        <v>164</v>
      </c>
      <c r="D148">
        <v>77467</v>
      </c>
      <c r="E148">
        <v>4</v>
      </c>
      <c r="F148" t="e">
        <f>YEAR(C148)</f>
        <v>#VALUE!</v>
      </c>
      <c r="G148" t="e">
        <f>MONTH(C148)</f>
        <v>#VALUE!</v>
      </c>
      <c r="H148" t="e">
        <f>F148&amp;"-"&amp;G148</f>
        <v>#VALUE!</v>
      </c>
    </row>
    <row r="149">
      <c r="A149" t="s">
        <v>28</v>
      </c>
      <c r="B149" t="s">
        <v>147</v>
      </c>
      <c r="C149" t="s">
        <v>164</v>
      </c>
      <c r="D149">
        <v>26913</v>
      </c>
      <c r="E149">
        <v>6</v>
      </c>
      <c r="F149" t="e">
        <f>YEAR(C149)</f>
        <v>#VALUE!</v>
      </c>
      <c r="G149" t="e">
        <f>MONTH(C149)</f>
        <v>#VALUE!</v>
      </c>
      <c r="H149" t="e">
        <f>F149&amp;"-"&amp;G149</f>
        <v>#VALUE!</v>
      </c>
    </row>
    <row r="150">
      <c r="A150" t="s">
        <v>28</v>
      </c>
      <c r="B150" t="s">
        <v>165</v>
      </c>
      <c r="C150" t="s">
        <v>164</v>
      </c>
      <c r="D150">
        <v>21472</v>
      </c>
      <c r="E150">
        <v>9</v>
      </c>
      <c r="F150" t="e">
        <f>YEAR(C150)</f>
        <v>#VALUE!</v>
      </c>
      <c r="G150" t="e">
        <f>MONTH(C150)</f>
        <v>#VALUE!</v>
      </c>
      <c r="H150" t="e">
        <f>F150&amp;"-"&amp;G150</f>
        <v>#VALUE!</v>
      </c>
    </row>
    <row r="151">
      <c r="A151" t="s">
        <v>8</v>
      </c>
      <c r="B151" t="s">
        <v>144</v>
      </c>
      <c r="C151" t="s">
        <v>166</v>
      </c>
      <c r="D151">
        <v>40795</v>
      </c>
      <c r="E151">
        <v>6</v>
      </c>
      <c r="F151">
        <f>YEAR(C151)</f>
        <v>2023</v>
      </c>
      <c r="G151">
        <f>MONTH(C151)</f>
        <v>1</v>
      </c>
      <c r="H151" t="str">
        <f>F151&amp;"-"&amp;G151</f>
        <v>2023-1</v>
      </c>
    </row>
    <row r="152">
      <c r="A152" t="s">
        <v>17</v>
      </c>
      <c r="B152" t="s">
        <v>63</v>
      </c>
      <c r="C152" t="s">
        <v>166</v>
      </c>
      <c r="D152">
        <v>62912</v>
      </c>
      <c r="E152">
        <v>1</v>
      </c>
      <c r="F152">
        <f>YEAR(C152)</f>
        <v>2023</v>
      </c>
      <c r="G152">
        <f>MONTH(C152)</f>
        <v>1</v>
      </c>
      <c r="H152" t="str">
        <f>F152&amp;"-"&amp;G152</f>
        <v>2023-1</v>
      </c>
    </row>
    <row r="153">
      <c r="A153" t="s">
        <v>21</v>
      </c>
      <c r="B153" t="s">
        <v>103</v>
      </c>
      <c r="C153" t="s">
        <v>167</v>
      </c>
      <c r="D153">
        <v>97035</v>
      </c>
      <c r="E153">
        <v>5</v>
      </c>
      <c r="F153">
        <f>YEAR(C153)</f>
        <v>2023</v>
      </c>
      <c r="G153">
        <f>MONTH(C153)</f>
        <v>2</v>
      </c>
      <c r="H153" t="str">
        <f>F153&amp;"-"&amp;G153</f>
        <v>2023-2</v>
      </c>
    </row>
    <row r="154">
      <c r="A154" t="s">
        <v>57</v>
      </c>
      <c r="B154" t="s">
        <v>99</v>
      </c>
      <c r="C154" t="s">
        <v>167</v>
      </c>
      <c r="D154">
        <v>81584</v>
      </c>
      <c r="E154">
        <v>5</v>
      </c>
      <c r="F154">
        <f>YEAR(C154)</f>
        <v>2023</v>
      </c>
      <c r="G154">
        <f>MONTH(C154)</f>
        <v>2</v>
      </c>
      <c r="H154" t="str">
        <f>F154&amp;"-"&amp;G154</f>
        <v>2023-2</v>
      </c>
    </row>
    <row r="155">
      <c r="A155" t="s">
        <v>57</v>
      </c>
      <c r="B155" t="s">
        <v>162</v>
      </c>
      <c r="C155" t="s">
        <v>167</v>
      </c>
      <c r="D155">
        <v>21919</v>
      </c>
      <c r="E155">
        <v>9</v>
      </c>
      <c r="F155">
        <f>YEAR(C155)</f>
        <v>2023</v>
      </c>
      <c r="G155">
        <f>MONTH(C155)</f>
        <v>2</v>
      </c>
      <c r="H155" t="str">
        <f>F155&amp;"-"&amp;G155</f>
        <v>2023-2</v>
      </c>
    </row>
    <row r="156">
      <c r="A156" t="s">
        <v>8</v>
      </c>
      <c r="B156" t="s">
        <v>96</v>
      </c>
      <c r="C156" t="s">
        <v>167</v>
      </c>
      <c r="D156">
        <v>54319</v>
      </c>
      <c r="E156">
        <v>9</v>
      </c>
      <c r="F156">
        <f>YEAR(C156)</f>
        <v>2023</v>
      </c>
      <c r="G156">
        <f>MONTH(C156)</f>
        <v>2</v>
      </c>
      <c r="H156" t="str">
        <f>F156&amp;"-"&amp;G156</f>
        <v>2023-2</v>
      </c>
    </row>
    <row r="157">
      <c r="A157" t="s">
        <v>13</v>
      </c>
      <c r="B157" t="s">
        <v>168</v>
      </c>
      <c r="C157" t="s">
        <v>169</v>
      </c>
      <c r="D157">
        <v>11190</v>
      </c>
      <c r="E157">
        <v>8</v>
      </c>
      <c r="F157">
        <f>YEAR(C157)</f>
        <v>2023</v>
      </c>
      <c r="G157">
        <f>MONTH(C157)</f>
        <v>3</v>
      </c>
      <c r="H157" t="str">
        <f>F157&amp;"-"&amp;G157</f>
        <v>2023-3</v>
      </c>
    </row>
    <row r="158">
      <c r="A158" t="s">
        <v>5</v>
      </c>
      <c r="B158" t="s">
        <v>42</v>
      </c>
      <c r="C158" t="s">
        <v>169</v>
      </c>
      <c r="D158">
        <v>90343</v>
      </c>
      <c r="E158">
        <v>10</v>
      </c>
      <c r="F158">
        <f>YEAR(C158)</f>
        <v>2023</v>
      </c>
      <c r="G158">
        <f>MONTH(C158)</f>
        <v>3</v>
      </c>
      <c r="H158" t="str">
        <f>F158&amp;"-"&amp;G158</f>
        <v>2023-3</v>
      </c>
    </row>
    <row r="159">
      <c r="A159" t="s">
        <v>15</v>
      </c>
      <c r="B159" t="s">
        <v>170</v>
      </c>
      <c r="C159" t="s">
        <v>169</v>
      </c>
      <c r="D159">
        <v>57825</v>
      </c>
      <c r="E159">
        <v>6</v>
      </c>
      <c r="F159">
        <f>YEAR(C159)</f>
        <v>2023</v>
      </c>
      <c r="G159">
        <f>MONTH(C159)</f>
        <v>3</v>
      </c>
      <c r="H159" t="str">
        <f>F159&amp;"-"&amp;G159</f>
        <v>2023-3</v>
      </c>
    </row>
    <row r="160">
      <c r="A160" t="s">
        <v>28</v>
      </c>
      <c r="B160" t="s">
        <v>19</v>
      </c>
      <c r="C160" t="s">
        <v>169</v>
      </c>
      <c r="D160">
        <v>64612</v>
      </c>
      <c r="E160">
        <v>7</v>
      </c>
      <c r="F160">
        <f>YEAR(C160)</f>
        <v>2023</v>
      </c>
      <c r="G160">
        <f>MONTH(C160)</f>
        <v>3</v>
      </c>
      <c r="H160" t="str">
        <f>F160&amp;"-"&amp;G160</f>
        <v>2023-3</v>
      </c>
    </row>
    <row r="161">
      <c r="A161" t="s">
        <v>11</v>
      </c>
      <c r="B161" t="s">
        <v>171</v>
      </c>
      <c r="C161" t="s">
        <v>169</v>
      </c>
      <c r="D161">
        <v>90244</v>
      </c>
      <c r="E161">
        <v>8</v>
      </c>
      <c r="F161">
        <f>YEAR(C161)</f>
        <v>2023</v>
      </c>
      <c r="G161">
        <f>MONTH(C161)</f>
        <v>3</v>
      </c>
      <c r="H161" t="str">
        <f>F161&amp;"-"&amp;G161</f>
        <v>2023-3</v>
      </c>
    </row>
    <row r="162">
      <c r="A162" t="s">
        <v>17</v>
      </c>
      <c r="B162" t="s">
        <v>172</v>
      </c>
      <c r="C162" t="s">
        <v>173</v>
      </c>
      <c r="D162">
        <v>44711</v>
      </c>
      <c r="E162">
        <v>3</v>
      </c>
      <c r="F162">
        <f>YEAR(C162)</f>
        <v>2023</v>
      </c>
      <c r="G162">
        <f>MONTH(C162)</f>
        <v>6</v>
      </c>
      <c r="H162" t="str">
        <f>F162&amp;"-"&amp;G162</f>
        <v>2023-6</v>
      </c>
    </row>
    <row r="163">
      <c r="A163" t="s">
        <v>17</v>
      </c>
      <c r="B163" t="s">
        <v>144</v>
      </c>
      <c r="C163" t="s">
        <v>173</v>
      </c>
      <c r="D163">
        <v>68979</v>
      </c>
      <c r="E163">
        <v>9</v>
      </c>
      <c r="F163">
        <f>YEAR(C163)</f>
        <v>2023</v>
      </c>
      <c r="G163">
        <f>MONTH(C163)</f>
        <v>6</v>
      </c>
      <c r="H163" t="str">
        <f>F163&amp;"-"&amp;G163</f>
        <v>2023-6</v>
      </c>
    </row>
    <row r="164">
      <c r="A164" t="s">
        <v>24</v>
      </c>
      <c r="B164" t="s">
        <v>132</v>
      </c>
      <c r="C164" t="s">
        <v>173</v>
      </c>
      <c r="D164">
        <v>21625</v>
      </c>
      <c r="E164">
        <v>5</v>
      </c>
      <c r="F164">
        <f>YEAR(C164)</f>
        <v>2023</v>
      </c>
      <c r="G164">
        <f>MONTH(C164)</f>
        <v>6</v>
      </c>
      <c r="H164" t="str">
        <f>F164&amp;"-"&amp;G164</f>
        <v>2023-6</v>
      </c>
    </row>
    <row r="165">
      <c r="A165" t="s">
        <v>43</v>
      </c>
      <c r="B165" t="s">
        <v>174</v>
      </c>
      <c r="C165" t="s">
        <v>173</v>
      </c>
      <c r="D165">
        <v>27157</v>
      </c>
      <c r="E165">
        <v>8</v>
      </c>
      <c r="F165">
        <f>YEAR(C165)</f>
        <v>2023</v>
      </c>
      <c r="G165">
        <f>MONTH(C165)</f>
        <v>6</v>
      </c>
      <c r="H165" t="str">
        <f>F165&amp;"-"&amp;G165</f>
        <v>2023-6</v>
      </c>
    </row>
    <row r="166">
      <c r="A166" t="s">
        <v>24</v>
      </c>
      <c r="B166" t="s">
        <v>149</v>
      </c>
      <c r="C166" t="s">
        <v>173</v>
      </c>
      <c r="D166">
        <v>53577</v>
      </c>
      <c r="E166">
        <v>7</v>
      </c>
      <c r="F166">
        <f>YEAR(C166)</f>
        <v>2023</v>
      </c>
      <c r="G166">
        <f>MONTH(C166)</f>
        <v>6</v>
      </c>
      <c r="H166" t="str">
        <f>F166&amp;"-"&amp;G166</f>
        <v>2023-6</v>
      </c>
    </row>
    <row r="167">
      <c r="A167" t="s">
        <v>17</v>
      </c>
      <c r="B167" t="s">
        <v>175</v>
      </c>
      <c r="C167" t="s">
        <v>173</v>
      </c>
      <c r="D167">
        <v>44201</v>
      </c>
      <c r="E167">
        <v>6</v>
      </c>
      <c r="F167">
        <f>YEAR(C167)</f>
        <v>2023</v>
      </c>
      <c r="G167">
        <f>MONTH(C167)</f>
        <v>6</v>
      </c>
      <c r="H167" t="str">
        <f>F167&amp;"-"&amp;G167</f>
        <v>2023-6</v>
      </c>
    </row>
    <row r="168">
      <c r="A168" t="s">
        <v>5</v>
      </c>
      <c r="B168" t="s">
        <v>25</v>
      </c>
      <c r="C168" t="s">
        <v>173</v>
      </c>
      <c r="D168">
        <v>91359</v>
      </c>
      <c r="E168">
        <v>5</v>
      </c>
      <c r="F168">
        <f>YEAR(C168)</f>
        <v>2023</v>
      </c>
      <c r="G168">
        <f>MONTH(C168)</f>
        <v>6</v>
      </c>
      <c r="H168" t="str">
        <f>F168&amp;"-"&amp;G168</f>
        <v>2023-6</v>
      </c>
    </row>
    <row r="169">
      <c r="A169" t="s">
        <v>57</v>
      </c>
      <c r="B169" t="s">
        <v>103</v>
      </c>
      <c r="C169" t="s">
        <v>173</v>
      </c>
      <c r="D169">
        <v>24977</v>
      </c>
      <c r="E169">
        <v>7</v>
      </c>
      <c r="F169">
        <f>YEAR(C169)</f>
        <v>2023</v>
      </c>
      <c r="G169">
        <f>MONTH(C169)</f>
        <v>6</v>
      </c>
      <c r="H169" t="str">
        <f>F169&amp;"-"&amp;G169</f>
        <v>2023-6</v>
      </c>
    </row>
    <row r="170">
      <c r="A170" t="s">
        <v>15</v>
      </c>
      <c r="B170" t="s">
        <v>80</v>
      </c>
      <c r="C170" t="s">
        <v>173</v>
      </c>
      <c r="D170">
        <v>85090</v>
      </c>
      <c r="E170">
        <v>7</v>
      </c>
      <c r="F170">
        <f>YEAR(C170)</f>
        <v>2023</v>
      </c>
      <c r="G170">
        <f>MONTH(C170)</f>
        <v>6</v>
      </c>
      <c r="H170" t="str">
        <f>F170&amp;"-"&amp;G170</f>
        <v>2023-6</v>
      </c>
    </row>
    <row r="171">
      <c r="A171" t="s">
        <v>21</v>
      </c>
      <c r="B171" t="s">
        <v>144</v>
      </c>
      <c r="C171" t="s">
        <v>176</v>
      </c>
      <c r="D171">
        <v>84992</v>
      </c>
      <c r="E171">
        <v>6</v>
      </c>
      <c r="F171">
        <f>YEAR(C171)</f>
        <v>2023</v>
      </c>
      <c r="G171">
        <f>MONTH(C171)</f>
        <v>7</v>
      </c>
      <c r="H171" t="str">
        <f>F171&amp;"-"&amp;G171</f>
        <v>2023-7</v>
      </c>
    </row>
    <row r="172">
      <c r="A172" t="s">
        <v>13</v>
      </c>
      <c r="B172" t="s">
        <v>177</v>
      </c>
      <c r="C172" t="s">
        <v>176</v>
      </c>
      <c r="D172">
        <v>19323</v>
      </c>
      <c r="E172">
        <v>7</v>
      </c>
      <c r="F172">
        <f>YEAR(C172)</f>
        <v>2023</v>
      </c>
      <c r="G172">
        <f>MONTH(C172)</f>
        <v>7</v>
      </c>
      <c r="H172" t="str">
        <f>F172&amp;"-"&amp;G172</f>
        <v>2023-7</v>
      </c>
    </row>
    <row r="173">
      <c r="A173" t="s">
        <v>24</v>
      </c>
      <c r="B173" t="s">
        <v>178</v>
      </c>
      <c r="C173" t="s">
        <v>179</v>
      </c>
      <c r="D173">
        <v>16732</v>
      </c>
      <c r="E173">
        <v>9</v>
      </c>
      <c r="F173">
        <f>YEAR(C173)</f>
        <v>2023</v>
      </c>
      <c r="G173">
        <f>MONTH(C173)</f>
        <v>9</v>
      </c>
      <c r="H173" t="str">
        <f>F173&amp;"-"&amp;G173</f>
        <v>2023-9</v>
      </c>
    </row>
    <row r="174">
      <c r="A174" t="s">
        <v>43</v>
      </c>
      <c r="B174" t="s">
        <v>37</v>
      </c>
      <c r="C174" t="s">
        <v>179</v>
      </c>
      <c r="D174">
        <v>76777</v>
      </c>
      <c r="E174">
        <v>6</v>
      </c>
      <c r="F174">
        <f>YEAR(C174)</f>
        <v>2023</v>
      </c>
      <c r="G174">
        <f>MONTH(C174)</f>
        <v>9</v>
      </c>
      <c r="H174" t="str">
        <f>F174&amp;"-"&amp;G174</f>
        <v>2023-9</v>
      </c>
    </row>
    <row r="175">
      <c r="A175" t="s">
        <v>8</v>
      </c>
      <c r="B175" t="s">
        <v>19</v>
      </c>
      <c r="C175" t="s">
        <v>179</v>
      </c>
      <c r="D175">
        <v>31147</v>
      </c>
      <c r="E175">
        <v>3</v>
      </c>
      <c r="F175">
        <f>YEAR(C175)</f>
        <v>2023</v>
      </c>
      <c r="G175">
        <f>MONTH(C175)</f>
        <v>9</v>
      </c>
      <c r="H175" t="str">
        <f>F175&amp;"-"&amp;G175</f>
        <v>2023-9</v>
      </c>
    </row>
    <row r="176">
      <c r="A176" t="s">
        <v>5</v>
      </c>
      <c r="B176" t="s">
        <v>103</v>
      </c>
      <c r="C176" t="s">
        <v>179</v>
      </c>
      <c r="D176">
        <v>13042</v>
      </c>
      <c r="E176">
        <v>7</v>
      </c>
      <c r="F176">
        <f>YEAR(C176)</f>
        <v>2023</v>
      </c>
      <c r="G176">
        <f>MONTH(C176)</f>
        <v>9</v>
      </c>
      <c r="H176" t="str">
        <f>F176&amp;"-"&amp;G176</f>
        <v>2023-9</v>
      </c>
    </row>
    <row r="177">
      <c r="A177" t="s">
        <v>24</v>
      </c>
      <c r="B177" t="s">
        <v>41</v>
      </c>
      <c r="C177" t="s">
        <v>179</v>
      </c>
      <c r="D177">
        <v>71514</v>
      </c>
      <c r="E177">
        <v>6</v>
      </c>
      <c r="F177">
        <f>YEAR(C177)</f>
        <v>2023</v>
      </c>
      <c r="G177">
        <f>MONTH(C177)</f>
        <v>9</v>
      </c>
      <c r="H177" t="str">
        <f>F177&amp;"-"&amp;G177</f>
        <v>2023-9</v>
      </c>
    </row>
    <row r="178">
      <c r="A178" t="s">
        <v>15</v>
      </c>
      <c r="B178" t="s">
        <v>123</v>
      </c>
      <c r="C178" t="s">
        <v>180</v>
      </c>
      <c r="D178">
        <v>91163</v>
      </c>
      <c r="E178">
        <v>8</v>
      </c>
      <c r="F178">
        <f>YEAR(C178)</f>
        <v>2023</v>
      </c>
      <c r="G178">
        <f>MONTH(C178)</f>
        <v>10</v>
      </c>
      <c r="H178" t="str">
        <f>F178&amp;"-"&amp;G178</f>
        <v>2023-10</v>
      </c>
    </row>
    <row r="179">
      <c r="A179" t="s">
        <v>24</v>
      </c>
      <c r="B179" t="s">
        <v>111</v>
      </c>
      <c r="C179" t="s">
        <v>180</v>
      </c>
      <c r="D179">
        <v>42791</v>
      </c>
      <c r="E179">
        <v>4</v>
      </c>
      <c r="F179">
        <f>YEAR(C179)</f>
        <v>2023</v>
      </c>
      <c r="G179">
        <f>MONTH(C179)</f>
        <v>10</v>
      </c>
      <c r="H179" t="str">
        <f>F179&amp;"-"&amp;G179</f>
        <v>2023-10</v>
      </c>
    </row>
    <row r="180">
      <c r="A180" t="s">
        <v>5</v>
      </c>
      <c r="B180" t="s">
        <v>181</v>
      </c>
      <c r="C180" t="s">
        <v>180</v>
      </c>
      <c r="D180">
        <v>20345</v>
      </c>
      <c r="E180">
        <v>4</v>
      </c>
      <c r="F180">
        <f>YEAR(C180)</f>
        <v>2023</v>
      </c>
      <c r="G180">
        <f>MONTH(C180)</f>
        <v>10</v>
      </c>
      <c r="H180" t="str">
        <f>F180&amp;"-"&amp;G180</f>
        <v>2023-10</v>
      </c>
    </row>
    <row r="181">
      <c r="A181" t="s">
        <v>57</v>
      </c>
      <c r="B181" t="s">
        <v>182</v>
      </c>
      <c r="C181" t="s">
        <v>180</v>
      </c>
      <c r="D181">
        <v>24770</v>
      </c>
      <c r="E181">
        <v>8</v>
      </c>
      <c r="F181">
        <f>YEAR(C181)</f>
        <v>2023</v>
      </c>
      <c r="G181">
        <f>MONTH(C181)</f>
        <v>10</v>
      </c>
      <c r="H181" t="str">
        <f>F181&amp;"-"&amp;G181</f>
        <v>2023-10</v>
      </c>
    </row>
    <row r="182">
      <c r="A182" t="s">
        <v>28</v>
      </c>
      <c r="B182" t="s">
        <v>118</v>
      </c>
      <c r="C182" t="s">
        <v>183</v>
      </c>
      <c r="D182">
        <v>50923</v>
      </c>
      <c r="E182">
        <v>7</v>
      </c>
      <c r="F182" t="e">
        <f>YEAR(C182)</f>
        <v>#VALUE!</v>
      </c>
      <c r="G182" t="e">
        <f>MONTH(C182)</f>
        <v>#VALUE!</v>
      </c>
      <c r="H182" t="e">
        <f>F182&amp;"-"&amp;G182</f>
        <v>#VALUE!</v>
      </c>
    </row>
    <row r="183">
      <c r="A183" t="s">
        <v>5</v>
      </c>
      <c r="B183" t="s">
        <v>184</v>
      </c>
      <c r="C183" t="s">
        <v>183</v>
      </c>
      <c r="D183">
        <v>75622</v>
      </c>
      <c r="E183">
        <v>8</v>
      </c>
      <c r="F183" t="e">
        <f>YEAR(C183)</f>
        <v>#VALUE!</v>
      </c>
      <c r="G183" t="e">
        <f>MONTH(C183)</f>
        <v>#VALUE!</v>
      </c>
      <c r="H183" t="e">
        <f>F183&amp;"-"&amp;G183</f>
        <v>#VALUE!</v>
      </c>
    </row>
    <row r="184">
      <c r="A184" t="s">
        <v>43</v>
      </c>
      <c r="B184" t="s">
        <v>147</v>
      </c>
      <c r="C184" t="s">
        <v>183</v>
      </c>
      <c r="D184">
        <v>11652</v>
      </c>
      <c r="E184">
        <v>0</v>
      </c>
      <c r="F184" t="e">
        <f>YEAR(C184)</f>
        <v>#VALUE!</v>
      </c>
      <c r="G184" t="e">
        <f>MONTH(C184)</f>
        <v>#VALUE!</v>
      </c>
      <c r="H184" t="e">
        <f>F184&amp;"-"&amp;G184</f>
        <v>#VALUE!</v>
      </c>
    </row>
    <row r="185">
      <c r="A185" t="s">
        <v>15</v>
      </c>
      <c r="B185" t="s">
        <v>185</v>
      </c>
      <c r="C185" t="s">
        <v>183</v>
      </c>
      <c r="D185">
        <v>14892</v>
      </c>
      <c r="E185">
        <v>8</v>
      </c>
      <c r="F185" t="e">
        <f>YEAR(C185)</f>
        <v>#VALUE!</v>
      </c>
      <c r="G185" t="e">
        <f>MONTH(C185)</f>
        <v>#VALUE!</v>
      </c>
      <c r="H185" t="e">
        <f>F185&amp;"-"&amp;G185</f>
        <v>#VALUE!</v>
      </c>
    </row>
    <row r="186">
      <c r="A186" t="s">
        <v>24</v>
      </c>
      <c r="B186" t="s">
        <v>113</v>
      </c>
      <c r="C186" t="s">
        <v>183</v>
      </c>
      <c r="D186">
        <v>66129</v>
      </c>
      <c r="E186">
        <v>8</v>
      </c>
      <c r="F186" t="e">
        <f>YEAR(C186)</f>
        <v>#VALUE!</v>
      </c>
      <c r="G186" t="e">
        <f>MONTH(C186)</f>
        <v>#VALUE!</v>
      </c>
      <c r="H186" t="e">
        <f>F186&amp;"-"&amp;G186</f>
        <v>#VALUE!</v>
      </c>
    </row>
    <row r="187">
      <c r="A187" t="s">
        <v>13</v>
      </c>
      <c r="B187" t="s">
        <v>116</v>
      </c>
      <c r="C187" t="s">
        <v>183</v>
      </c>
      <c r="D187">
        <v>12810</v>
      </c>
      <c r="E187">
        <v>7</v>
      </c>
      <c r="F187" t="e">
        <f>YEAR(C187)</f>
        <v>#VALUE!</v>
      </c>
      <c r="G187" t="e">
        <f>MONTH(C187)</f>
        <v>#VALUE!</v>
      </c>
      <c r="H187" t="e">
        <f>F187&amp;"-"&amp;G187</f>
        <v>#VALUE!</v>
      </c>
    </row>
    <row r="188">
      <c r="A188" t="s">
        <v>17</v>
      </c>
      <c r="B188" t="s">
        <v>45</v>
      </c>
      <c r="C188" t="s">
        <v>183</v>
      </c>
      <c r="D188">
        <v>74484</v>
      </c>
      <c r="E188">
        <v>8</v>
      </c>
      <c r="F188" t="e">
        <f>YEAR(C188)</f>
        <v>#VALUE!</v>
      </c>
      <c r="G188" t="e">
        <f>MONTH(C188)</f>
        <v>#VALUE!</v>
      </c>
      <c r="H188" t="e">
        <f>F188&amp;"-"&amp;G188</f>
        <v>#VALUE!</v>
      </c>
    </row>
    <row r="189">
      <c r="A189" t="s">
        <v>17</v>
      </c>
      <c r="B189" t="s">
        <v>98</v>
      </c>
      <c r="C189" t="s">
        <v>183</v>
      </c>
      <c r="D189">
        <v>34093</v>
      </c>
      <c r="E189">
        <v>8</v>
      </c>
      <c r="F189" t="e">
        <f>YEAR(C189)</f>
        <v>#VALUE!</v>
      </c>
      <c r="G189" t="e">
        <f>MONTH(C189)</f>
        <v>#VALUE!</v>
      </c>
      <c r="H189" t="e">
        <f>F189&amp;"-"&amp;G189</f>
        <v>#VALUE!</v>
      </c>
    </row>
    <row r="190">
      <c r="A190" t="s">
        <v>5</v>
      </c>
      <c r="B190" t="s">
        <v>186</v>
      </c>
      <c r="C190" t="s">
        <v>183</v>
      </c>
      <c r="D190">
        <v>59398</v>
      </c>
      <c r="E190">
        <v>5</v>
      </c>
      <c r="F190" t="e">
        <f>YEAR(C190)</f>
        <v>#VALUE!</v>
      </c>
      <c r="G190" t="e">
        <f>MONTH(C190)</f>
        <v>#VALUE!</v>
      </c>
      <c r="H190" t="e">
        <f>F190&amp;"-"&amp;G190</f>
        <v>#VALUE!</v>
      </c>
    </row>
    <row r="191">
      <c r="A191" t="s">
        <v>47</v>
      </c>
      <c r="B191" t="s">
        <v>138</v>
      </c>
      <c r="C191" t="s">
        <v>187</v>
      </c>
      <c r="D191">
        <v>23155</v>
      </c>
      <c r="E191">
        <v>7</v>
      </c>
      <c r="F191" t="e">
        <f>YEAR(C191)</f>
        <v>#VALUE!</v>
      </c>
      <c r="G191" t="e">
        <f>MONTH(C191)</f>
        <v>#VALUE!</v>
      </c>
      <c r="H191" t="e">
        <f>F191&amp;"-"&amp;G191</f>
        <v>#VALUE!</v>
      </c>
    </row>
    <row r="192">
      <c r="A192" t="s">
        <v>57</v>
      </c>
      <c r="B192" t="s">
        <v>97</v>
      </c>
      <c r="C192" t="s">
        <v>187</v>
      </c>
      <c r="D192">
        <v>66858</v>
      </c>
      <c r="E192">
        <v>9</v>
      </c>
      <c r="F192" t="e">
        <f>YEAR(C192)</f>
        <v>#VALUE!</v>
      </c>
      <c r="G192" t="e">
        <f>MONTH(C192)</f>
        <v>#VALUE!</v>
      </c>
      <c r="H192" t="e">
        <f>F192&amp;"-"&amp;G192</f>
        <v>#VALUE!</v>
      </c>
    </row>
    <row r="193">
      <c r="A193" t="s">
        <v>24</v>
      </c>
      <c r="B193" t="s">
        <v>188</v>
      </c>
      <c r="C193" t="s">
        <v>187</v>
      </c>
      <c r="D193">
        <v>50052</v>
      </c>
      <c r="E193">
        <v>5</v>
      </c>
      <c r="F193" t="e">
        <f>YEAR(C193)</f>
        <v>#VALUE!</v>
      </c>
      <c r="G193" t="e">
        <f>MONTH(C193)</f>
        <v>#VALUE!</v>
      </c>
      <c r="H193" t="e">
        <f>F193&amp;"-"&amp;G193</f>
        <v>#VALUE!</v>
      </c>
    </row>
    <row r="194">
      <c r="A194" t="s">
        <v>57</v>
      </c>
      <c r="B194" t="s">
        <v>189</v>
      </c>
      <c r="C194" t="s">
        <v>187</v>
      </c>
      <c r="D194">
        <v>60965</v>
      </c>
      <c r="E194">
        <v>7</v>
      </c>
      <c r="F194" t="e">
        <f>YEAR(C194)</f>
        <v>#VALUE!</v>
      </c>
      <c r="G194" t="e">
        <f>MONTH(C194)</f>
        <v>#VALUE!</v>
      </c>
      <c r="H194" t="e">
        <f>F194&amp;"-"&amp;G194</f>
        <v>#VALUE!</v>
      </c>
    </row>
    <row r="195">
      <c r="A195" t="s">
        <v>11</v>
      </c>
      <c r="B195" t="s">
        <v>190</v>
      </c>
      <c r="C195" t="s">
        <v>191</v>
      </c>
      <c r="D195">
        <v>15304</v>
      </c>
      <c r="E195">
        <v>10</v>
      </c>
      <c r="F195" t="e">
        <f>YEAR(C195)</f>
        <v>#VALUE!</v>
      </c>
      <c r="G195" t="e">
        <f>MONTH(C195)</f>
        <v>#VALUE!</v>
      </c>
      <c r="H195" t="e">
        <f>F195&amp;"-"&amp;G195</f>
        <v>#VALUE!</v>
      </c>
    </row>
    <row r="196">
      <c r="A196" t="s">
        <v>8</v>
      </c>
      <c r="B196" t="s">
        <v>192</v>
      </c>
      <c r="C196" t="s">
        <v>191</v>
      </c>
      <c r="D196">
        <v>33212</v>
      </c>
      <c r="E196">
        <v>9</v>
      </c>
      <c r="F196" t="e">
        <f>YEAR(C196)</f>
        <v>#VALUE!</v>
      </c>
      <c r="G196" t="e">
        <f>MONTH(C196)</f>
        <v>#VALUE!</v>
      </c>
      <c r="H196" t="e">
        <f>F196&amp;"-"&amp;G196</f>
        <v>#VALUE!</v>
      </c>
    </row>
    <row r="197">
      <c r="A197" t="s">
        <v>28</v>
      </c>
      <c r="B197" t="s">
        <v>49</v>
      </c>
      <c r="C197" t="s">
        <v>191</v>
      </c>
      <c r="D197">
        <v>50443</v>
      </c>
      <c r="E197">
        <v>7</v>
      </c>
      <c r="F197" t="e">
        <f>YEAR(C197)</f>
        <v>#VALUE!</v>
      </c>
      <c r="G197" t="e">
        <f>MONTH(C197)</f>
        <v>#VALUE!</v>
      </c>
      <c r="H197" t="e">
        <f>F197&amp;"-"&amp;G197</f>
        <v>#VALUE!</v>
      </c>
    </row>
    <row r="198">
      <c r="A198" t="s">
        <v>17</v>
      </c>
      <c r="B198" t="s">
        <v>192</v>
      </c>
      <c r="C198" t="s">
        <v>193</v>
      </c>
      <c r="D198">
        <v>51995</v>
      </c>
      <c r="E198">
        <v>6</v>
      </c>
      <c r="F198" t="e">
        <f>YEAR(C198)</f>
        <v>#VALUE!</v>
      </c>
      <c r="G198" t="e">
        <f>MONTH(C198)</f>
        <v>#VALUE!</v>
      </c>
      <c r="H198" t="e">
        <f>F198&amp;"-"&amp;G198</f>
        <v>#VALUE!</v>
      </c>
    </row>
    <row r="199">
      <c r="A199" t="s">
        <v>15</v>
      </c>
      <c r="B199" t="s">
        <v>131</v>
      </c>
      <c r="C199" t="s">
        <v>194</v>
      </c>
      <c r="D199">
        <v>81987</v>
      </c>
      <c r="E199">
        <v>7</v>
      </c>
      <c r="F199" t="e">
        <f>YEAR(C199)</f>
        <v>#VALUE!</v>
      </c>
      <c r="G199" t="e">
        <f>MONTH(C199)</f>
        <v>#VALUE!</v>
      </c>
      <c r="H199" t="e">
        <f>F199&amp;"-"&amp;G199</f>
        <v>#VALUE!</v>
      </c>
    </row>
    <row r="200">
      <c r="A200" t="s">
        <v>47</v>
      </c>
      <c r="B200" t="s">
        <v>170</v>
      </c>
      <c r="C200" t="s">
        <v>194</v>
      </c>
      <c r="D200">
        <v>16052</v>
      </c>
      <c r="E200">
        <v>2</v>
      </c>
      <c r="F200" t="e">
        <f>YEAR(C200)</f>
        <v>#VALUE!</v>
      </c>
      <c r="G200" t="e">
        <f>MONTH(C200)</f>
        <v>#VALUE!</v>
      </c>
      <c r="H200" t="e">
        <f>F200&amp;"-"&amp;G200</f>
        <v>#VALUE!</v>
      </c>
    </row>
    <row r="201">
      <c r="A201" t="s">
        <v>43</v>
      </c>
      <c r="B201" t="s">
        <v>89</v>
      </c>
      <c r="C201" t="s">
        <v>194</v>
      </c>
      <c r="D201">
        <v>33236</v>
      </c>
      <c r="E201">
        <v>8</v>
      </c>
      <c r="F201" t="e">
        <f>YEAR(C201)</f>
        <v>#VALUE!</v>
      </c>
      <c r="G201" t="e">
        <f>MONTH(C201)</f>
        <v>#VALUE!</v>
      </c>
      <c r="H201" t="e">
        <f>F201&amp;"-"&amp;G201</f>
        <v>#VALUE!</v>
      </c>
    </row>
    <row r="202">
      <c r="A202" t="s">
        <v>28</v>
      </c>
      <c r="B202" t="s">
        <v>161</v>
      </c>
      <c r="C202" t="s">
        <v>195</v>
      </c>
      <c r="D202">
        <v>32594</v>
      </c>
      <c r="E202">
        <v>8</v>
      </c>
      <c r="F202" t="e">
        <f>YEAR(C202)</f>
        <v>#VALUE!</v>
      </c>
      <c r="G202" t="e">
        <f>MONTH(C202)</f>
        <v>#VALUE!</v>
      </c>
      <c r="H202" t="e">
        <f>F202&amp;"-"&amp;G202</f>
        <v>#VALUE!</v>
      </c>
    </row>
    <row r="203">
      <c r="A203" t="s">
        <v>8</v>
      </c>
      <c r="B203" t="s">
        <v>196</v>
      </c>
      <c r="C203" t="s">
        <v>195</v>
      </c>
      <c r="D203">
        <v>91413</v>
      </c>
      <c r="E203">
        <v>8</v>
      </c>
      <c r="F203" t="e">
        <f>YEAR(C203)</f>
        <v>#VALUE!</v>
      </c>
      <c r="G203" t="e">
        <f>MONTH(C203)</f>
        <v>#VALUE!</v>
      </c>
      <c r="H203" t="e">
        <f>F203&amp;"-"&amp;G203</f>
        <v>#VALUE!</v>
      </c>
    </row>
    <row r="204">
      <c r="A204" t="s">
        <v>43</v>
      </c>
      <c r="B204" t="s">
        <v>129</v>
      </c>
      <c r="C204" t="s">
        <v>195</v>
      </c>
      <c r="D204">
        <v>77296</v>
      </c>
      <c r="E204">
        <v>9</v>
      </c>
      <c r="F204" t="e">
        <f>YEAR(C204)</f>
        <v>#VALUE!</v>
      </c>
      <c r="G204" t="e">
        <f>MONTH(C204)</f>
        <v>#VALUE!</v>
      </c>
      <c r="H204" t="e">
        <f>F204&amp;"-"&amp;G204</f>
        <v>#VALUE!</v>
      </c>
    </row>
    <row r="205">
      <c r="A205" t="s">
        <v>47</v>
      </c>
      <c r="B205" t="s">
        <v>6</v>
      </c>
      <c r="C205" t="s">
        <v>195</v>
      </c>
      <c r="D205">
        <v>96589</v>
      </c>
      <c r="E205">
        <v>9</v>
      </c>
      <c r="F205" t="e">
        <f>YEAR(C205)</f>
        <v>#VALUE!</v>
      </c>
      <c r="G205" t="e">
        <f>MONTH(C205)</f>
        <v>#VALUE!</v>
      </c>
      <c r="H205" t="e">
        <f>F205&amp;"-"&amp;G205</f>
        <v>#VALUE!</v>
      </c>
    </row>
    <row r="206">
      <c r="A206" t="s">
        <v>5</v>
      </c>
      <c r="B206" t="s">
        <v>197</v>
      </c>
      <c r="C206" t="s">
        <v>195</v>
      </c>
      <c r="D206">
        <v>31773</v>
      </c>
      <c r="E206">
        <v>6</v>
      </c>
      <c r="F206" t="e">
        <f>YEAR(C206)</f>
        <v>#VALUE!</v>
      </c>
      <c r="G206" t="e">
        <f>MONTH(C206)</f>
        <v>#VALUE!</v>
      </c>
      <c r="H206" t="e">
        <f>F206&amp;"-"&amp;G206</f>
        <v>#VALUE!</v>
      </c>
    </row>
    <row r="207">
      <c r="A207" t="s">
        <v>17</v>
      </c>
      <c r="B207" t="s">
        <v>99</v>
      </c>
      <c r="C207" t="s">
        <v>195</v>
      </c>
      <c r="D207">
        <v>79936</v>
      </c>
      <c r="E207">
        <v>9</v>
      </c>
      <c r="F207" t="e">
        <f>YEAR(C207)</f>
        <v>#VALUE!</v>
      </c>
      <c r="G207" t="e">
        <f>MONTH(C207)</f>
        <v>#VALUE!</v>
      </c>
      <c r="H207" t="e">
        <f>F207&amp;"-"&amp;G207</f>
        <v>#VALUE!</v>
      </c>
    </row>
    <row r="208">
      <c r="A208" t="s">
        <v>17</v>
      </c>
      <c r="B208" t="s">
        <v>174</v>
      </c>
      <c r="C208" t="s">
        <v>195</v>
      </c>
      <c r="D208">
        <v>63743</v>
      </c>
      <c r="E208">
        <v>8</v>
      </c>
      <c r="F208" t="e">
        <f>YEAR(C208)</f>
        <v>#VALUE!</v>
      </c>
      <c r="G208" t="e">
        <f>MONTH(C208)</f>
        <v>#VALUE!</v>
      </c>
      <c r="H208" t="e">
        <f>F208&amp;"-"&amp;G208</f>
        <v>#VALUE!</v>
      </c>
    </row>
    <row r="209">
      <c r="A209" t="s">
        <v>15</v>
      </c>
      <c r="B209" t="s">
        <v>75</v>
      </c>
      <c r="C209" t="s">
        <v>195</v>
      </c>
      <c r="D209">
        <v>58987</v>
      </c>
      <c r="E209">
        <v>8</v>
      </c>
      <c r="F209" t="e">
        <f>YEAR(C209)</f>
        <v>#VALUE!</v>
      </c>
      <c r="G209" t="e">
        <f>MONTH(C209)</f>
        <v>#VALUE!</v>
      </c>
      <c r="H209" t="e">
        <f>F209&amp;"-"&amp;G209</f>
        <v>#VALUE!</v>
      </c>
    </row>
    <row r="210">
      <c r="A210" t="s">
        <v>21</v>
      </c>
      <c r="B210" t="s">
        <v>147</v>
      </c>
      <c r="C210" t="s">
        <v>195</v>
      </c>
      <c r="D210">
        <v>26607</v>
      </c>
      <c r="E210">
        <v>10</v>
      </c>
      <c r="F210" t="e">
        <f>YEAR(C210)</f>
        <v>#VALUE!</v>
      </c>
      <c r="G210" t="e">
        <f>MONTH(C210)</f>
        <v>#VALUE!</v>
      </c>
      <c r="H210" t="e">
        <f>F210&amp;"-"&amp;G210</f>
        <v>#VALUE!</v>
      </c>
    </row>
    <row r="211">
      <c r="A211" t="s">
        <v>24</v>
      </c>
      <c r="B211" t="s">
        <v>198</v>
      </c>
      <c r="C211" t="s">
        <v>195</v>
      </c>
      <c r="D211">
        <v>72407</v>
      </c>
      <c r="E211">
        <v>9</v>
      </c>
      <c r="F211" t="e">
        <f>YEAR(C211)</f>
        <v>#VALUE!</v>
      </c>
      <c r="G211" t="e">
        <f>MONTH(C211)</f>
        <v>#VALUE!</v>
      </c>
      <c r="H211" t="e">
        <f>F211&amp;"-"&amp;G211</f>
        <v>#VALUE!</v>
      </c>
    </row>
    <row r="212">
      <c r="A212" t="s">
        <v>43</v>
      </c>
      <c r="B212" t="s">
        <v>87</v>
      </c>
      <c r="C212" t="s">
        <v>199</v>
      </c>
      <c r="D212">
        <v>76225</v>
      </c>
      <c r="E212">
        <v>2</v>
      </c>
      <c r="F212" t="e">
        <f>YEAR(C212)</f>
        <v>#VALUE!</v>
      </c>
      <c r="G212" t="e">
        <f>MONTH(C212)</f>
        <v>#VALUE!</v>
      </c>
      <c r="H212" t="e">
        <f>F212&amp;"-"&amp;G212</f>
        <v>#VALUE!</v>
      </c>
    </row>
    <row r="213">
      <c r="A213" t="s">
        <v>21</v>
      </c>
      <c r="B213" t="s">
        <v>12</v>
      </c>
      <c r="C213" t="s">
        <v>199</v>
      </c>
      <c r="D213">
        <v>79314</v>
      </c>
      <c r="E213">
        <v>6</v>
      </c>
      <c r="F213" t="e">
        <f>YEAR(C213)</f>
        <v>#VALUE!</v>
      </c>
      <c r="G213" t="e">
        <f>MONTH(C213)</f>
        <v>#VALUE!</v>
      </c>
      <c r="H213" t="e">
        <f>F213&amp;"-"&amp;G213</f>
        <v>#VALUE!</v>
      </c>
    </row>
    <row r="214">
      <c r="A214" t="s">
        <v>21</v>
      </c>
      <c r="B214" t="s">
        <v>132</v>
      </c>
      <c r="C214" t="s">
        <v>199</v>
      </c>
      <c r="D214">
        <v>13054</v>
      </c>
      <c r="E214">
        <v>9</v>
      </c>
      <c r="F214" t="e">
        <f>YEAR(C214)</f>
        <v>#VALUE!</v>
      </c>
      <c r="G214" t="e">
        <f>MONTH(C214)</f>
        <v>#VALUE!</v>
      </c>
      <c r="H214" t="e">
        <f>F214&amp;"-"&amp;G214</f>
        <v>#VALUE!</v>
      </c>
    </row>
    <row r="215">
      <c r="A215" t="s">
        <v>5</v>
      </c>
      <c r="B215" t="s">
        <v>144</v>
      </c>
      <c r="C215" t="s">
        <v>199</v>
      </c>
      <c r="D215">
        <v>38589</v>
      </c>
      <c r="E215">
        <v>8</v>
      </c>
      <c r="F215" t="e">
        <f>YEAR(C215)</f>
        <v>#VALUE!</v>
      </c>
      <c r="G215" t="e">
        <f>MONTH(C215)</f>
        <v>#VALUE!</v>
      </c>
      <c r="H215" t="e">
        <f>F215&amp;"-"&amp;G215</f>
        <v>#VALUE!</v>
      </c>
    </row>
    <row r="216">
      <c r="A216" t="s">
        <v>57</v>
      </c>
      <c r="B216" t="s">
        <v>200</v>
      </c>
      <c r="C216" t="s">
        <v>199</v>
      </c>
      <c r="D216">
        <v>47397</v>
      </c>
      <c r="E216">
        <v>8</v>
      </c>
      <c r="F216" t="e">
        <f>YEAR(C216)</f>
        <v>#VALUE!</v>
      </c>
      <c r="G216" t="e">
        <f>MONTH(C216)</f>
        <v>#VALUE!</v>
      </c>
      <c r="H216" t="e">
        <f>F216&amp;"-"&amp;G216</f>
        <v>#VALUE!</v>
      </c>
    </row>
    <row r="217">
      <c r="A217" t="s">
        <v>5</v>
      </c>
      <c r="B217" t="s">
        <v>190</v>
      </c>
      <c r="C217" t="s">
        <v>199</v>
      </c>
      <c r="D217">
        <v>79164</v>
      </c>
      <c r="E217">
        <v>8</v>
      </c>
      <c r="F217" t="e">
        <f>YEAR(C217)</f>
        <v>#VALUE!</v>
      </c>
      <c r="G217" t="e">
        <f>MONTH(C217)</f>
        <v>#VALUE!</v>
      </c>
      <c r="H217" t="e">
        <f>F217&amp;"-"&amp;G217</f>
        <v>#VALUE!</v>
      </c>
    </row>
    <row r="218">
      <c r="A218" t="s">
        <v>21</v>
      </c>
      <c r="B218" t="s">
        <v>49</v>
      </c>
      <c r="C218" t="s">
        <v>199</v>
      </c>
      <c r="D218">
        <v>29229</v>
      </c>
      <c r="E218">
        <v>8</v>
      </c>
      <c r="F218" t="e">
        <f>YEAR(C218)</f>
        <v>#VALUE!</v>
      </c>
      <c r="G218" t="e">
        <f>MONTH(C218)</f>
        <v>#VALUE!</v>
      </c>
      <c r="H218" t="e">
        <f>F218&amp;"-"&amp;G218</f>
        <v>#VALUE!</v>
      </c>
    </row>
    <row r="219">
      <c r="A219" t="s">
        <v>28</v>
      </c>
      <c r="B219" t="s">
        <v>37</v>
      </c>
      <c r="C219" t="s">
        <v>201</v>
      </c>
      <c r="D219">
        <v>46709</v>
      </c>
      <c r="E219">
        <v>6</v>
      </c>
      <c r="F219" t="e">
        <f>YEAR(C219)</f>
        <v>#VALUE!</v>
      </c>
      <c r="G219" t="e">
        <f>MONTH(C219)</f>
        <v>#VALUE!</v>
      </c>
      <c r="H219" t="e">
        <f>F219&amp;"-"&amp;G219</f>
        <v>#VALUE!</v>
      </c>
    </row>
    <row r="220">
      <c r="A220" t="s">
        <v>43</v>
      </c>
      <c r="B220" t="s">
        <v>85</v>
      </c>
      <c r="C220" t="s">
        <v>202</v>
      </c>
      <c r="D220">
        <v>53832</v>
      </c>
      <c r="E220">
        <v>10</v>
      </c>
      <c r="F220" t="e">
        <f>YEAR(C220)</f>
        <v>#VALUE!</v>
      </c>
      <c r="G220" t="e">
        <f>MONTH(C220)</f>
        <v>#VALUE!</v>
      </c>
      <c r="H220" t="e">
        <f>F220&amp;"-"&amp;G220</f>
        <v>#VALUE!</v>
      </c>
    </row>
    <row r="221">
      <c r="A221" t="s">
        <v>47</v>
      </c>
      <c r="B221" t="s">
        <v>161</v>
      </c>
      <c r="C221" t="s">
        <v>202</v>
      </c>
      <c r="D221">
        <v>63684</v>
      </c>
      <c r="E221">
        <v>9</v>
      </c>
      <c r="F221" t="e">
        <f>YEAR(C221)</f>
        <v>#VALUE!</v>
      </c>
      <c r="G221" t="e">
        <f>MONTH(C221)</f>
        <v>#VALUE!</v>
      </c>
      <c r="H221" t="e">
        <f>F221&amp;"-"&amp;G221</f>
        <v>#VALUE!</v>
      </c>
    </row>
    <row r="222">
      <c r="A222" t="s">
        <v>17</v>
      </c>
      <c r="B222" t="s">
        <v>181</v>
      </c>
      <c r="C222" t="s">
        <v>202</v>
      </c>
      <c r="D222">
        <v>30170</v>
      </c>
      <c r="E222">
        <v>6</v>
      </c>
      <c r="F222" t="e">
        <f>YEAR(C222)</f>
        <v>#VALUE!</v>
      </c>
      <c r="G222" t="e">
        <f>MONTH(C222)</f>
        <v>#VALUE!</v>
      </c>
      <c r="H222" t="e">
        <f>F222&amp;"-"&amp;G222</f>
        <v>#VALUE!</v>
      </c>
    </row>
    <row r="223">
      <c r="A223" t="s">
        <v>11</v>
      </c>
      <c r="B223" t="s">
        <v>61</v>
      </c>
      <c r="C223" t="s">
        <v>202</v>
      </c>
      <c r="D223">
        <v>98493</v>
      </c>
      <c r="E223">
        <v>7</v>
      </c>
      <c r="F223" t="e">
        <f>YEAR(C223)</f>
        <v>#VALUE!</v>
      </c>
      <c r="G223" t="e">
        <f>MONTH(C223)</f>
        <v>#VALUE!</v>
      </c>
      <c r="H223" t="e">
        <f>F223&amp;"-"&amp;G223</f>
        <v>#VALUE!</v>
      </c>
    </row>
    <row r="224">
      <c r="A224" t="s">
        <v>21</v>
      </c>
      <c r="B224" t="s">
        <v>115</v>
      </c>
      <c r="C224" t="s">
        <v>203</v>
      </c>
      <c r="D224">
        <v>76999</v>
      </c>
      <c r="E224">
        <v>5</v>
      </c>
      <c r="F224" t="e">
        <f>YEAR(C224)</f>
        <v>#VALUE!</v>
      </c>
      <c r="G224" t="e">
        <f>MONTH(C224)</f>
        <v>#VALUE!</v>
      </c>
      <c r="H224" t="e">
        <f>F224&amp;"-"&amp;G224</f>
        <v>#VALUE!</v>
      </c>
    </row>
    <row r="225">
      <c r="A225" t="s">
        <v>15</v>
      </c>
      <c r="B225" t="s">
        <v>172</v>
      </c>
      <c r="C225" t="s">
        <v>203</v>
      </c>
      <c r="D225">
        <v>56050</v>
      </c>
      <c r="E225">
        <v>4</v>
      </c>
      <c r="F225" t="e">
        <f>YEAR(C225)</f>
        <v>#VALUE!</v>
      </c>
      <c r="G225" t="e">
        <f>MONTH(C225)</f>
        <v>#VALUE!</v>
      </c>
      <c r="H225" t="e">
        <f>F225&amp;"-"&amp;G225</f>
        <v>#VALUE!</v>
      </c>
    </row>
    <row r="226">
      <c r="A226" t="s">
        <v>43</v>
      </c>
      <c r="B226" t="s">
        <v>204</v>
      </c>
      <c r="C226" t="s">
        <v>203</v>
      </c>
      <c r="D226">
        <v>67681</v>
      </c>
      <c r="E226">
        <v>5</v>
      </c>
      <c r="F226" t="e">
        <f>YEAR(C226)</f>
        <v>#VALUE!</v>
      </c>
      <c r="G226" t="e">
        <f>MONTH(C226)</f>
        <v>#VALUE!</v>
      </c>
      <c r="H226" t="e">
        <f>F226&amp;"-"&amp;G226</f>
        <v>#VALUE!</v>
      </c>
    </row>
    <row r="227">
      <c r="A227" t="s">
        <v>24</v>
      </c>
      <c r="B227" t="s">
        <v>108</v>
      </c>
      <c r="C227" t="s">
        <v>203</v>
      </c>
      <c r="D227">
        <v>80176</v>
      </c>
      <c r="E227">
        <v>7</v>
      </c>
      <c r="F227" t="e">
        <f>YEAR(C227)</f>
        <v>#VALUE!</v>
      </c>
      <c r="G227" t="e">
        <f>MONTH(C227)</f>
        <v>#VALUE!</v>
      </c>
      <c r="H227" t="e">
        <f>F227&amp;"-"&amp;G227</f>
        <v>#VALUE!</v>
      </c>
    </row>
    <row r="228">
      <c r="A228" t="s">
        <v>8</v>
      </c>
      <c r="B228" t="s">
        <v>18</v>
      </c>
      <c r="C228" t="s">
        <v>205</v>
      </c>
      <c r="D228">
        <v>32463</v>
      </c>
      <c r="E228">
        <v>8</v>
      </c>
      <c r="F228" t="e">
        <f>YEAR(C228)</f>
        <v>#VALUE!</v>
      </c>
      <c r="G228" t="e">
        <f>MONTH(C228)</f>
        <v>#VALUE!</v>
      </c>
      <c r="H228" t="e">
        <f>F228&amp;"-"&amp;G228</f>
        <v>#VALUE!</v>
      </c>
    </row>
    <row r="229">
      <c r="A229" t="s">
        <v>8</v>
      </c>
      <c r="B229" t="s">
        <v>121</v>
      </c>
      <c r="C229" t="s">
        <v>205</v>
      </c>
      <c r="D229">
        <v>18786</v>
      </c>
      <c r="E229">
        <v>8</v>
      </c>
      <c r="F229" t="e">
        <f>YEAR(C229)</f>
        <v>#VALUE!</v>
      </c>
      <c r="G229" t="e">
        <f>MONTH(C229)</f>
        <v>#VALUE!</v>
      </c>
      <c r="H229" t="e">
        <f>F229&amp;"-"&amp;G229</f>
        <v>#VALUE!</v>
      </c>
    </row>
    <row r="230">
      <c r="A230" t="s">
        <v>5</v>
      </c>
      <c r="B230" t="s">
        <v>198</v>
      </c>
      <c r="C230" t="s">
        <v>205</v>
      </c>
      <c r="D230">
        <v>56660</v>
      </c>
      <c r="E230">
        <v>7</v>
      </c>
      <c r="F230" t="e">
        <f>YEAR(C230)</f>
        <v>#VALUE!</v>
      </c>
      <c r="G230" t="e">
        <f>MONTH(C230)</f>
        <v>#VALUE!</v>
      </c>
      <c r="H230" t="e">
        <f>F230&amp;"-"&amp;G230</f>
        <v>#VALUE!</v>
      </c>
    </row>
    <row r="231">
      <c r="A231" t="s">
        <v>21</v>
      </c>
      <c r="B231" t="s">
        <v>38</v>
      </c>
      <c r="C231" t="s">
        <v>205</v>
      </c>
      <c r="D231">
        <v>66441</v>
      </c>
      <c r="E231">
        <v>3</v>
      </c>
      <c r="F231" t="e">
        <f>YEAR(C231)</f>
        <v>#VALUE!</v>
      </c>
      <c r="G231" t="e">
        <f>MONTH(C231)</f>
        <v>#VALUE!</v>
      </c>
      <c r="H231" t="e">
        <f>F231&amp;"-"&amp;G231</f>
        <v>#VALUE!</v>
      </c>
    </row>
    <row r="232">
      <c r="A232" t="s">
        <v>43</v>
      </c>
      <c r="B232" t="s">
        <v>137</v>
      </c>
      <c r="C232" t="s">
        <v>205</v>
      </c>
      <c r="D232">
        <v>87614</v>
      </c>
      <c r="E232">
        <v>8</v>
      </c>
      <c r="F232" t="e">
        <f>YEAR(C232)</f>
        <v>#VALUE!</v>
      </c>
      <c r="G232" t="e">
        <f>MONTH(C232)</f>
        <v>#VALUE!</v>
      </c>
      <c r="H232" t="e">
        <f>F232&amp;"-"&amp;G232</f>
        <v>#VALUE!</v>
      </c>
    </row>
    <row r="233">
      <c r="A233" t="s">
        <v>17</v>
      </c>
      <c r="B233" t="s">
        <v>20</v>
      </c>
      <c r="C233" t="s">
        <v>205</v>
      </c>
      <c r="D233">
        <v>58379</v>
      </c>
      <c r="E233">
        <v>8</v>
      </c>
      <c r="F233" t="e">
        <f>YEAR(C233)</f>
        <v>#VALUE!</v>
      </c>
      <c r="G233" t="e">
        <f>MONTH(C233)</f>
        <v>#VALUE!</v>
      </c>
      <c r="H233" t="e">
        <f>F233&amp;"-"&amp;G233</f>
        <v>#VALUE!</v>
      </c>
    </row>
    <row r="234">
      <c r="A234" t="s">
        <v>8</v>
      </c>
      <c r="B234" t="s">
        <v>148</v>
      </c>
      <c r="C234" t="s">
        <v>205</v>
      </c>
      <c r="D234">
        <v>93940</v>
      </c>
      <c r="E234">
        <v>6</v>
      </c>
      <c r="F234" t="e">
        <f>YEAR(C234)</f>
        <v>#VALUE!</v>
      </c>
      <c r="G234" t="e">
        <f>MONTH(C234)</f>
        <v>#VALUE!</v>
      </c>
      <c r="H234" t="e">
        <f>F234&amp;"-"&amp;G234</f>
        <v>#VALUE!</v>
      </c>
    </row>
    <row r="235">
      <c r="A235" t="s">
        <v>17</v>
      </c>
      <c r="B235" t="s">
        <v>206</v>
      </c>
      <c r="C235" t="s">
        <v>205</v>
      </c>
      <c r="D235">
        <v>81193</v>
      </c>
      <c r="E235">
        <v>5</v>
      </c>
      <c r="F235" t="e">
        <f>YEAR(C235)</f>
        <v>#VALUE!</v>
      </c>
      <c r="G235" t="e">
        <f>MONTH(C235)</f>
        <v>#VALUE!</v>
      </c>
      <c r="H235" t="e">
        <f>F235&amp;"-"&amp;G235</f>
        <v>#VALUE!</v>
      </c>
    </row>
    <row r="236">
      <c r="A236" t="s">
        <v>11</v>
      </c>
      <c r="B236" t="s">
        <v>204</v>
      </c>
      <c r="C236" t="s">
        <v>205</v>
      </c>
      <c r="D236">
        <v>21109</v>
      </c>
      <c r="E236">
        <v>5</v>
      </c>
      <c r="F236" t="e">
        <f>YEAR(C236)</f>
        <v>#VALUE!</v>
      </c>
      <c r="G236" t="e">
        <f>MONTH(C236)</f>
        <v>#VALUE!</v>
      </c>
      <c r="H236" t="e">
        <f>F236&amp;"-"&amp;G236</f>
        <v>#VALUE!</v>
      </c>
    </row>
    <row r="237">
      <c r="A237" t="s">
        <v>13</v>
      </c>
      <c r="B237" t="s">
        <v>175</v>
      </c>
      <c r="C237" t="s">
        <v>205</v>
      </c>
      <c r="D237">
        <v>42761</v>
      </c>
      <c r="E237">
        <v>7</v>
      </c>
      <c r="F237" t="e">
        <f>YEAR(C237)</f>
        <v>#VALUE!</v>
      </c>
      <c r="G237" t="e">
        <f>MONTH(C237)</f>
        <v>#VALUE!</v>
      </c>
      <c r="H237" t="e">
        <f>F237&amp;"-"&amp;G237</f>
        <v>#VALUE!</v>
      </c>
    </row>
    <row r="238">
      <c r="A238" t="s">
        <v>28</v>
      </c>
      <c r="B238" t="s">
        <v>207</v>
      </c>
      <c r="C238" t="s">
        <v>205</v>
      </c>
      <c r="D238">
        <v>69145</v>
      </c>
      <c r="E238">
        <v>9</v>
      </c>
      <c r="F238" t="e">
        <f>YEAR(C238)</f>
        <v>#VALUE!</v>
      </c>
      <c r="G238" t="e">
        <f>MONTH(C238)</f>
        <v>#VALUE!</v>
      </c>
      <c r="H238" t="e">
        <f>F238&amp;"-"&amp;G238</f>
        <v>#VALUE!</v>
      </c>
    </row>
    <row r="239">
      <c r="A239" t="s">
        <v>57</v>
      </c>
      <c r="B239" t="s">
        <v>196</v>
      </c>
      <c r="C239" t="s">
        <v>205</v>
      </c>
      <c r="D239">
        <v>63482</v>
      </c>
      <c r="E239">
        <v>7</v>
      </c>
      <c r="F239" t="e">
        <f>YEAR(C239)</f>
        <v>#VALUE!</v>
      </c>
      <c r="G239" t="e">
        <f>MONTH(C239)</f>
        <v>#VALUE!</v>
      </c>
      <c r="H239" t="e">
        <f>F239&amp;"-"&amp;G239</f>
        <v>#VALUE!</v>
      </c>
    </row>
    <row r="240">
      <c r="A240" t="s">
        <v>24</v>
      </c>
      <c r="B240" t="s">
        <v>83</v>
      </c>
      <c r="C240" t="s">
        <v>205</v>
      </c>
      <c r="D240">
        <v>31302</v>
      </c>
      <c r="E240">
        <v>9</v>
      </c>
      <c r="F240" t="e">
        <f>YEAR(C240)</f>
        <v>#VALUE!</v>
      </c>
      <c r="G240" t="e">
        <f>MONTH(C240)</f>
        <v>#VALUE!</v>
      </c>
      <c r="H240" t="e">
        <f>F240&amp;"-"&amp;G240</f>
        <v>#VALUE!</v>
      </c>
    </row>
    <row r="241">
      <c r="A241" t="s">
        <v>24</v>
      </c>
      <c r="B241" t="s">
        <v>128</v>
      </c>
      <c r="C241" t="s">
        <v>205</v>
      </c>
      <c r="D241">
        <v>67950</v>
      </c>
      <c r="E241">
        <v>9</v>
      </c>
      <c r="F241" t="e">
        <f>YEAR(C241)</f>
        <v>#VALUE!</v>
      </c>
      <c r="G241" t="e">
        <f>MONTH(C241)</f>
        <v>#VALUE!</v>
      </c>
      <c r="H241" t="e">
        <f>F241&amp;"-"&amp;G241</f>
        <v>#VALUE!</v>
      </c>
    </row>
    <row r="242">
      <c r="A242" t="s">
        <v>13</v>
      </c>
      <c r="B242" t="s">
        <v>208</v>
      </c>
      <c r="C242" t="s">
        <v>205</v>
      </c>
      <c r="D242">
        <v>78229</v>
      </c>
      <c r="E242">
        <v>4</v>
      </c>
      <c r="F242" t="e">
        <f>YEAR(C242)</f>
        <v>#VALUE!</v>
      </c>
      <c r="G242" t="e">
        <f>MONTH(C242)</f>
        <v>#VALUE!</v>
      </c>
      <c r="H242" t="e">
        <f>F242&amp;"-"&amp;G242</f>
        <v>#VALUE!</v>
      </c>
    </row>
    <row r="243">
      <c r="A243" t="s">
        <v>24</v>
      </c>
      <c r="B243" t="s">
        <v>209</v>
      </c>
      <c r="C243" t="s">
        <v>205</v>
      </c>
      <c r="D243">
        <v>91588</v>
      </c>
      <c r="E243">
        <v>2</v>
      </c>
      <c r="F243" t="e">
        <f>YEAR(C243)</f>
        <v>#VALUE!</v>
      </c>
      <c r="G243" t="e">
        <f>MONTH(C243)</f>
        <v>#VALUE!</v>
      </c>
      <c r="H243" t="e">
        <f>F243&amp;"-"&amp;G243</f>
        <v>#VALUE!</v>
      </c>
    </row>
    <row r="244">
      <c r="A244" t="s">
        <v>28</v>
      </c>
      <c r="B244" t="s">
        <v>177</v>
      </c>
      <c r="C244" t="s">
        <v>210</v>
      </c>
      <c r="D244">
        <v>62620</v>
      </c>
      <c r="E244">
        <v>6</v>
      </c>
      <c r="F244" t="e">
        <f>YEAR(C244)</f>
        <v>#VALUE!</v>
      </c>
      <c r="G244" t="e">
        <f>MONTH(C244)</f>
        <v>#VALUE!</v>
      </c>
      <c r="H244" t="e">
        <f>F244&amp;"-"&amp;G244</f>
        <v>#VALUE!</v>
      </c>
    </row>
    <row r="245">
      <c r="A245" t="s">
        <v>17</v>
      </c>
      <c r="B245" t="s">
        <v>211</v>
      </c>
      <c r="C245" t="s">
        <v>210</v>
      </c>
      <c r="D245">
        <v>72941</v>
      </c>
      <c r="E245">
        <v>6</v>
      </c>
      <c r="F245" t="e">
        <f>YEAR(C245)</f>
        <v>#VALUE!</v>
      </c>
      <c r="G245" t="e">
        <f>MONTH(C245)</f>
        <v>#VALUE!</v>
      </c>
      <c r="H245" t="e">
        <f>F245&amp;"-"&amp;G245</f>
        <v>#VALUE!</v>
      </c>
    </row>
    <row r="246">
      <c r="A246" t="s">
        <v>43</v>
      </c>
      <c r="B246" t="s">
        <v>158</v>
      </c>
      <c r="C246" t="s">
        <v>210</v>
      </c>
      <c r="D246">
        <v>98108</v>
      </c>
      <c r="E246">
        <v>6</v>
      </c>
      <c r="F246" t="e">
        <f>YEAR(C246)</f>
        <v>#VALUE!</v>
      </c>
      <c r="G246" t="e">
        <f>MONTH(C246)</f>
        <v>#VALUE!</v>
      </c>
      <c r="H246" t="e">
        <f>F246&amp;"-"&amp;G246</f>
        <v>#VALUE!</v>
      </c>
    </row>
    <row r="247">
      <c r="A247" t="s">
        <v>17</v>
      </c>
      <c r="B247" t="s">
        <v>212</v>
      </c>
      <c r="C247" t="s">
        <v>213</v>
      </c>
      <c r="D247">
        <v>89224</v>
      </c>
      <c r="E247">
        <v>6</v>
      </c>
      <c r="F247" t="e">
        <f>YEAR(C247)</f>
        <v>#VALUE!</v>
      </c>
      <c r="G247" t="e">
        <f>MONTH(C247)</f>
        <v>#VALUE!</v>
      </c>
      <c r="H247" t="e">
        <f>F247&amp;"-"&amp;G247</f>
        <v>#VALUE!</v>
      </c>
    </row>
    <row r="248">
      <c r="A248" t="s">
        <v>15</v>
      </c>
      <c r="B248" t="s">
        <v>151</v>
      </c>
      <c r="C248" t="s">
        <v>213</v>
      </c>
      <c r="D248">
        <v>70930</v>
      </c>
      <c r="E248">
        <v>3</v>
      </c>
      <c r="F248" t="e">
        <f>YEAR(C248)</f>
        <v>#VALUE!</v>
      </c>
      <c r="G248" t="e">
        <f>MONTH(C248)</f>
        <v>#VALUE!</v>
      </c>
      <c r="H248" t="e">
        <f>F248&amp;"-"&amp;G248</f>
        <v>#VALUE!</v>
      </c>
    </row>
    <row r="249">
      <c r="A249" t="s">
        <v>13</v>
      </c>
      <c r="B249" t="s">
        <v>211</v>
      </c>
      <c r="C249" t="s">
        <v>213</v>
      </c>
      <c r="D249">
        <v>39367</v>
      </c>
      <c r="E249">
        <v>6</v>
      </c>
      <c r="F249" t="e">
        <f>YEAR(C249)</f>
        <v>#VALUE!</v>
      </c>
      <c r="G249" t="e">
        <f>MONTH(C249)</f>
        <v>#VALUE!</v>
      </c>
      <c r="H249" t="e">
        <f>F249&amp;"-"&amp;G249</f>
        <v>#VALUE!</v>
      </c>
    </row>
    <row r="250">
      <c r="A250" t="s">
        <v>21</v>
      </c>
      <c r="B250" t="s">
        <v>214</v>
      </c>
      <c r="C250" t="s">
        <v>213</v>
      </c>
      <c r="D250">
        <v>18046</v>
      </c>
      <c r="E250">
        <v>7</v>
      </c>
      <c r="F250" t="e">
        <f>YEAR(C250)</f>
        <v>#VALUE!</v>
      </c>
      <c r="G250" t="e">
        <f>MONTH(C250)</f>
        <v>#VALUE!</v>
      </c>
      <c r="H250" t="e">
        <f>F250&amp;"-"&amp;G250</f>
        <v>#VALUE!</v>
      </c>
    </row>
    <row r="251">
      <c r="A251" t="s">
        <v>13</v>
      </c>
      <c r="B251" t="s">
        <v>215</v>
      </c>
      <c r="C251" t="s">
        <v>213</v>
      </c>
      <c r="D251">
        <v>91916</v>
      </c>
      <c r="E251">
        <v>7</v>
      </c>
      <c r="F251" t="e">
        <f>YEAR(C251)</f>
        <v>#VALUE!</v>
      </c>
      <c r="G251" t="e">
        <f>MONTH(C251)</f>
        <v>#VALUE!</v>
      </c>
      <c r="H251" t="e">
        <f>F251&amp;"-"&amp;G251</f>
        <v>#VALUE!</v>
      </c>
    </row>
    <row r="252">
      <c r="A252" t="s">
        <v>57</v>
      </c>
      <c r="B252" t="s">
        <v>14</v>
      </c>
      <c r="C252" t="s">
        <v>213</v>
      </c>
      <c r="D252">
        <v>69884</v>
      </c>
      <c r="E252">
        <v>6</v>
      </c>
      <c r="F252" t="e">
        <f>YEAR(C252)</f>
        <v>#VALUE!</v>
      </c>
      <c r="G252" t="e">
        <f>MONTH(C252)</f>
        <v>#VALUE!</v>
      </c>
      <c r="H252" t="e">
        <f>F252&amp;"-"&amp;G252</f>
        <v>#VALUE!</v>
      </c>
    </row>
    <row r="253">
      <c r="A253" t="s">
        <v>11</v>
      </c>
      <c r="B253" t="s">
        <v>184</v>
      </c>
      <c r="C253" t="s">
        <v>216</v>
      </c>
      <c r="D253">
        <v>58359</v>
      </c>
      <c r="E253">
        <v>3</v>
      </c>
      <c r="F253" t="e">
        <f>YEAR(C253)</f>
        <v>#VALUE!</v>
      </c>
      <c r="G253" t="e">
        <f>MONTH(C253)</f>
        <v>#VALUE!</v>
      </c>
      <c r="H253" t="e">
        <f>F253&amp;"-"&amp;G253</f>
        <v>#VALUE!</v>
      </c>
    </row>
    <row r="254">
      <c r="A254" t="s">
        <v>43</v>
      </c>
      <c r="B254" t="s">
        <v>44</v>
      </c>
      <c r="C254" t="s">
        <v>216</v>
      </c>
      <c r="D254">
        <v>39436</v>
      </c>
      <c r="E254">
        <v>8</v>
      </c>
      <c r="F254" t="e">
        <f>YEAR(C254)</f>
        <v>#VALUE!</v>
      </c>
      <c r="G254" t="e">
        <f>MONTH(C254)</f>
        <v>#VALUE!</v>
      </c>
      <c r="H254" t="e">
        <f>F254&amp;"-"&amp;G254</f>
        <v>#VALUE!</v>
      </c>
    </row>
    <row r="255">
      <c r="A255" t="s">
        <v>57</v>
      </c>
      <c r="B255" t="s">
        <v>217</v>
      </c>
      <c r="C255" t="s">
        <v>216</v>
      </c>
      <c r="D255">
        <v>60740</v>
      </c>
      <c r="E255">
        <v>1</v>
      </c>
      <c r="F255" t="e">
        <f>YEAR(C255)</f>
        <v>#VALUE!</v>
      </c>
      <c r="G255" t="e">
        <f>MONTH(C255)</f>
        <v>#VALUE!</v>
      </c>
      <c r="H255" t="e">
        <f>F255&amp;"-"&amp;G255</f>
        <v>#VALUE!</v>
      </c>
    </row>
    <row r="256">
      <c r="A256" t="s">
        <v>17</v>
      </c>
      <c r="B256" t="s">
        <v>149</v>
      </c>
      <c r="C256" t="s">
        <v>216</v>
      </c>
      <c r="D256">
        <v>35901</v>
      </c>
      <c r="E256">
        <v>6</v>
      </c>
      <c r="F256" t="e">
        <f>YEAR(C256)</f>
        <v>#VALUE!</v>
      </c>
      <c r="G256" t="e">
        <f>MONTH(C256)</f>
        <v>#VALUE!</v>
      </c>
      <c r="H256" t="e">
        <f>F256&amp;"-"&amp;G256</f>
        <v>#VALUE!</v>
      </c>
    </row>
    <row r="257">
      <c r="A257" t="s">
        <v>47</v>
      </c>
      <c r="B257" t="s">
        <v>218</v>
      </c>
      <c r="C257" t="s">
        <v>219</v>
      </c>
      <c r="D257">
        <v>49013</v>
      </c>
      <c r="E257">
        <v>4</v>
      </c>
      <c r="F257">
        <f>YEAR(C257)</f>
        <v>2023</v>
      </c>
      <c r="G257">
        <f>MONTH(C257)</f>
        <v>1</v>
      </c>
      <c r="H257" t="str">
        <f>F257&amp;"-"&amp;G257</f>
        <v>2023-1</v>
      </c>
    </row>
    <row r="258">
      <c r="A258" t="s">
        <v>17</v>
      </c>
      <c r="B258" t="s">
        <v>220</v>
      </c>
      <c r="C258" t="s">
        <v>221</v>
      </c>
      <c r="D258">
        <v>58326</v>
      </c>
      <c r="E258">
        <v>3</v>
      </c>
      <c r="F258">
        <f>YEAR(C258)</f>
        <v>2023</v>
      </c>
      <c r="G258">
        <f>MONTH(C258)</f>
        <v>4</v>
      </c>
      <c r="H258" t="str">
        <f>F258&amp;"-"&amp;G258</f>
        <v>2023-4</v>
      </c>
    </row>
    <row r="259">
      <c r="A259" t="s">
        <v>24</v>
      </c>
      <c r="B259" t="s">
        <v>26</v>
      </c>
      <c r="C259" t="s">
        <v>221</v>
      </c>
      <c r="D259">
        <v>68737</v>
      </c>
      <c r="E259">
        <v>10</v>
      </c>
      <c r="F259">
        <f>YEAR(C259)</f>
        <v>2023</v>
      </c>
      <c r="G259">
        <f>MONTH(C259)</f>
        <v>4</v>
      </c>
      <c r="H259" t="str">
        <f>F259&amp;"-"&amp;G259</f>
        <v>2023-4</v>
      </c>
    </row>
    <row r="260">
      <c r="A260" t="s">
        <v>47</v>
      </c>
      <c r="B260" t="s">
        <v>70</v>
      </c>
      <c r="C260" t="s">
        <v>221</v>
      </c>
      <c r="D260">
        <v>48515</v>
      </c>
      <c r="E260">
        <v>7</v>
      </c>
      <c r="F260">
        <f>YEAR(C260)</f>
        <v>2023</v>
      </c>
      <c r="G260">
        <f>MONTH(C260)</f>
        <v>4</v>
      </c>
      <c r="H260" t="str">
        <f>F260&amp;"-"&amp;G260</f>
        <v>2023-4</v>
      </c>
    </row>
    <row r="261">
      <c r="A261" t="s">
        <v>11</v>
      </c>
      <c r="B261" t="s">
        <v>69</v>
      </c>
      <c r="C261" t="s">
        <v>221</v>
      </c>
      <c r="D261">
        <v>21329</v>
      </c>
      <c r="E261">
        <v>7</v>
      </c>
      <c r="F261">
        <f>YEAR(C261)</f>
        <v>2023</v>
      </c>
      <c r="G261">
        <f>MONTH(C261)</f>
        <v>4</v>
      </c>
      <c r="H261" t="str">
        <f>F261&amp;"-"&amp;G261</f>
        <v>2023-4</v>
      </c>
    </row>
    <row r="262">
      <c r="A262" t="s">
        <v>57</v>
      </c>
      <c r="B262" t="s">
        <v>110</v>
      </c>
      <c r="C262" t="s">
        <v>221</v>
      </c>
      <c r="D262">
        <v>96414</v>
      </c>
      <c r="E262">
        <v>1</v>
      </c>
      <c r="F262">
        <f>YEAR(C262)</f>
        <v>2023</v>
      </c>
      <c r="G262">
        <f>MONTH(C262)</f>
        <v>4</v>
      </c>
      <c r="H262" t="str">
        <f>F262&amp;"-"&amp;G262</f>
        <v>2023-4</v>
      </c>
    </row>
    <row r="263">
      <c r="A263" t="s">
        <v>15</v>
      </c>
      <c r="B263" t="s">
        <v>222</v>
      </c>
      <c r="C263" t="s">
        <v>221</v>
      </c>
      <c r="D263">
        <v>12270</v>
      </c>
      <c r="E263">
        <v>2</v>
      </c>
      <c r="F263">
        <f>YEAR(C263)</f>
        <v>2023</v>
      </c>
      <c r="G263">
        <f>MONTH(C263)</f>
        <v>4</v>
      </c>
      <c r="H263" t="str">
        <f>F263&amp;"-"&amp;G263</f>
        <v>2023-4</v>
      </c>
    </row>
    <row r="264">
      <c r="A264" t="s">
        <v>24</v>
      </c>
      <c r="B264" t="s">
        <v>151</v>
      </c>
      <c r="C264" t="s">
        <v>221</v>
      </c>
      <c r="D264">
        <v>15358</v>
      </c>
      <c r="E264">
        <v>8</v>
      </c>
      <c r="F264">
        <f>YEAR(C264)</f>
        <v>2023</v>
      </c>
      <c r="G264">
        <f>MONTH(C264)</f>
        <v>4</v>
      </c>
      <c r="H264" t="str">
        <f>F264&amp;"-"&amp;G264</f>
        <v>2023-4</v>
      </c>
    </row>
    <row r="265">
      <c r="A265" t="s">
        <v>13</v>
      </c>
      <c r="B265" t="s">
        <v>223</v>
      </c>
      <c r="C265" t="s">
        <v>224</v>
      </c>
      <c r="D265">
        <v>11770</v>
      </c>
      <c r="E265">
        <v>3</v>
      </c>
      <c r="F265">
        <f>YEAR(C265)</f>
        <v>2023</v>
      </c>
      <c r="G265">
        <f>MONTH(C265)</f>
        <v>5</v>
      </c>
      <c r="H265" t="str">
        <f>F265&amp;"-"&amp;G265</f>
        <v>2023-5</v>
      </c>
    </row>
    <row r="266">
      <c r="A266" t="s">
        <v>5</v>
      </c>
      <c r="B266" t="s">
        <v>63</v>
      </c>
      <c r="C266" t="s">
        <v>224</v>
      </c>
      <c r="D266">
        <v>20243</v>
      </c>
      <c r="E266">
        <v>5</v>
      </c>
      <c r="F266">
        <f>YEAR(C266)</f>
        <v>2023</v>
      </c>
      <c r="G266">
        <f>MONTH(C266)</f>
        <v>5</v>
      </c>
      <c r="H266" t="str">
        <f>F266&amp;"-"&amp;G266</f>
        <v>2023-5</v>
      </c>
    </row>
    <row r="267">
      <c r="A267" t="s">
        <v>28</v>
      </c>
      <c r="B267" t="s">
        <v>16</v>
      </c>
      <c r="C267" t="s">
        <v>224</v>
      </c>
      <c r="D267">
        <v>21960</v>
      </c>
      <c r="E267">
        <v>2</v>
      </c>
      <c r="F267">
        <f>YEAR(C267)</f>
        <v>2023</v>
      </c>
      <c r="G267">
        <f>MONTH(C267)</f>
        <v>5</v>
      </c>
      <c r="H267" t="str">
        <f>F267&amp;"-"&amp;G267</f>
        <v>2023-5</v>
      </c>
    </row>
    <row r="268">
      <c r="A268" t="s">
        <v>15</v>
      </c>
      <c r="B268" t="s">
        <v>225</v>
      </c>
      <c r="C268" t="s">
        <v>226</v>
      </c>
      <c r="D268">
        <v>33900</v>
      </c>
      <c r="E268">
        <v>6</v>
      </c>
      <c r="F268">
        <f>YEAR(C268)</f>
        <v>2023</v>
      </c>
      <c r="G268">
        <f>MONTH(C268)</f>
        <v>6</v>
      </c>
      <c r="H268" t="str">
        <f>F268&amp;"-"&amp;G268</f>
        <v>2023-6</v>
      </c>
    </row>
    <row r="269">
      <c r="A269" t="s">
        <v>28</v>
      </c>
      <c r="B269" t="s">
        <v>227</v>
      </c>
      <c r="C269" t="s">
        <v>228</v>
      </c>
      <c r="D269">
        <v>35209</v>
      </c>
      <c r="E269">
        <v>4</v>
      </c>
      <c r="F269">
        <f>YEAR(C269)</f>
        <v>2023</v>
      </c>
      <c r="G269">
        <f>MONTH(C269)</f>
        <v>7</v>
      </c>
      <c r="H269" t="str">
        <f>F269&amp;"-"&amp;G269</f>
        <v>2023-7</v>
      </c>
    </row>
    <row r="270">
      <c r="A270" t="s">
        <v>15</v>
      </c>
      <c r="B270" t="s">
        <v>77</v>
      </c>
      <c r="C270" t="s">
        <v>229</v>
      </c>
      <c r="D270">
        <v>11387</v>
      </c>
      <c r="E270">
        <v>6</v>
      </c>
      <c r="F270">
        <f>YEAR(C270)</f>
        <v>2023</v>
      </c>
      <c r="G270">
        <f>MONTH(C270)</f>
        <v>8</v>
      </c>
      <c r="H270" t="str">
        <f>F270&amp;"-"&amp;G270</f>
        <v>2023-8</v>
      </c>
    </row>
    <row r="271">
      <c r="A271" t="s">
        <v>5</v>
      </c>
      <c r="B271" t="s">
        <v>168</v>
      </c>
      <c r="C271" t="s">
        <v>230</v>
      </c>
      <c r="D271">
        <v>90816</v>
      </c>
      <c r="E271">
        <v>10</v>
      </c>
      <c r="F271">
        <f>YEAR(C271)</f>
        <v>2023</v>
      </c>
      <c r="G271">
        <f>MONTH(C271)</f>
        <v>11</v>
      </c>
      <c r="H271" t="str">
        <f>F271&amp;"-"&amp;G271</f>
        <v>2023-11</v>
      </c>
    </row>
    <row r="272">
      <c r="A272" t="s">
        <v>8</v>
      </c>
      <c r="B272" t="s">
        <v>14</v>
      </c>
      <c r="C272" t="s">
        <v>230</v>
      </c>
      <c r="D272">
        <v>25228</v>
      </c>
      <c r="E272">
        <v>5</v>
      </c>
      <c r="F272">
        <f>YEAR(C272)</f>
        <v>2023</v>
      </c>
      <c r="G272">
        <f>MONTH(C272)</f>
        <v>11</v>
      </c>
      <c r="H272" t="str">
        <f>F272&amp;"-"&amp;G272</f>
        <v>2023-11</v>
      </c>
    </row>
    <row r="273">
      <c r="A273" t="s">
        <v>15</v>
      </c>
      <c r="B273" t="s">
        <v>231</v>
      </c>
      <c r="C273" t="s">
        <v>230</v>
      </c>
      <c r="D273">
        <v>44174</v>
      </c>
      <c r="E273">
        <v>8</v>
      </c>
      <c r="F273">
        <f>YEAR(C273)</f>
        <v>2023</v>
      </c>
      <c r="G273">
        <f>MONTH(C273)</f>
        <v>11</v>
      </c>
      <c r="H273" t="str">
        <f>F273&amp;"-"&amp;G273</f>
        <v>2023-11</v>
      </c>
    </row>
    <row r="274">
      <c r="A274" t="s">
        <v>21</v>
      </c>
      <c r="B274" t="s">
        <v>14</v>
      </c>
      <c r="C274" t="s">
        <v>230</v>
      </c>
      <c r="D274">
        <v>47705</v>
      </c>
      <c r="E274">
        <v>5</v>
      </c>
      <c r="F274">
        <f>YEAR(C274)</f>
        <v>2023</v>
      </c>
      <c r="G274">
        <f>MONTH(C274)</f>
        <v>11</v>
      </c>
      <c r="H274" t="str">
        <f>F274&amp;"-"&amp;G274</f>
        <v>2023-11</v>
      </c>
    </row>
    <row r="275">
      <c r="A275" t="s">
        <v>43</v>
      </c>
      <c r="B275" t="s">
        <v>108</v>
      </c>
      <c r="C275" t="s">
        <v>230</v>
      </c>
      <c r="D275">
        <v>95098</v>
      </c>
      <c r="E275">
        <v>5</v>
      </c>
      <c r="F275">
        <f>YEAR(C275)</f>
        <v>2023</v>
      </c>
      <c r="G275">
        <f>MONTH(C275)</f>
        <v>11</v>
      </c>
      <c r="H275" t="str">
        <f>F275&amp;"-"&amp;G275</f>
        <v>2023-11</v>
      </c>
    </row>
    <row r="276">
      <c r="A276" t="s">
        <v>47</v>
      </c>
      <c r="B276" t="s">
        <v>128</v>
      </c>
      <c r="C276" t="s">
        <v>230</v>
      </c>
      <c r="D276">
        <v>56204</v>
      </c>
      <c r="E276">
        <v>8</v>
      </c>
      <c r="F276">
        <f>YEAR(C276)</f>
        <v>2023</v>
      </c>
      <c r="G276">
        <f>MONTH(C276)</f>
        <v>11</v>
      </c>
      <c r="H276" t="str">
        <f>F276&amp;"-"&amp;G276</f>
        <v>2023-11</v>
      </c>
    </row>
    <row r="277">
      <c r="A277" t="s">
        <v>5</v>
      </c>
      <c r="B277" t="s">
        <v>49</v>
      </c>
      <c r="C277" t="s">
        <v>230</v>
      </c>
      <c r="D277">
        <v>33722</v>
      </c>
      <c r="E277">
        <v>2</v>
      </c>
      <c r="F277">
        <f>YEAR(C277)</f>
        <v>2023</v>
      </c>
      <c r="G277">
        <f>MONTH(C277)</f>
        <v>11</v>
      </c>
      <c r="H277" t="str">
        <f>F277&amp;"-"&amp;G277</f>
        <v>2023-11</v>
      </c>
    </row>
    <row r="278">
      <c r="A278" t="s">
        <v>15</v>
      </c>
      <c r="B278" t="s">
        <v>178</v>
      </c>
      <c r="C278" t="s">
        <v>232</v>
      </c>
      <c r="D278">
        <v>51570</v>
      </c>
      <c r="E278">
        <v>6</v>
      </c>
      <c r="F278">
        <f>YEAR(C278)</f>
        <v>2023</v>
      </c>
      <c r="G278">
        <f>MONTH(C278)</f>
        <v>12</v>
      </c>
      <c r="H278" t="str">
        <f>F278&amp;"-"&amp;G278</f>
        <v>2023-12</v>
      </c>
    </row>
    <row r="279">
      <c r="A279" t="s">
        <v>57</v>
      </c>
      <c r="B279" t="s">
        <v>71</v>
      </c>
      <c r="C279" t="s">
        <v>232</v>
      </c>
      <c r="D279">
        <v>65207</v>
      </c>
      <c r="E279">
        <v>9</v>
      </c>
      <c r="F279">
        <f>YEAR(C279)</f>
        <v>2023</v>
      </c>
      <c r="G279">
        <f>MONTH(C279)</f>
        <v>12</v>
      </c>
      <c r="H279" t="str">
        <f>F279&amp;"-"&amp;G279</f>
        <v>2023-12</v>
      </c>
    </row>
    <row r="280">
      <c r="A280" t="s">
        <v>47</v>
      </c>
      <c r="B280" t="s">
        <v>209</v>
      </c>
      <c r="C280" t="s">
        <v>232</v>
      </c>
      <c r="D280">
        <v>75387</v>
      </c>
      <c r="E280">
        <v>4</v>
      </c>
      <c r="F280">
        <f>YEAR(C280)</f>
        <v>2023</v>
      </c>
      <c r="G280">
        <f>MONTH(C280)</f>
        <v>12</v>
      </c>
      <c r="H280" t="str">
        <f>F280&amp;"-"&amp;G280</f>
        <v>2023-12</v>
      </c>
    </row>
    <row r="281">
      <c r="A281" t="s">
        <v>5</v>
      </c>
      <c r="B281" t="s">
        <v>217</v>
      </c>
      <c r="C281" t="s">
        <v>233</v>
      </c>
      <c r="D281">
        <v>58377</v>
      </c>
      <c r="E281">
        <v>4</v>
      </c>
      <c r="F281" t="e">
        <f>YEAR(C281)</f>
        <v>#VALUE!</v>
      </c>
      <c r="G281" t="e">
        <f>MONTH(C281)</f>
        <v>#VALUE!</v>
      </c>
      <c r="H281" t="e">
        <f>F281&amp;"-"&amp;G281</f>
        <v>#VALUE!</v>
      </c>
    </row>
    <row r="282">
      <c r="A282" t="s">
        <v>24</v>
      </c>
      <c r="B282" t="s">
        <v>160</v>
      </c>
      <c r="C282" t="s">
        <v>233</v>
      </c>
      <c r="D282">
        <v>85241</v>
      </c>
      <c r="E282">
        <v>5</v>
      </c>
      <c r="F282" t="e">
        <f>YEAR(C282)</f>
        <v>#VALUE!</v>
      </c>
      <c r="G282" t="e">
        <f>MONTH(C282)</f>
        <v>#VALUE!</v>
      </c>
      <c r="H282" t="e">
        <f>F282&amp;"-"&amp;G282</f>
        <v>#VALUE!</v>
      </c>
    </row>
    <row r="283">
      <c r="A283" t="s">
        <v>15</v>
      </c>
      <c r="B283" t="s">
        <v>117</v>
      </c>
      <c r="C283" t="s">
        <v>233</v>
      </c>
      <c r="D283">
        <v>85747</v>
      </c>
      <c r="E283">
        <v>6</v>
      </c>
      <c r="F283" t="e">
        <f>YEAR(C283)</f>
        <v>#VALUE!</v>
      </c>
      <c r="G283" t="e">
        <f>MONTH(C283)</f>
        <v>#VALUE!</v>
      </c>
      <c r="H283" t="e">
        <f>F283&amp;"-"&amp;G283</f>
        <v>#VALUE!</v>
      </c>
    </row>
    <row r="284">
      <c r="A284" t="s">
        <v>8</v>
      </c>
      <c r="B284" t="s">
        <v>234</v>
      </c>
      <c r="C284" t="s">
        <v>235</v>
      </c>
      <c r="D284">
        <v>98885</v>
      </c>
      <c r="E284">
        <v>9</v>
      </c>
      <c r="F284" t="e">
        <f>YEAR(C284)</f>
        <v>#VALUE!</v>
      </c>
      <c r="G284" t="e">
        <f>MONTH(C284)</f>
        <v>#VALUE!</v>
      </c>
      <c r="H284" t="e">
        <f>F284&amp;"-"&amp;G284</f>
        <v>#VALUE!</v>
      </c>
    </row>
    <row r="285">
      <c r="A285" t="s">
        <v>43</v>
      </c>
      <c r="B285" t="s">
        <v>89</v>
      </c>
      <c r="C285" t="s">
        <v>235</v>
      </c>
      <c r="D285">
        <v>62705</v>
      </c>
      <c r="E285">
        <v>6</v>
      </c>
      <c r="F285" t="e">
        <f>YEAR(C285)</f>
        <v>#VALUE!</v>
      </c>
      <c r="G285" t="e">
        <f>MONTH(C285)</f>
        <v>#VALUE!</v>
      </c>
      <c r="H285" t="e">
        <f>F285&amp;"-"&amp;G285</f>
        <v>#VALUE!</v>
      </c>
    </row>
    <row r="286">
      <c r="A286" t="s">
        <v>8</v>
      </c>
      <c r="B286" t="s">
        <v>222</v>
      </c>
      <c r="C286" t="s">
        <v>236</v>
      </c>
      <c r="D286">
        <v>35591</v>
      </c>
      <c r="E286">
        <v>2</v>
      </c>
      <c r="F286" t="e">
        <f>YEAR(C286)</f>
        <v>#VALUE!</v>
      </c>
      <c r="G286" t="e">
        <f>MONTH(C286)</f>
        <v>#VALUE!</v>
      </c>
      <c r="H286" t="e">
        <f>F286&amp;"-"&amp;G286</f>
        <v>#VALUE!</v>
      </c>
    </row>
    <row r="287">
      <c r="A287" t="s">
        <v>11</v>
      </c>
      <c r="B287" t="s">
        <v>197</v>
      </c>
      <c r="C287" t="s">
        <v>236</v>
      </c>
      <c r="D287">
        <v>78548</v>
      </c>
      <c r="E287">
        <v>6</v>
      </c>
      <c r="F287" t="e">
        <f>YEAR(C287)</f>
        <v>#VALUE!</v>
      </c>
      <c r="G287" t="e">
        <f>MONTH(C287)</f>
        <v>#VALUE!</v>
      </c>
      <c r="H287" t="e">
        <f>F287&amp;"-"&amp;G287</f>
        <v>#VALUE!</v>
      </c>
    </row>
    <row r="288">
      <c r="A288" t="s">
        <v>8</v>
      </c>
      <c r="B288" t="s">
        <v>77</v>
      </c>
      <c r="C288" t="s">
        <v>236</v>
      </c>
      <c r="D288">
        <v>79454</v>
      </c>
      <c r="E288">
        <v>6</v>
      </c>
      <c r="F288" t="e">
        <f>YEAR(C288)</f>
        <v>#VALUE!</v>
      </c>
      <c r="G288" t="e">
        <f>MONTH(C288)</f>
        <v>#VALUE!</v>
      </c>
      <c r="H288" t="e">
        <f>F288&amp;"-"&amp;G288</f>
        <v>#VALUE!</v>
      </c>
    </row>
    <row r="289">
      <c r="A289" t="s">
        <v>57</v>
      </c>
      <c r="B289" t="s">
        <v>237</v>
      </c>
      <c r="C289" t="s">
        <v>238</v>
      </c>
      <c r="D289">
        <v>61956</v>
      </c>
      <c r="E289">
        <v>9</v>
      </c>
      <c r="F289" t="e">
        <f>YEAR(C289)</f>
        <v>#VALUE!</v>
      </c>
      <c r="G289" t="e">
        <f>MONTH(C289)</f>
        <v>#VALUE!</v>
      </c>
      <c r="H289" t="e">
        <f>F289&amp;"-"&amp;G289</f>
        <v>#VALUE!</v>
      </c>
    </row>
    <row r="290">
      <c r="A290" t="s">
        <v>47</v>
      </c>
      <c r="B290" t="s">
        <v>239</v>
      </c>
      <c r="C290" t="s">
        <v>238</v>
      </c>
      <c r="D290">
        <v>28357</v>
      </c>
      <c r="E290">
        <v>7</v>
      </c>
      <c r="F290" t="e">
        <f>YEAR(C290)</f>
        <v>#VALUE!</v>
      </c>
      <c r="G290" t="e">
        <f>MONTH(C290)</f>
        <v>#VALUE!</v>
      </c>
      <c r="H290" t="e">
        <f>F290&amp;"-"&amp;G290</f>
        <v>#VALUE!</v>
      </c>
    </row>
    <row r="291">
      <c r="A291" t="s">
        <v>43</v>
      </c>
      <c r="B291" t="s">
        <v>211</v>
      </c>
      <c r="C291" t="s">
        <v>238</v>
      </c>
      <c r="D291">
        <v>88234</v>
      </c>
      <c r="E291">
        <v>1</v>
      </c>
      <c r="F291" t="e">
        <f>YEAR(C291)</f>
        <v>#VALUE!</v>
      </c>
      <c r="G291" t="e">
        <f>MONTH(C291)</f>
        <v>#VALUE!</v>
      </c>
      <c r="H291" t="e">
        <f>F291&amp;"-"&amp;G291</f>
        <v>#VALUE!</v>
      </c>
    </row>
    <row r="292">
      <c r="A292" t="s">
        <v>13</v>
      </c>
      <c r="B292" t="s">
        <v>161</v>
      </c>
      <c r="C292" t="s">
        <v>238</v>
      </c>
      <c r="D292">
        <v>27625</v>
      </c>
      <c r="E292">
        <v>9</v>
      </c>
      <c r="F292" t="e">
        <f>YEAR(C292)</f>
        <v>#VALUE!</v>
      </c>
      <c r="G292" t="e">
        <f>MONTH(C292)</f>
        <v>#VALUE!</v>
      </c>
      <c r="H292" t="e">
        <f>F292&amp;"-"&amp;G292</f>
        <v>#VALUE!</v>
      </c>
    </row>
    <row r="293">
      <c r="A293" t="s">
        <v>28</v>
      </c>
      <c r="B293" t="s">
        <v>49</v>
      </c>
      <c r="C293" t="s">
        <v>238</v>
      </c>
      <c r="D293">
        <v>67225</v>
      </c>
      <c r="E293">
        <v>7</v>
      </c>
      <c r="F293" t="e">
        <f>YEAR(C293)</f>
        <v>#VALUE!</v>
      </c>
      <c r="G293" t="e">
        <f>MONTH(C293)</f>
        <v>#VALUE!</v>
      </c>
      <c r="H293" t="e">
        <f>F293&amp;"-"&amp;G293</f>
        <v>#VALUE!</v>
      </c>
    </row>
    <row r="294">
      <c r="A294" t="s">
        <v>17</v>
      </c>
      <c r="B294" t="s">
        <v>99</v>
      </c>
      <c r="C294" t="s">
        <v>238</v>
      </c>
      <c r="D294">
        <v>18420</v>
      </c>
      <c r="E294">
        <v>7</v>
      </c>
      <c r="F294" t="e">
        <f>YEAR(C294)</f>
        <v>#VALUE!</v>
      </c>
      <c r="G294" t="e">
        <f>MONTH(C294)</f>
        <v>#VALUE!</v>
      </c>
      <c r="H294" t="e">
        <f>F294&amp;"-"&amp;G294</f>
        <v>#VALUE!</v>
      </c>
    </row>
    <row r="295">
      <c r="A295" t="s">
        <v>28</v>
      </c>
      <c r="B295" t="s">
        <v>240</v>
      </c>
      <c r="C295" t="s">
        <v>238</v>
      </c>
      <c r="D295">
        <v>58687</v>
      </c>
      <c r="E295">
        <v>7</v>
      </c>
      <c r="F295" t="e">
        <f>YEAR(C295)</f>
        <v>#VALUE!</v>
      </c>
      <c r="G295" t="e">
        <f>MONTH(C295)</f>
        <v>#VALUE!</v>
      </c>
      <c r="H295" t="e">
        <f>F295&amp;"-"&amp;G295</f>
        <v>#VALUE!</v>
      </c>
    </row>
    <row r="296">
      <c r="A296" t="s">
        <v>43</v>
      </c>
      <c r="B296" t="s">
        <v>20</v>
      </c>
      <c r="C296" t="s">
        <v>238</v>
      </c>
      <c r="D296">
        <v>59288</v>
      </c>
      <c r="E296">
        <v>7</v>
      </c>
      <c r="F296" t="e">
        <f>YEAR(C296)</f>
        <v>#VALUE!</v>
      </c>
      <c r="G296" t="e">
        <f>MONTH(C296)</f>
        <v>#VALUE!</v>
      </c>
      <c r="H296" t="e">
        <f>F296&amp;"-"&amp;G296</f>
        <v>#VALUE!</v>
      </c>
    </row>
    <row r="297">
      <c r="A297" t="s">
        <v>5</v>
      </c>
      <c r="B297" t="s">
        <v>9</v>
      </c>
      <c r="C297" t="s">
        <v>238</v>
      </c>
      <c r="D297">
        <v>74906</v>
      </c>
      <c r="E297">
        <v>3</v>
      </c>
      <c r="F297" t="e">
        <f>YEAR(C297)</f>
        <v>#VALUE!</v>
      </c>
      <c r="G297" t="e">
        <f>MONTH(C297)</f>
        <v>#VALUE!</v>
      </c>
      <c r="H297" t="e">
        <f>F297&amp;"-"&amp;G297</f>
        <v>#VALUE!</v>
      </c>
    </row>
    <row r="298">
      <c r="A298" t="s">
        <v>21</v>
      </c>
      <c r="B298" t="s">
        <v>44</v>
      </c>
      <c r="C298" t="s">
        <v>238</v>
      </c>
      <c r="D298">
        <v>53252</v>
      </c>
      <c r="E298">
        <v>7</v>
      </c>
      <c r="F298" t="e">
        <f>YEAR(C298)</f>
        <v>#VALUE!</v>
      </c>
      <c r="G298" t="e">
        <f>MONTH(C298)</f>
        <v>#VALUE!</v>
      </c>
      <c r="H298" t="e">
        <f>F298&amp;"-"&amp;G298</f>
        <v>#VALUE!</v>
      </c>
    </row>
    <row r="299">
      <c r="A299" t="s">
        <v>13</v>
      </c>
      <c r="B299" t="s">
        <v>44</v>
      </c>
      <c r="C299" t="s">
        <v>238</v>
      </c>
      <c r="D299">
        <v>53120</v>
      </c>
      <c r="E299">
        <v>6</v>
      </c>
      <c r="F299" t="e">
        <f>YEAR(C299)</f>
        <v>#VALUE!</v>
      </c>
      <c r="G299" t="e">
        <f>MONTH(C299)</f>
        <v>#VALUE!</v>
      </c>
      <c r="H299" t="e">
        <f>F299&amp;"-"&amp;G299</f>
        <v>#VALUE!</v>
      </c>
    </row>
    <row r="300">
      <c r="A300" t="s">
        <v>15</v>
      </c>
      <c r="B300" t="s">
        <v>241</v>
      </c>
      <c r="C300" t="s">
        <v>238</v>
      </c>
      <c r="D300">
        <v>61787</v>
      </c>
      <c r="E300">
        <v>7</v>
      </c>
      <c r="F300" t="e">
        <f>YEAR(C300)</f>
        <v>#VALUE!</v>
      </c>
      <c r="G300" t="e">
        <f>MONTH(C300)</f>
        <v>#VALUE!</v>
      </c>
      <c r="H300" t="e">
        <f>F300&amp;"-"&amp;G300</f>
        <v>#VALUE!</v>
      </c>
    </row>
    <row r="301">
      <c r="A301" t="s">
        <v>15</v>
      </c>
      <c r="B301" t="s">
        <v>38</v>
      </c>
      <c r="C301" t="s">
        <v>242</v>
      </c>
      <c r="D301">
        <v>53462</v>
      </c>
      <c r="E301">
        <v>3</v>
      </c>
      <c r="F301" t="e">
        <f>YEAR(C301)</f>
        <v>#VALUE!</v>
      </c>
      <c r="G301" t="e">
        <f>MONTH(C301)</f>
        <v>#VALUE!</v>
      </c>
      <c r="H301" t="e">
        <f>F301&amp;"-"&amp;G301</f>
        <v>#VALUE!</v>
      </c>
    </row>
    <row r="302">
      <c r="A302" t="s">
        <v>11</v>
      </c>
      <c r="B302" t="s">
        <v>48</v>
      </c>
      <c r="C302" t="s">
        <v>242</v>
      </c>
      <c r="D302">
        <v>15385</v>
      </c>
      <c r="E302">
        <v>6</v>
      </c>
      <c r="F302" t="e">
        <f>YEAR(C302)</f>
        <v>#VALUE!</v>
      </c>
      <c r="G302" t="e">
        <f>MONTH(C302)</f>
        <v>#VALUE!</v>
      </c>
      <c r="H302" t="e">
        <f>F302&amp;"-"&amp;G302</f>
        <v>#VALUE!</v>
      </c>
    </row>
    <row r="303">
      <c r="A303" t="s">
        <v>11</v>
      </c>
      <c r="B303" t="s">
        <v>243</v>
      </c>
      <c r="C303" t="s">
        <v>244</v>
      </c>
      <c r="D303">
        <v>75650</v>
      </c>
      <c r="E303">
        <v>8</v>
      </c>
      <c r="F303" t="e">
        <f>YEAR(C303)</f>
        <v>#VALUE!</v>
      </c>
      <c r="G303" t="e">
        <f>MONTH(C303)</f>
        <v>#VALUE!</v>
      </c>
      <c r="H303" t="e">
        <f>F303&amp;"-"&amp;G303</f>
        <v>#VALUE!</v>
      </c>
    </row>
    <row r="304">
      <c r="A304" t="s">
        <v>57</v>
      </c>
      <c r="B304" t="s">
        <v>42</v>
      </c>
      <c r="C304" t="s">
        <v>244</v>
      </c>
      <c r="D304">
        <v>71081</v>
      </c>
      <c r="E304">
        <v>5</v>
      </c>
      <c r="F304" t="e">
        <f>YEAR(C304)</f>
        <v>#VALUE!</v>
      </c>
      <c r="G304" t="e">
        <f>MONTH(C304)</f>
        <v>#VALUE!</v>
      </c>
      <c r="H304" t="e">
        <f>F304&amp;"-"&amp;G304</f>
        <v>#VALUE!</v>
      </c>
    </row>
    <row r="305">
      <c r="A305" t="s">
        <v>15</v>
      </c>
      <c r="B305" t="s">
        <v>69</v>
      </c>
      <c r="C305" t="s">
        <v>245</v>
      </c>
      <c r="D305">
        <v>76084</v>
      </c>
      <c r="E305">
        <v>2</v>
      </c>
      <c r="F305" t="e">
        <f>YEAR(C305)</f>
        <v>#VALUE!</v>
      </c>
      <c r="G305" t="e">
        <f>MONTH(C305)</f>
        <v>#VALUE!</v>
      </c>
      <c r="H305" t="e">
        <f>F305&amp;"-"&amp;G305</f>
        <v>#VALUE!</v>
      </c>
    </row>
    <row r="306">
      <c r="A306" t="s">
        <v>15</v>
      </c>
      <c r="B306" t="s">
        <v>60</v>
      </c>
      <c r="C306" t="s">
        <v>245</v>
      </c>
      <c r="D306">
        <v>24325</v>
      </c>
      <c r="E306">
        <v>6</v>
      </c>
      <c r="F306" t="e">
        <f>YEAR(C306)</f>
        <v>#VALUE!</v>
      </c>
      <c r="G306" t="e">
        <f>MONTH(C306)</f>
        <v>#VALUE!</v>
      </c>
      <c r="H306" t="e">
        <f>F306&amp;"-"&amp;G306</f>
        <v>#VALUE!</v>
      </c>
    </row>
    <row r="307">
      <c r="A307" t="s">
        <v>47</v>
      </c>
      <c r="B307" t="s">
        <v>215</v>
      </c>
      <c r="C307" t="s">
        <v>245</v>
      </c>
      <c r="D307">
        <v>21122</v>
      </c>
      <c r="E307">
        <v>7</v>
      </c>
      <c r="F307" t="e">
        <f>YEAR(C307)</f>
        <v>#VALUE!</v>
      </c>
      <c r="G307" t="e">
        <f>MONTH(C307)</f>
        <v>#VALUE!</v>
      </c>
      <c r="H307" t="e">
        <f>F307&amp;"-"&amp;G307</f>
        <v>#VALUE!</v>
      </c>
    </row>
    <row r="308">
      <c r="A308" t="s">
        <v>15</v>
      </c>
      <c r="B308" t="s">
        <v>246</v>
      </c>
      <c r="C308" t="s">
        <v>245</v>
      </c>
      <c r="D308">
        <v>66674</v>
      </c>
      <c r="E308">
        <v>4</v>
      </c>
      <c r="F308" t="e">
        <f>YEAR(C308)</f>
        <v>#VALUE!</v>
      </c>
      <c r="G308" t="e">
        <f>MONTH(C308)</f>
        <v>#VALUE!</v>
      </c>
      <c r="H308" t="e">
        <f>F308&amp;"-"&amp;G308</f>
        <v>#VALUE!</v>
      </c>
    </row>
    <row r="309">
      <c r="A309" t="s">
        <v>11</v>
      </c>
      <c r="B309" t="s">
        <v>217</v>
      </c>
      <c r="C309" t="s">
        <v>245</v>
      </c>
      <c r="D309">
        <v>45060</v>
      </c>
      <c r="E309">
        <v>3</v>
      </c>
      <c r="F309" t="e">
        <f>YEAR(C309)</f>
        <v>#VALUE!</v>
      </c>
      <c r="G309" t="e">
        <f>MONTH(C309)</f>
        <v>#VALUE!</v>
      </c>
      <c r="H309" t="e">
        <f>F309&amp;"-"&amp;G309</f>
        <v>#VALUE!</v>
      </c>
    </row>
    <row r="310">
      <c r="A310" t="s">
        <v>15</v>
      </c>
      <c r="B310" t="s">
        <v>67</v>
      </c>
      <c r="C310" t="s">
        <v>247</v>
      </c>
      <c r="D310">
        <v>91050</v>
      </c>
      <c r="E310">
        <v>5</v>
      </c>
      <c r="F310" t="e">
        <f>YEAR(C310)</f>
        <v>#VALUE!</v>
      </c>
      <c r="G310" t="e">
        <f>MONTH(C310)</f>
        <v>#VALUE!</v>
      </c>
      <c r="H310" t="e">
        <f>F310&amp;"-"&amp;G310</f>
        <v>#VALUE!</v>
      </c>
    </row>
    <row r="311">
      <c r="A311" t="s">
        <v>47</v>
      </c>
      <c r="B311" t="s">
        <v>100</v>
      </c>
      <c r="C311" t="s">
        <v>247</v>
      </c>
      <c r="D311">
        <v>91848</v>
      </c>
      <c r="E311">
        <v>7</v>
      </c>
      <c r="F311" t="e">
        <f>YEAR(C311)</f>
        <v>#VALUE!</v>
      </c>
      <c r="G311" t="e">
        <f>MONTH(C311)</f>
        <v>#VALUE!</v>
      </c>
      <c r="H311" t="e">
        <f>F311&amp;"-"&amp;G311</f>
        <v>#VALUE!</v>
      </c>
    </row>
    <row r="312">
      <c r="A312" t="s">
        <v>28</v>
      </c>
      <c r="B312" t="s">
        <v>248</v>
      </c>
      <c r="C312" t="s">
        <v>247</v>
      </c>
      <c r="D312">
        <v>44528</v>
      </c>
      <c r="E312">
        <v>6</v>
      </c>
      <c r="F312" t="e">
        <f>YEAR(C312)</f>
        <v>#VALUE!</v>
      </c>
      <c r="G312" t="e">
        <f>MONTH(C312)</f>
        <v>#VALUE!</v>
      </c>
      <c r="H312" t="e">
        <f>F312&amp;"-"&amp;G312</f>
        <v>#VALUE!</v>
      </c>
    </row>
    <row r="313">
      <c r="A313" t="s">
        <v>17</v>
      </c>
      <c r="B313" t="s">
        <v>103</v>
      </c>
      <c r="C313" t="s">
        <v>249</v>
      </c>
      <c r="D313">
        <v>35025</v>
      </c>
      <c r="E313">
        <v>7</v>
      </c>
      <c r="F313" t="e">
        <f>YEAR(C313)</f>
        <v>#VALUE!</v>
      </c>
      <c r="G313" t="e">
        <f>MONTH(C313)</f>
        <v>#VALUE!</v>
      </c>
      <c r="H313" t="e">
        <f>F313&amp;"-"&amp;G313</f>
        <v>#VALUE!</v>
      </c>
    </row>
    <row r="314">
      <c r="A314" t="s">
        <v>8</v>
      </c>
      <c r="B314" t="s">
        <v>250</v>
      </c>
      <c r="C314" t="s">
        <v>249</v>
      </c>
      <c r="D314">
        <v>63858</v>
      </c>
      <c r="E314">
        <v>7</v>
      </c>
      <c r="F314" t="e">
        <f>YEAR(C314)</f>
        <v>#VALUE!</v>
      </c>
      <c r="G314" t="e">
        <f>MONTH(C314)</f>
        <v>#VALUE!</v>
      </c>
      <c r="H314" t="e">
        <f>F314&amp;"-"&amp;G314</f>
        <v>#VALUE!</v>
      </c>
    </row>
    <row r="315">
      <c r="A315" t="s">
        <v>43</v>
      </c>
      <c r="B315" t="s">
        <v>35</v>
      </c>
      <c r="C315" t="s">
        <v>249</v>
      </c>
      <c r="D315">
        <v>10401</v>
      </c>
      <c r="E315">
        <v>5</v>
      </c>
      <c r="F315" t="e">
        <f>YEAR(C315)</f>
        <v>#VALUE!</v>
      </c>
      <c r="G315" t="e">
        <f>MONTH(C315)</f>
        <v>#VALUE!</v>
      </c>
      <c r="H315" t="e">
        <f>F315&amp;"-"&amp;G315</f>
        <v>#VALUE!</v>
      </c>
    </row>
    <row r="316">
      <c r="A316" t="s">
        <v>11</v>
      </c>
      <c r="B316" t="s">
        <v>119</v>
      </c>
      <c r="C316" t="s">
        <v>249</v>
      </c>
      <c r="D316">
        <v>16984</v>
      </c>
      <c r="E316">
        <v>7</v>
      </c>
      <c r="F316" t="e">
        <f>YEAR(C316)</f>
        <v>#VALUE!</v>
      </c>
      <c r="G316" t="e">
        <f>MONTH(C316)</f>
        <v>#VALUE!</v>
      </c>
      <c r="H316" t="e">
        <f>F316&amp;"-"&amp;G316</f>
        <v>#VALUE!</v>
      </c>
    </row>
    <row r="317">
      <c r="A317" t="s">
        <v>43</v>
      </c>
      <c r="B317" t="s">
        <v>222</v>
      </c>
      <c r="C317" t="s">
        <v>249</v>
      </c>
      <c r="D317">
        <v>88198</v>
      </c>
      <c r="E317">
        <v>6</v>
      </c>
      <c r="F317" t="e">
        <f>YEAR(C317)</f>
        <v>#VALUE!</v>
      </c>
      <c r="G317" t="e">
        <f>MONTH(C317)</f>
        <v>#VALUE!</v>
      </c>
      <c r="H317" t="e">
        <f>F317&amp;"-"&amp;G317</f>
        <v>#VALUE!</v>
      </c>
    </row>
    <row r="318">
      <c r="A318" t="s">
        <v>47</v>
      </c>
      <c r="B318" t="s">
        <v>79</v>
      </c>
      <c r="C318" t="s">
        <v>249</v>
      </c>
      <c r="D318">
        <v>26904</v>
      </c>
      <c r="E318">
        <v>9</v>
      </c>
      <c r="F318" t="e">
        <f>YEAR(C318)</f>
        <v>#VALUE!</v>
      </c>
      <c r="G318" t="e">
        <f>MONTH(C318)</f>
        <v>#VALUE!</v>
      </c>
      <c r="H318" t="e">
        <f>F318&amp;"-"&amp;G318</f>
        <v>#VALUE!</v>
      </c>
    </row>
    <row r="319">
      <c r="A319" t="s">
        <v>17</v>
      </c>
      <c r="B319" t="s">
        <v>108</v>
      </c>
      <c r="C319" t="s">
        <v>251</v>
      </c>
      <c r="D319">
        <v>94378</v>
      </c>
      <c r="E319">
        <v>2</v>
      </c>
      <c r="F319" t="e">
        <f>YEAR(C319)</f>
        <v>#VALUE!</v>
      </c>
      <c r="G319" t="e">
        <f>MONTH(C319)</f>
        <v>#VALUE!</v>
      </c>
      <c r="H319" t="e">
        <f>F319&amp;"-"&amp;G319</f>
        <v>#VALUE!</v>
      </c>
    </row>
    <row r="320">
      <c r="A320" t="s">
        <v>21</v>
      </c>
      <c r="B320" t="s">
        <v>113</v>
      </c>
      <c r="C320" t="s">
        <v>251</v>
      </c>
      <c r="D320">
        <v>50929</v>
      </c>
      <c r="E320">
        <v>6</v>
      </c>
      <c r="F320" t="e">
        <f>YEAR(C320)</f>
        <v>#VALUE!</v>
      </c>
      <c r="G320" t="e">
        <f>MONTH(C320)</f>
        <v>#VALUE!</v>
      </c>
      <c r="H320" t="e">
        <f>F320&amp;"-"&amp;G320</f>
        <v>#VALUE!</v>
      </c>
    </row>
    <row r="321">
      <c r="A321" t="s">
        <v>13</v>
      </c>
      <c r="B321" t="s">
        <v>252</v>
      </c>
      <c r="C321" t="s">
        <v>253</v>
      </c>
      <c r="D321">
        <v>34405</v>
      </c>
      <c r="E321">
        <v>8</v>
      </c>
      <c r="F321" t="e">
        <f>YEAR(C321)</f>
        <v>#VALUE!</v>
      </c>
      <c r="G321" t="e">
        <f>MONTH(C321)</f>
        <v>#VALUE!</v>
      </c>
      <c r="H321" t="e">
        <f>F321&amp;"-"&amp;G321</f>
        <v>#VALUE!</v>
      </c>
    </row>
    <row r="322">
      <c r="A322" t="s">
        <v>57</v>
      </c>
      <c r="B322" t="s">
        <v>254</v>
      </c>
      <c r="C322" t="s">
        <v>253</v>
      </c>
      <c r="D322">
        <v>50835</v>
      </c>
      <c r="E322">
        <v>8</v>
      </c>
      <c r="F322" t="e">
        <f>YEAR(C322)</f>
        <v>#VALUE!</v>
      </c>
      <c r="G322" t="e">
        <f>MONTH(C322)</f>
        <v>#VALUE!</v>
      </c>
      <c r="H322" t="e">
        <f>F322&amp;"-"&amp;G322</f>
        <v>#VALUE!</v>
      </c>
    </row>
    <row r="323">
      <c r="A323" t="s">
        <v>13</v>
      </c>
      <c r="B323" t="s">
        <v>106</v>
      </c>
      <c r="C323" t="s">
        <v>253</v>
      </c>
      <c r="D323">
        <v>82426</v>
      </c>
      <c r="E323">
        <v>7</v>
      </c>
      <c r="F323" t="e">
        <f>YEAR(C323)</f>
        <v>#VALUE!</v>
      </c>
      <c r="G323" t="e">
        <f>MONTH(C323)</f>
        <v>#VALUE!</v>
      </c>
      <c r="H323" t="e">
        <f>F323&amp;"-"&amp;G323</f>
        <v>#VALUE!</v>
      </c>
    </row>
    <row r="324">
      <c r="A324" t="s">
        <v>11</v>
      </c>
      <c r="B324" t="s">
        <v>255</v>
      </c>
      <c r="C324" t="s">
        <v>253</v>
      </c>
      <c r="D324">
        <v>63365</v>
      </c>
      <c r="E324">
        <v>0</v>
      </c>
      <c r="F324" t="e">
        <f>YEAR(C324)</f>
        <v>#VALUE!</v>
      </c>
      <c r="G324" t="e">
        <f>MONTH(C324)</f>
        <v>#VALUE!</v>
      </c>
      <c r="H324" t="e">
        <f>F324&amp;"-"&amp;G324</f>
        <v>#VALUE!</v>
      </c>
    </row>
    <row r="325">
      <c r="A325" t="s">
        <v>43</v>
      </c>
      <c r="B325" t="s">
        <v>160</v>
      </c>
      <c r="C325" t="s">
        <v>253</v>
      </c>
      <c r="D325">
        <v>39197</v>
      </c>
      <c r="E325">
        <v>10</v>
      </c>
      <c r="F325" t="e">
        <f>YEAR(C325)</f>
        <v>#VALUE!</v>
      </c>
      <c r="G325" t="e">
        <f>MONTH(C325)</f>
        <v>#VALUE!</v>
      </c>
      <c r="H325" t="e">
        <f>F325&amp;"-"&amp;G325</f>
        <v>#VALUE!</v>
      </c>
    </row>
    <row r="326">
      <c r="A326" t="s">
        <v>5</v>
      </c>
      <c r="B326" t="s">
        <v>256</v>
      </c>
      <c r="C326" t="s">
        <v>253</v>
      </c>
      <c r="D326">
        <v>24438</v>
      </c>
      <c r="E326">
        <v>1</v>
      </c>
      <c r="F326" t="e">
        <f>YEAR(C326)</f>
        <v>#VALUE!</v>
      </c>
      <c r="G326" t="e">
        <f>MONTH(C326)</f>
        <v>#VALUE!</v>
      </c>
      <c r="H326" t="e">
        <f>F326&amp;"-"&amp;G326</f>
        <v>#VALUE!</v>
      </c>
    </row>
    <row r="327">
      <c r="A327" t="s">
        <v>8</v>
      </c>
      <c r="B327" t="s">
        <v>257</v>
      </c>
      <c r="C327" t="s">
        <v>253</v>
      </c>
      <c r="D327">
        <v>49753</v>
      </c>
      <c r="E327">
        <v>7</v>
      </c>
      <c r="F327" t="e">
        <f>YEAR(C327)</f>
        <v>#VALUE!</v>
      </c>
      <c r="G327" t="e">
        <f>MONTH(C327)</f>
        <v>#VALUE!</v>
      </c>
      <c r="H327" t="e">
        <f>F327&amp;"-"&amp;G327</f>
        <v>#VALUE!</v>
      </c>
    </row>
    <row r="328">
      <c r="A328" t="s">
        <v>43</v>
      </c>
      <c r="B328" t="s">
        <v>258</v>
      </c>
      <c r="C328" t="s">
        <v>259</v>
      </c>
      <c r="D328">
        <v>34098</v>
      </c>
      <c r="E328">
        <v>7</v>
      </c>
      <c r="F328" t="e">
        <f>YEAR(C328)</f>
        <v>#VALUE!</v>
      </c>
      <c r="G328" t="e">
        <f>MONTH(C328)</f>
        <v>#VALUE!</v>
      </c>
      <c r="H328" t="e">
        <f>F328&amp;"-"&amp;G328</f>
        <v>#VALUE!</v>
      </c>
    </row>
    <row r="329">
      <c r="A329" t="s">
        <v>8</v>
      </c>
      <c r="B329" t="s">
        <v>218</v>
      </c>
      <c r="C329" t="s">
        <v>260</v>
      </c>
      <c r="D329">
        <v>69102</v>
      </c>
      <c r="E329">
        <v>4</v>
      </c>
      <c r="F329" t="e">
        <f>YEAR(C329)</f>
        <v>#VALUE!</v>
      </c>
      <c r="G329" t="e">
        <f>MONTH(C329)</f>
        <v>#VALUE!</v>
      </c>
      <c r="H329" t="e">
        <f>F329&amp;"-"&amp;G329</f>
        <v>#VALUE!</v>
      </c>
    </row>
    <row r="330">
      <c r="A330" t="s">
        <v>17</v>
      </c>
      <c r="B330" t="s">
        <v>170</v>
      </c>
      <c r="C330" t="s">
        <v>260</v>
      </c>
      <c r="D330">
        <v>57181</v>
      </c>
      <c r="E330">
        <v>9</v>
      </c>
      <c r="F330" t="e">
        <f>YEAR(C330)</f>
        <v>#VALUE!</v>
      </c>
      <c r="G330" t="e">
        <f>MONTH(C330)</f>
        <v>#VALUE!</v>
      </c>
      <c r="H330" t="e">
        <f>F330&amp;"-"&amp;G330</f>
        <v>#VALUE!</v>
      </c>
    </row>
    <row r="331">
      <c r="A331" t="s">
        <v>24</v>
      </c>
      <c r="B331" t="s">
        <v>14</v>
      </c>
      <c r="C331" t="s">
        <v>260</v>
      </c>
      <c r="D331">
        <v>15869</v>
      </c>
      <c r="E331">
        <v>7</v>
      </c>
      <c r="F331" t="e">
        <f>YEAR(C331)</f>
        <v>#VALUE!</v>
      </c>
      <c r="G331" t="e">
        <f>MONTH(C331)</f>
        <v>#VALUE!</v>
      </c>
      <c r="H331" t="e">
        <f>F331&amp;"-"&amp;G331</f>
        <v>#VALUE!</v>
      </c>
    </row>
    <row r="332">
      <c r="A332" t="s">
        <v>17</v>
      </c>
      <c r="B332" t="s">
        <v>31</v>
      </c>
      <c r="C332" t="s">
        <v>261</v>
      </c>
      <c r="D332">
        <v>86322</v>
      </c>
      <c r="E332">
        <v>9</v>
      </c>
      <c r="F332">
        <f>YEAR(C332)</f>
        <v>2024</v>
      </c>
      <c r="G332">
        <f>MONTH(C332)</f>
        <v>1</v>
      </c>
      <c r="H332" t="str">
        <f>F332&amp;"-"&amp;G332</f>
        <v>2024-1</v>
      </c>
    </row>
    <row r="333">
      <c r="A333" t="s">
        <v>5</v>
      </c>
      <c r="B333" t="s">
        <v>198</v>
      </c>
      <c r="C333" t="s">
        <v>261</v>
      </c>
      <c r="D333">
        <v>65531</v>
      </c>
      <c r="E333">
        <v>6</v>
      </c>
      <c r="F333">
        <f>YEAR(C333)</f>
        <v>2024</v>
      </c>
      <c r="G333">
        <f>MONTH(C333)</f>
        <v>1</v>
      </c>
      <c r="H333" t="str">
        <f>F333&amp;"-"&amp;G333</f>
        <v>2024-1</v>
      </c>
    </row>
    <row r="334">
      <c r="A334" t="s">
        <v>13</v>
      </c>
      <c r="B334" t="s">
        <v>103</v>
      </c>
      <c r="C334" t="s">
        <v>261</v>
      </c>
      <c r="D334">
        <v>20602</v>
      </c>
      <c r="E334">
        <v>6</v>
      </c>
      <c r="F334">
        <f>YEAR(C334)</f>
        <v>2024</v>
      </c>
      <c r="G334">
        <f>MONTH(C334)</f>
        <v>1</v>
      </c>
      <c r="H334" t="str">
        <f>F334&amp;"-"&amp;G334</f>
        <v>2024-1</v>
      </c>
    </row>
    <row r="335">
      <c r="A335" t="s">
        <v>5</v>
      </c>
      <c r="B335" t="s">
        <v>252</v>
      </c>
      <c r="C335" t="s">
        <v>261</v>
      </c>
      <c r="D335">
        <v>56704</v>
      </c>
      <c r="E335">
        <v>2</v>
      </c>
      <c r="F335">
        <f>YEAR(C335)</f>
        <v>2024</v>
      </c>
      <c r="G335">
        <f>MONTH(C335)</f>
        <v>1</v>
      </c>
      <c r="H335" t="str">
        <f>F335&amp;"-"&amp;G335</f>
        <v>2024-1</v>
      </c>
    </row>
    <row r="336">
      <c r="A336" t="s">
        <v>21</v>
      </c>
      <c r="B336" t="s">
        <v>181</v>
      </c>
      <c r="C336" t="s">
        <v>261</v>
      </c>
      <c r="D336">
        <v>55441</v>
      </c>
      <c r="E336">
        <v>3</v>
      </c>
      <c r="F336">
        <f>YEAR(C336)</f>
        <v>2024</v>
      </c>
      <c r="G336">
        <f>MONTH(C336)</f>
        <v>1</v>
      </c>
      <c r="H336" t="str">
        <f>F336&amp;"-"&amp;G336</f>
        <v>2024-1</v>
      </c>
    </row>
    <row r="337">
      <c r="A337" t="s">
        <v>57</v>
      </c>
      <c r="B337" t="s">
        <v>138</v>
      </c>
      <c r="C337" t="s">
        <v>261</v>
      </c>
      <c r="D337">
        <v>58554</v>
      </c>
      <c r="E337">
        <v>7</v>
      </c>
      <c r="F337">
        <f>YEAR(C337)</f>
        <v>2024</v>
      </c>
      <c r="G337">
        <f>MONTH(C337)</f>
        <v>1</v>
      </c>
      <c r="H337" t="str">
        <f>F337&amp;"-"&amp;G337</f>
        <v>2024-1</v>
      </c>
    </row>
    <row r="338">
      <c r="A338" t="s">
        <v>13</v>
      </c>
      <c r="B338" t="s">
        <v>99</v>
      </c>
      <c r="C338" t="s">
        <v>261</v>
      </c>
      <c r="D338">
        <v>13034</v>
      </c>
      <c r="E338">
        <v>10</v>
      </c>
      <c r="F338">
        <f>YEAR(C338)</f>
        <v>2024</v>
      </c>
      <c r="G338">
        <f>MONTH(C338)</f>
        <v>1</v>
      </c>
      <c r="H338" t="str">
        <f>F338&amp;"-"&amp;G338</f>
        <v>2024-1</v>
      </c>
    </row>
    <row r="339">
      <c r="A339" t="s">
        <v>24</v>
      </c>
      <c r="B339" t="s">
        <v>211</v>
      </c>
      <c r="C339" t="s">
        <v>261</v>
      </c>
      <c r="D339">
        <v>41433</v>
      </c>
      <c r="E339">
        <v>9</v>
      </c>
      <c r="F339">
        <f>YEAR(C339)</f>
        <v>2024</v>
      </c>
      <c r="G339">
        <f>MONTH(C339)</f>
        <v>1</v>
      </c>
      <c r="H339" t="str">
        <f>F339&amp;"-"&amp;G339</f>
        <v>2024-1</v>
      </c>
    </row>
    <row r="340">
      <c r="A340" t="s">
        <v>8</v>
      </c>
      <c r="B340" t="s">
        <v>240</v>
      </c>
      <c r="C340" t="s">
        <v>262</v>
      </c>
      <c r="D340">
        <v>97490</v>
      </c>
      <c r="E340">
        <v>9</v>
      </c>
      <c r="F340">
        <f>YEAR(C340)</f>
        <v>2024</v>
      </c>
      <c r="G340">
        <f>MONTH(C340)</f>
        <v>2</v>
      </c>
      <c r="H340" t="str">
        <f>F340&amp;"-"&amp;G340</f>
        <v>2024-2</v>
      </c>
    </row>
    <row r="341">
      <c r="A341" t="s">
        <v>17</v>
      </c>
      <c r="B341" t="s">
        <v>103</v>
      </c>
      <c r="C341" t="s">
        <v>262</v>
      </c>
      <c r="D341">
        <v>11874</v>
      </c>
      <c r="E341">
        <v>8</v>
      </c>
      <c r="F341">
        <f>YEAR(C341)</f>
        <v>2024</v>
      </c>
      <c r="G341">
        <f>MONTH(C341)</f>
        <v>2</v>
      </c>
      <c r="H341" t="str">
        <f>F341&amp;"-"&amp;G341</f>
        <v>2024-2</v>
      </c>
    </row>
    <row r="342">
      <c r="A342" t="s">
        <v>5</v>
      </c>
      <c r="B342" t="s">
        <v>263</v>
      </c>
      <c r="C342" t="s">
        <v>262</v>
      </c>
      <c r="D342">
        <v>33361</v>
      </c>
      <c r="E342">
        <v>4</v>
      </c>
      <c r="F342">
        <f>YEAR(C342)</f>
        <v>2024</v>
      </c>
      <c r="G342">
        <f>MONTH(C342)</f>
        <v>2</v>
      </c>
      <c r="H342" t="str">
        <f>F342&amp;"-"&amp;G342</f>
        <v>2024-2</v>
      </c>
    </row>
    <row r="343">
      <c r="A343" t="s">
        <v>13</v>
      </c>
      <c r="B343" t="s">
        <v>111</v>
      </c>
      <c r="C343" t="s">
        <v>262</v>
      </c>
      <c r="D343">
        <v>61653</v>
      </c>
      <c r="E343">
        <v>5</v>
      </c>
      <c r="F343">
        <f>YEAR(C343)</f>
        <v>2024</v>
      </c>
      <c r="G343">
        <f>MONTH(C343)</f>
        <v>2</v>
      </c>
      <c r="H343" t="str">
        <f>F343&amp;"-"&amp;G343</f>
        <v>2024-2</v>
      </c>
    </row>
    <row r="344">
      <c r="A344" t="s">
        <v>21</v>
      </c>
      <c r="B344" t="s">
        <v>44</v>
      </c>
      <c r="C344" t="s">
        <v>262</v>
      </c>
      <c r="D344">
        <v>18078</v>
      </c>
      <c r="E344">
        <v>9</v>
      </c>
      <c r="F344">
        <f>YEAR(C344)</f>
        <v>2024</v>
      </c>
      <c r="G344">
        <f>MONTH(C344)</f>
        <v>2</v>
      </c>
      <c r="H344" t="str">
        <f>F344&amp;"-"&amp;G344</f>
        <v>2024-2</v>
      </c>
    </row>
    <row r="345">
      <c r="A345" t="s">
        <v>11</v>
      </c>
      <c r="B345" t="s">
        <v>217</v>
      </c>
      <c r="C345" t="s">
        <v>262</v>
      </c>
      <c r="D345">
        <v>47408</v>
      </c>
      <c r="E345">
        <v>6</v>
      </c>
      <c r="F345">
        <f>YEAR(C345)</f>
        <v>2024</v>
      </c>
      <c r="G345">
        <f>MONTH(C345)</f>
        <v>2</v>
      </c>
      <c r="H345" t="str">
        <f>F345&amp;"-"&amp;G345</f>
        <v>2024-2</v>
      </c>
    </row>
    <row r="346">
      <c r="A346" t="s">
        <v>8</v>
      </c>
      <c r="B346" t="s">
        <v>192</v>
      </c>
      <c r="C346" t="s">
        <v>264</v>
      </c>
      <c r="D346">
        <v>88443</v>
      </c>
      <c r="E346">
        <v>2</v>
      </c>
      <c r="F346">
        <f>YEAR(C346)</f>
        <v>2024</v>
      </c>
      <c r="G346">
        <f>MONTH(C346)</f>
        <v>3</v>
      </c>
      <c r="H346" t="str">
        <f>F346&amp;"-"&amp;G346</f>
        <v>2024-3</v>
      </c>
    </row>
    <row r="347">
      <c r="A347" t="s">
        <v>11</v>
      </c>
      <c r="B347" t="s">
        <v>265</v>
      </c>
      <c r="C347" t="s">
        <v>264</v>
      </c>
      <c r="D347">
        <v>38474</v>
      </c>
      <c r="E347">
        <v>4</v>
      </c>
      <c r="F347">
        <f>YEAR(C347)</f>
        <v>2024</v>
      </c>
      <c r="G347">
        <f>MONTH(C347)</f>
        <v>3</v>
      </c>
      <c r="H347" t="str">
        <f>F347&amp;"-"&amp;G347</f>
        <v>2024-3</v>
      </c>
    </row>
    <row r="348">
      <c r="A348" t="s">
        <v>43</v>
      </c>
      <c r="B348" t="s">
        <v>196</v>
      </c>
      <c r="C348" t="s">
        <v>264</v>
      </c>
      <c r="D348">
        <v>93774</v>
      </c>
      <c r="E348">
        <v>8</v>
      </c>
      <c r="F348">
        <f>YEAR(C348)</f>
        <v>2024</v>
      </c>
      <c r="G348">
        <f>MONTH(C348)</f>
        <v>3</v>
      </c>
      <c r="H348" t="str">
        <f>F348&amp;"-"&amp;G348</f>
        <v>2024-3</v>
      </c>
    </row>
    <row r="349">
      <c r="A349" t="s">
        <v>13</v>
      </c>
      <c r="B349" t="s">
        <v>212</v>
      </c>
      <c r="C349" t="s">
        <v>266</v>
      </c>
      <c r="D349">
        <v>26139</v>
      </c>
      <c r="E349">
        <v>9</v>
      </c>
      <c r="F349">
        <f>YEAR(C349)</f>
        <v>2024</v>
      </c>
      <c r="G349">
        <f>MONTH(C349)</f>
        <v>4</v>
      </c>
      <c r="H349" t="str">
        <f>F349&amp;"-"&amp;G349</f>
        <v>2024-4</v>
      </c>
    </row>
    <row r="350">
      <c r="A350" t="s">
        <v>13</v>
      </c>
      <c r="B350" t="s">
        <v>70</v>
      </c>
      <c r="C350" t="s">
        <v>266</v>
      </c>
      <c r="D350">
        <v>82079</v>
      </c>
      <c r="E350">
        <v>4</v>
      </c>
      <c r="F350">
        <f>YEAR(C350)</f>
        <v>2024</v>
      </c>
      <c r="G350">
        <f>MONTH(C350)</f>
        <v>4</v>
      </c>
      <c r="H350" t="str">
        <f>F350&amp;"-"&amp;G350</f>
        <v>2024-4</v>
      </c>
    </row>
    <row r="351">
      <c r="A351" t="s">
        <v>17</v>
      </c>
      <c r="B351" t="s">
        <v>267</v>
      </c>
      <c r="C351" t="s">
        <v>266</v>
      </c>
      <c r="D351">
        <v>22567</v>
      </c>
      <c r="E351">
        <v>5</v>
      </c>
      <c r="F351">
        <f>YEAR(C351)</f>
        <v>2024</v>
      </c>
      <c r="G351">
        <f>MONTH(C351)</f>
        <v>4</v>
      </c>
      <c r="H351" t="str">
        <f>F351&amp;"-"&amp;G351</f>
        <v>2024-4</v>
      </c>
    </row>
    <row r="352">
      <c r="A352" t="s">
        <v>43</v>
      </c>
      <c r="B352" t="s">
        <v>98</v>
      </c>
      <c r="C352" t="s">
        <v>268</v>
      </c>
      <c r="D352">
        <v>25566</v>
      </c>
      <c r="E352">
        <v>10</v>
      </c>
      <c r="F352">
        <f>YEAR(C352)</f>
        <v>2024</v>
      </c>
      <c r="G352">
        <f>MONTH(C352)</f>
        <v>5</v>
      </c>
      <c r="H352" t="str">
        <f>F352&amp;"-"&amp;G352</f>
        <v>2024-5</v>
      </c>
    </row>
    <row r="353">
      <c r="A353" t="s">
        <v>8</v>
      </c>
      <c r="B353" t="s">
        <v>254</v>
      </c>
      <c r="C353" t="s">
        <v>269</v>
      </c>
      <c r="D353">
        <v>59657</v>
      </c>
      <c r="E353">
        <v>5</v>
      </c>
      <c r="F353">
        <f>YEAR(C353)</f>
        <v>2024</v>
      </c>
      <c r="G353">
        <f>MONTH(C353)</f>
        <v>8</v>
      </c>
      <c r="H353" t="str">
        <f>F353&amp;"-"&amp;G353</f>
        <v>2024-8</v>
      </c>
    </row>
    <row r="354">
      <c r="A354" t="s">
        <v>47</v>
      </c>
      <c r="B354" t="s">
        <v>83</v>
      </c>
      <c r="C354" t="s">
        <v>269</v>
      </c>
      <c r="D354">
        <v>96270</v>
      </c>
      <c r="E354">
        <v>9</v>
      </c>
      <c r="F354">
        <f>YEAR(C354)</f>
        <v>2024</v>
      </c>
      <c r="G354">
        <f>MONTH(C354)</f>
        <v>8</v>
      </c>
      <c r="H354" t="str">
        <f>F354&amp;"-"&amp;G354</f>
        <v>2024-8</v>
      </c>
    </row>
    <row r="355">
      <c r="A355" t="s">
        <v>24</v>
      </c>
      <c r="B355" t="s">
        <v>248</v>
      </c>
      <c r="C355" t="s">
        <v>269</v>
      </c>
      <c r="D355">
        <v>66024</v>
      </c>
      <c r="E355">
        <v>7</v>
      </c>
      <c r="F355">
        <f>YEAR(C355)</f>
        <v>2024</v>
      </c>
      <c r="G355">
        <f>MONTH(C355)</f>
        <v>8</v>
      </c>
      <c r="H355" t="str">
        <f>F355&amp;"-"&amp;G355</f>
        <v>2024-8</v>
      </c>
    </row>
    <row r="356">
      <c r="A356" t="s">
        <v>47</v>
      </c>
      <c r="B356" t="s">
        <v>239</v>
      </c>
      <c r="C356" t="s">
        <v>269</v>
      </c>
      <c r="D356">
        <v>89184</v>
      </c>
      <c r="E356">
        <v>8</v>
      </c>
      <c r="F356">
        <f>YEAR(C356)</f>
        <v>2024</v>
      </c>
      <c r="G356">
        <f>MONTH(C356)</f>
        <v>8</v>
      </c>
      <c r="H356" t="str">
        <f>F356&amp;"-"&amp;G356</f>
        <v>2024-8</v>
      </c>
    </row>
    <row r="357">
      <c r="A357" t="s">
        <v>17</v>
      </c>
      <c r="B357" t="s">
        <v>58</v>
      </c>
      <c r="C357" t="s">
        <v>269</v>
      </c>
      <c r="D357">
        <v>60118</v>
      </c>
      <c r="E357">
        <v>8</v>
      </c>
      <c r="F357">
        <f>YEAR(C357)</f>
        <v>2024</v>
      </c>
      <c r="G357">
        <f>MONTH(C357)</f>
        <v>8</v>
      </c>
      <c r="H357" t="str">
        <f>F357&amp;"-"&amp;G357</f>
        <v>2024-8</v>
      </c>
    </row>
    <row r="358">
      <c r="A358" t="s">
        <v>43</v>
      </c>
      <c r="B358" t="s">
        <v>174</v>
      </c>
      <c r="C358" t="s">
        <v>269</v>
      </c>
      <c r="D358">
        <v>77082</v>
      </c>
      <c r="E358">
        <v>4</v>
      </c>
      <c r="F358">
        <f>YEAR(C358)</f>
        <v>2024</v>
      </c>
      <c r="G358">
        <f>MONTH(C358)</f>
        <v>8</v>
      </c>
      <c r="H358" t="str">
        <f>F358&amp;"-"&amp;G358</f>
        <v>2024-8</v>
      </c>
    </row>
    <row r="359">
      <c r="A359" t="s">
        <v>15</v>
      </c>
      <c r="B359" t="s">
        <v>92</v>
      </c>
      <c r="C359" t="s">
        <v>269</v>
      </c>
      <c r="D359">
        <v>20710</v>
      </c>
      <c r="E359">
        <v>8</v>
      </c>
      <c r="F359">
        <f>YEAR(C359)</f>
        <v>2024</v>
      </c>
      <c r="G359">
        <f>MONTH(C359)</f>
        <v>8</v>
      </c>
      <c r="H359" t="str">
        <f>F359&amp;"-"&amp;G359</f>
        <v>2024-8</v>
      </c>
    </row>
    <row r="360">
      <c r="A360" t="s">
        <v>47</v>
      </c>
      <c r="B360" t="s">
        <v>108</v>
      </c>
      <c r="C360" t="s">
        <v>269</v>
      </c>
      <c r="D360">
        <v>89596</v>
      </c>
      <c r="E360">
        <v>9</v>
      </c>
      <c r="F360">
        <f>YEAR(C360)</f>
        <v>2024</v>
      </c>
      <c r="G360">
        <f>MONTH(C360)</f>
        <v>8</v>
      </c>
      <c r="H360" t="str">
        <f>F360&amp;"-"&amp;G360</f>
        <v>2024-8</v>
      </c>
    </row>
    <row r="361">
      <c r="A361" t="s">
        <v>17</v>
      </c>
      <c r="B361" t="s">
        <v>270</v>
      </c>
      <c r="C361" t="s">
        <v>271</v>
      </c>
      <c r="D361">
        <v>41743</v>
      </c>
      <c r="E361">
        <v>8</v>
      </c>
      <c r="F361">
        <f>YEAR(C361)</f>
        <v>2024</v>
      </c>
      <c r="G361">
        <f>MONTH(C361)</f>
        <v>9</v>
      </c>
      <c r="H361" t="str">
        <f>F361&amp;"-"&amp;G361</f>
        <v>2024-9</v>
      </c>
    </row>
    <row r="362">
      <c r="A362" t="s">
        <v>28</v>
      </c>
      <c r="B362" t="s">
        <v>272</v>
      </c>
      <c r="C362" t="s">
        <v>271</v>
      </c>
      <c r="D362">
        <v>49779</v>
      </c>
      <c r="E362">
        <v>7</v>
      </c>
      <c r="F362">
        <f>YEAR(C362)</f>
        <v>2024</v>
      </c>
      <c r="G362">
        <f>MONTH(C362)</f>
        <v>9</v>
      </c>
      <c r="H362" t="str">
        <f>F362&amp;"-"&amp;G362</f>
        <v>2024-9</v>
      </c>
    </row>
    <row r="363">
      <c r="A363" t="s">
        <v>47</v>
      </c>
      <c r="B363" t="s">
        <v>45</v>
      </c>
      <c r="C363" t="s">
        <v>271</v>
      </c>
      <c r="D363">
        <v>69827</v>
      </c>
      <c r="E363">
        <v>6</v>
      </c>
      <c r="F363">
        <f>YEAR(C363)</f>
        <v>2024</v>
      </c>
      <c r="G363">
        <f>MONTH(C363)</f>
        <v>9</v>
      </c>
      <c r="H363" t="str">
        <f>F363&amp;"-"&amp;G363</f>
        <v>2024-9</v>
      </c>
    </row>
    <row r="364">
      <c r="A364" t="s">
        <v>57</v>
      </c>
      <c r="B364" t="s">
        <v>273</v>
      </c>
      <c r="C364" t="s">
        <v>274</v>
      </c>
      <c r="D364">
        <v>66556</v>
      </c>
      <c r="E364">
        <v>9</v>
      </c>
      <c r="F364">
        <f>YEAR(C364)</f>
        <v>2024</v>
      </c>
      <c r="G364">
        <f>MONTH(C364)</f>
        <v>10</v>
      </c>
      <c r="H364" t="str">
        <f>F364&amp;"-"&amp;G364</f>
        <v>2024-10</v>
      </c>
    </row>
    <row r="365">
      <c r="A365" t="s">
        <v>8</v>
      </c>
      <c r="B365" t="s">
        <v>185</v>
      </c>
      <c r="C365" t="s">
        <v>275</v>
      </c>
      <c r="D365">
        <v>75564</v>
      </c>
      <c r="E365">
        <v>10</v>
      </c>
      <c r="F365">
        <f>YEAR(C365)</f>
        <v>2024</v>
      </c>
      <c r="G365">
        <f>MONTH(C365)</f>
        <v>11</v>
      </c>
      <c r="H365" t="str">
        <f>F365&amp;"-"&amp;G365</f>
        <v>2024-11</v>
      </c>
    </row>
    <row r="366">
      <c r="A366" t="s">
        <v>8</v>
      </c>
      <c r="B366" t="s">
        <v>102</v>
      </c>
      <c r="C366" t="s">
        <v>275</v>
      </c>
      <c r="D366">
        <v>76077</v>
      </c>
      <c r="E366">
        <v>10</v>
      </c>
      <c r="F366">
        <f>YEAR(C366)</f>
        <v>2024</v>
      </c>
      <c r="G366">
        <f>MONTH(C366)</f>
        <v>11</v>
      </c>
      <c r="H366" t="str">
        <f>F366&amp;"-"&amp;G366</f>
        <v>2024-11</v>
      </c>
    </row>
    <row r="367">
      <c r="A367" t="s">
        <v>43</v>
      </c>
      <c r="B367" t="s">
        <v>276</v>
      </c>
      <c r="C367" t="s">
        <v>277</v>
      </c>
      <c r="D367">
        <v>89745</v>
      </c>
      <c r="E367">
        <v>4</v>
      </c>
      <c r="F367">
        <f>YEAR(C367)</f>
        <v>2024</v>
      </c>
      <c r="G367">
        <f>MONTH(C367)</f>
        <v>12</v>
      </c>
      <c r="H367" t="str">
        <f>F367&amp;"-"&amp;G367</f>
        <v>2024-12</v>
      </c>
    </row>
    <row r="368">
      <c r="A368" t="s">
        <v>11</v>
      </c>
      <c r="B368" t="s">
        <v>158</v>
      </c>
      <c r="C368" t="s">
        <v>277</v>
      </c>
      <c r="D368">
        <v>93004</v>
      </c>
      <c r="E368">
        <v>9</v>
      </c>
      <c r="F368">
        <f>YEAR(C368)</f>
        <v>2024</v>
      </c>
      <c r="G368">
        <f>MONTH(C368)</f>
        <v>12</v>
      </c>
      <c r="H368" t="str">
        <f>F368&amp;"-"&amp;G368</f>
        <v>2024-12</v>
      </c>
    </row>
    <row r="369">
      <c r="A369" t="s">
        <v>15</v>
      </c>
      <c r="B369" t="s">
        <v>16</v>
      </c>
      <c r="C369" t="s">
        <v>277</v>
      </c>
      <c r="D369">
        <v>73539</v>
      </c>
      <c r="E369">
        <v>6</v>
      </c>
      <c r="F369">
        <f>YEAR(C369)</f>
        <v>2024</v>
      </c>
      <c r="G369">
        <f>MONTH(C369)</f>
        <v>12</v>
      </c>
      <c r="H369" t="str">
        <f>F369&amp;"-"&amp;G369</f>
        <v>2024-12</v>
      </c>
    </row>
    <row r="370">
      <c r="A370" t="s">
        <v>8</v>
      </c>
      <c r="B370" t="s">
        <v>278</v>
      </c>
      <c r="C370" t="s">
        <v>277</v>
      </c>
      <c r="D370">
        <v>10722</v>
      </c>
      <c r="E370">
        <v>5</v>
      </c>
      <c r="F370">
        <f>YEAR(C370)</f>
        <v>2024</v>
      </c>
      <c r="G370">
        <f>MONTH(C370)</f>
        <v>12</v>
      </c>
      <c r="H370" t="str">
        <f>F370&amp;"-"&amp;G370</f>
        <v>2024-12</v>
      </c>
    </row>
    <row r="371">
      <c r="A371" t="s">
        <v>15</v>
      </c>
      <c r="B371" t="s">
        <v>142</v>
      </c>
      <c r="C371" t="s">
        <v>279</v>
      </c>
      <c r="D371">
        <v>66672</v>
      </c>
      <c r="E371">
        <v>4</v>
      </c>
      <c r="F371" t="e">
        <f>YEAR(C371)</f>
        <v>#VALUE!</v>
      </c>
      <c r="G371" t="e">
        <f>MONTH(C371)</f>
        <v>#VALUE!</v>
      </c>
      <c r="H371" t="e">
        <f>F371&amp;"-"&amp;G371</f>
        <v>#VALUE!</v>
      </c>
    </row>
    <row r="372">
      <c r="A372" t="s">
        <v>24</v>
      </c>
      <c r="B372" t="s">
        <v>123</v>
      </c>
      <c r="C372" t="s">
        <v>279</v>
      </c>
      <c r="D372">
        <v>20541</v>
      </c>
      <c r="E372">
        <v>5</v>
      </c>
      <c r="F372" t="e">
        <f>YEAR(C372)</f>
        <v>#VALUE!</v>
      </c>
      <c r="G372" t="e">
        <f>MONTH(C372)</f>
        <v>#VALUE!</v>
      </c>
      <c r="H372" t="e">
        <f>F372&amp;"-"&amp;G372</f>
        <v>#VALUE!</v>
      </c>
    </row>
    <row r="373">
      <c r="A373" t="s">
        <v>47</v>
      </c>
      <c r="B373" t="s">
        <v>280</v>
      </c>
      <c r="C373" t="s">
        <v>279</v>
      </c>
      <c r="D373">
        <v>65622</v>
      </c>
      <c r="E373">
        <v>9</v>
      </c>
      <c r="F373" t="e">
        <f>YEAR(C373)</f>
        <v>#VALUE!</v>
      </c>
      <c r="G373" t="e">
        <f>MONTH(C373)</f>
        <v>#VALUE!</v>
      </c>
      <c r="H373" t="e">
        <f>F373&amp;"-"&amp;G373</f>
        <v>#VALUE!</v>
      </c>
    </row>
    <row r="374">
      <c r="A374" t="s">
        <v>17</v>
      </c>
      <c r="B374" t="s">
        <v>119</v>
      </c>
      <c r="C374" t="s">
        <v>279</v>
      </c>
      <c r="D374">
        <v>38621</v>
      </c>
      <c r="E374">
        <v>4</v>
      </c>
      <c r="F374" t="e">
        <f>YEAR(C374)</f>
        <v>#VALUE!</v>
      </c>
      <c r="G374" t="e">
        <f>MONTH(C374)</f>
        <v>#VALUE!</v>
      </c>
      <c r="H374" t="e">
        <f>F374&amp;"-"&amp;G374</f>
        <v>#VALUE!</v>
      </c>
    </row>
    <row r="375">
      <c r="A375" t="s">
        <v>43</v>
      </c>
      <c r="B375" t="s">
        <v>119</v>
      </c>
      <c r="C375" t="s">
        <v>279</v>
      </c>
      <c r="D375">
        <v>11433</v>
      </c>
      <c r="E375">
        <v>5</v>
      </c>
      <c r="F375" t="e">
        <f>YEAR(C375)</f>
        <v>#VALUE!</v>
      </c>
      <c r="G375" t="e">
        <f>MONTH(C375)</f>
        <v>#VALUE!</v>
      </c>
      <c r="H375" t="e">
        <f>F375&amp;"-"&amp;G375</f>
        <v>#VALUE!</v>
      </c>
    </row>
    <row r="376">
      <c r="A376" t="s">
        <v>57</v>
      </c>
      <c r="B376" t="s">
        <v>142</v>
      </c>
      <c r="C376" t="s">
        <v>279</v>
      </c>
      <c r="D376">
        <v>35025</v>
      </c>
      <c r="E376">
        <v>9</v>
      </c>
      <c r="F376" t="e">
        <f>YEAR(C376)</f>
        <v>#VALUE!</v>
      </c>
      <c r="G376" t="e">
        <f>MONTH(C376)</f>
        <v>#VALUE!</v>
      </c>
      <c r="H376" t="e">
        <f>F376&amp;"-"&amp;G376</f>
        <v>#VALUE!</v>
      </c>
    </row>
    <row r="377">
      <c r="A377" t="s">
        <v>8</v>
      </c>
      <c r="B377" t="s">
        <v>83</v>
      </c>
      <c r="C377" t="s">
        <v>279</v>
      </c>
      <c r="D377">
        <v>97111</v>
      </c>
      <c r="E377">
        <v>2</v>
      </c>
      <c r="F377" t="e">
        <f>YEAR(C377)</f>
        <v>#VALUE!</v>
      </c>
      <c r="G377" t="e">
        <f>MONTH(C377)</f>
        <v>#VALUE!</v>
      </c>
      <c r="H377" t="e">
        <f>F377&amp;"-"&amp;G377</f>
        <v>#VALUE!</v>
      </c>
    </row>
    <row r="378">
      <c r="A378" t="s">
        <v>15</v>
      </c>
      <c r="B378" t="s">
        <v>137</v>
      </c>
      <c r="C378" t="s">
        <v>279</v>
      </c>
      <c r="D378">
        <v>78874</v>
      </c>
      <c r="E378">
        <v>5</v>
      </c>
      <c r="F378" t="e">
        <f>YEAR(C378)</f>
        <v>#VALUE!</v>
      </c>
      <c r="G378" t="e">
        <f>MONTH(C378)</f>
        <v>#VALUE!</v>
      </c>
      <c r="H378" t="e">
        <f>F378&amp;"-"&amp;G378</f>
        <v>#VALUE!</v>
      </c>
    </row>
    <row r="379">
      <c r="A379" t="s">
        <v>57</v>
      </c>
      <c r="B379" t="s">
        <v>102</v>
      </c>
      <c r="C379" t="s">
        <v>281</v>
      </c>
      <c r="D379">
        <v>60481</v>
      </c>
      <c r="E379">
        <v>7</v>
      </c>
      <c r="F379" t="e">
        <f>YEAR(C379)</f>
        <v>#VALUE!</v>
      </c>
      <c r="G379" t="e">
        <f>MONTH(C379)</f>
        <v>#VALUE!</v>
      </c>
      <c r="H379" t="e">
        <f>F379&amp;"-"&amp;G379</f>
        <v>#VALUE!</v>
      </c>
    </row>
    <row r="380">
      <c r="A380" t="s">
        <v>11</v>
      </c>
      <c r="B380" t="s">
        <v>77</v>
      </c>
      <c r="C380" t="s">
        <v>281</v>
      </c>
      <c r="D380">
        <v>63026</v>
      </c>
      <c r="E380">
        <v>7</v>
      </c>
      <c r="F380" t="e">
        <f>YEAR(C380)</f>
        <v>#VALUE!</v>
      </c>
      <c r="G380" t="e">
        <f>MONTH(C380)</f>
        <v>#VALUE!</v>
      </c>
      <c r="H380" t="e">
        <f>F380&amp;"-"&amp;G380</f>
        <v>#VALUE!</v>
      </c>
    </row>
    <row r="381">
      <c r="A381" t="s">
        <v>28</v>
      </c>
      <c r="B381" t="s">
        <v>87</v>
      </c>
      <c r="C381" t="s">
        <v>282</v>
      </c>
      <c r="D381">
        <v>50497</v>
      </c>
      <c r="E381">
        <v>7</v>
      </c>
      <c r="F381" t="e">
        <f>YEAR(C381)</f>
        <v>#VALUE!</v>
      </c>
      <c r="G381" t="e">
        <f>MONTH(C381)</f>
        <v>#VALUE!</v>
      </c>
      <c r="H381" t="e">
        <f>F381&amp;"-"&amp;G381</f>
        <v>#VALUE!</v>
      </c>
    </row>
    <row r="382">
      <c r="A382" t="s">
        <v>57</v>
      </c>
      <c r="B382" t="s">
        <v>147</v>
      </c>
      <c r="C382" t="s">
        <v>282</v>
      </c>
      <c r="D382">
        <v>53806</v>
      </c>
      <c r="E382">
        <v>9</v>
      </c>
      <c r="F382" t="e">
        <f>YEAR(C382)</f>
        <v>#VALUE!</v>
      </c>
      <c r="G382" t="e">
        <f>MONTH(C382)</f>
        <v>#VALUE!</v>
      </c>
      <c r="H382" t="e">
        <f>F382&amp;"-"&amp;G382</f>
        <v>#VALUE!</v>
      </c>
    </row>
    <row r="383">
      <c r="A383" t="s">
        <v>15</v>
      </c>
      <c r="B383" t="s">
        <v>184</v>
      </c>
      <c r="C383" t="s">
        <v>283</v>
      </c>
      <c r="D383">
        <v>31960</v>
      </c>
      <c r="E383">
        <v>8</v>
      </c>
      <c r="F383" t="e">
        <f>YEAR(C383)</f>
        <v>#VALUE!</v>
      </c>
      <c r="G383" t="e">
        <f>MONTH(C383)</f>
        <v>#VALUE!</v>
      </c>
      <c r="H383" t="e">
        <f>F383&amp;"-"&amp;G383</f>
        <v>#VALUE!</v>
      </c>
    </row>
    <row r="384">
      <c r="A384" t="s">
        <v>8</v>
      </c>
      <c r="B384" t="s">
        <v>284</v>
      </c>
      <c r="C384" t="s">
        <v>283</v>
      </c>
      <c r="D384">
        <v>25632</v>
      </c>
      <c r="E384">
        <v>7</v>
      </c>
      <c r="F384" t="e">
        <f>YEAR(C384)</f>
        <v>#VALUE!</v>
      </c>
      <c r="G384" t="e">
        <f>MONTH(C384)</f>
        <v>#VALUE!</v>
      </c>
      <c r="H384" t="e">
        <f>F384&amp;"-"&amp;G384</f>
        <v>#VALUE!</v>
      </c>
    </row>
    <row r="385">
      <c r="A385" t="s">
        <v>11</v>
      </c>
      <c r="B385" t="s">
        <v>212</v>
      </c>
      <c r="C385" t="s">
        <v>283</v>
      </c>
      <c r="D385">
        <v>84575</v>
      </c>
      <c r="E385">
        <v>3</v>
      </c>
      <c r="F385" t="e">
        <f>YEAR(C385)</f>
        <v>#VALUE!</v>
      </c>
      <c r="G385" t="e">
        <f>MONTH(C385)</f>
        <v>#VALUE!</v>
      </c>
      <c r="H385" t="e">
        <f>F385&amp;"-"&amp;G385</f>
        <v>#VALUE!</v>
      </c>
    </row>
    <row r="386">
      <c r="A386" t="s">
        <v>47</v>
      </c>
      <c r="B386" t="s">
        <v>80</v>
      </c>
      <c r="C386" t="s">
        <v>283</v>
      </c>
      <c r="D386">
        <v>27755</v>
      </c>
      <c r="E386">
        <v>7</v>
      </c>
      <c r="F386" t="e">
        <f>YEAR(C386)</f>
        <v>#VALUE!</v>
      </c>
      <c r="G386" t="e">
        <f>MONTH(C386)</f>
        <v>#VALUE!</v>
      </c>
      <c r="H386" t="e">
        <f>F386&amp;"-"&amp;G386</f>
        <v>#VALUE!</v>
      </c>
    </row>
    <row r="387">
      <c r="A387" t="s">
        <v>47</v>
      </c>
      <c r="B387" t="s">
        <v>111</v>
      </c>
      <c r="C387" t="s">
        <v>283</v>
      </c>
      <c r="D387">
        <v>77143</v>
      </c>
      <c r="E387">
        <v>7</v>
      </c>
      <c r="F387" t="e">
        <f>YEAR(C387)</f>
        <v>#VALUE!</v>
      </c>
      <c r="G387" t="e">
        <f>MONTH(C387)</f>
        <v>#VALUE!</v>
      </c>
      <c r="H387" t="e">
        <f>F387&amp;"-"&amp;G387</f>
        <v>#VALUE!</v>
      </c>
    </row>
    <row r="388">
      <c r="A388" t="s">
        <v>8</v>
      </c>
      <c r="B388" t="s">
        <v>96</v>
      </c>
      <c r="C388" t="s">
        <v>283</v>
      </c>
      <c r="D388">
        <v>36180</v>
      </c>
      <c r="E388">
        <v>8</v>
      </c>
      <c r="F388" t="e">
        <f>YEAR(C388)</f>
        <v>#VALUE!</v>
      </c>
      <c r="G388" t="e">
        <f>MONTH(C388)</f>
        <v>#VALUE!</v>
      </c>
      <c r="H388" t="e">
        <f>F388&amp;"-"&amp;G388</f>
        <v>#VALUE!</v>
      </c>
    </row>
    <row r="389">
      <c r="A389" t="s">
        <v>17</v>
      </c>
      <c r="B389" t="s">
        <v>192</v>
      </c>
      <c r="C389" t="s">
        <v>285</v>
      </c>
      <c r="D389">
        <v>46229</v>
      </c>
      <c r="E389">
        <v>2</v>
      </c>
      <c r="F389" t="e">
        <f>YEAR(C389)</f>
        <v>#VALUE!</v>
      </c>
      <c r="G389" t="e">
        <f>MONTH(C389)</f>
        <v>#VALUE!</v>
      </c>
      <c r="H389" t="e">
        <f>F389&amp;"-"&amp;G389</f>
        <v>#VALUE!</v>
      </c>
    </row>
    <row r="390">
      <c r="A390" t="s">
        <v>11</v>
      </c>
      <c r="B390" t="s">
        <v>151</v>
      </c>
      <c r="C390" t="s">
        <v>285</v>
      </c>
      <c r="D390">
        <v>86876</v>
      </c>
      <c r="E390">
        <v>9</v>
      </c>
      <c r="F390" t="e">
        <f>YEAR(C390)</f>
        <v>#VALUE!</v>
      </c>
      <c r="G390" t="e">
        <f>MONTH(C390)</f>
        <v>#VALUE!</v>
      </c>
      <c r="H390" t="e">
        <f>F390&amp;"-"&amp;G390</f>
        <v>#VALUE!</v>
      </c>
    </row>
    <row r="391">
      <c r="A391" t="s">
        <v>21</v>
      </c>
      <c r="B391" t="s">
        <v>65</v>
      </c>
      <c r="C391" t="s">
        <v>286</v>
      </c>
      <c r="D391">
        <v>14155</v>
      </c>
      <c r="E391">
        <v>6</v>
      </c>
      <c r="F391" t="e">
        <f>YEAR(C391)</f>
        <v>#VALUE!</v>
      </c>
      <c r="G391" t="e">
        <f>MONTH(C391)</f>
        <v>#VALUE!</v>
      </c>
      <c r="H391" t="e">
        <f>F391&amp;"-"&amp;G391</f>
        <v>#VALUE!</v>
      </c>
    </row>
    <row r="392">
      <c r="A392" t="s">
        <v>11</v>
      </c>
      <c r="B392" t="s">
        <v>160</v>
      </c>
      <c r="C392" t="s">
        <v>286</v>
      </c>
      <c r="D392">
        <v>10090</v>
      </c>
      <c r="E392">
        <v>1</v>
      </c>
      <c r="F392" t="e">
        <f>YEAR(C392)</f>
        <v>#VALUE!</v>
      </c>
      <c r="G392" t="e">
        <f>MONTH(C392)</f>
        <v>#VALUE!</v>
      </c>
      <c r="H392" t="e">
        <f>F392&amp;"-"&amp;G392</f>
        <v>#VALUE!</v>
      </c>
    </row>
    <row r="393">
      <c r="A393" t="s">
        <v>28</v>
      </c>
      <c r="B393" t="s">
        <v>287</v>
      </c>
      <c r="C393" t="s">
        <v>286</v>
      </c>
      <c r="D393">
        <v>91095</v>
      </c>
      <c r="E393">
        <v>2</v>
      </c>
      <c r="F393" t="e">
        <f>YEAR(C393)</f>
        <v>#VALUE!</v>
      </c>
      <c r="G393" t="e">
        <f>MONTH(C393)</f>
        <v>#VALUE!</v>
      </c>
      <c r="H393" t="e">
        <f>F393&amp;"-"&amp;G393</f>
        <v>#VALUE!</v>
      </c>
    </row>
    <row r="394">
      <c r="A394" t="s">
        <v>57</v>
      </c>
      <c r="B394" t="s">
        <v>186</v>
      </c>
      <c r="C394" t="s">
        <v>286</v>
      </c>
      <c r="D394">
        <v>74880</v>
      </c>
      <c r="E394">
        <v>7</v>
      </c>
      <c r="F394" t="e">
        <f>YEAR(C394)</f>
        <v>#VALUE!</v>
      </c>
      <c r="G394" t="e">
        <f>MONTH(C394)</f>
        <v>#VALUE!</v>
      </c>
      <c r="H394" t="e">
        <f>F394&amp;"-"&amp;G394</f>
        <v>#VALUE!</v>
      </c>
    </row>
    <row r="395">
      <c r="A395" t="s">
        <v>43</v>
      </c>
      <c r="B395" t="s">
        <v>39</v>
      </c>
      <c r="C395" t="s">
        <v>286</v>
      </c>
      <c r="D395">
        <v>11305</v>
      </c>
      <c r="E395">
        <v>7</v>
      </c>
      <c r="F395" t="e">
        <f>YEAR(C395)</f>
        <v>#VALUE!</v>
      </c>
      <c r="G395" t="e">
        <f>MONTH(C395)</f>
        <v>#VALUE!</v>
      </c>
      <c r="H395" t="e">
        <f>F395&amp;"-"&amp;G395</f>
        <v>#VALUE!</v>
      </c>
    </row>
    <row r="396">
      <c r="A396" t="s">
        <v>57</v>
      </c>
      <c r="B396" t="s">
        <v>59</v>
      </c>
      <c r="C396" t="s">
        <v>286</v>
      </c>
      <c r="D396">
        <v>20086</v>
      </c>
      <c r="E396">
        <v>6</v>
      </c>
      <c r="F396" t="e">
        <f>YEAR(C396)</f>
        <v>#VALUE!</v>
      </c>
      <c r="G396" t="e">
        <f>MONTH(C396)</f>
        <v>#VALUE!</v>
      </c>
      <c r="H396" t="e">
        <f>F396&amp;"-"&amp;G396</f>
        <v>#VALUE!</v>
      </c>
    </row>
    <row r="397">
      <c r="A397" t="s">
        <v>15</v>
      </c>
      <c r="B397" t="s">
        <v>287</v>
      </c>
      <c r="C397" t="s">
        <v>286</v>
      </c>
      <c r="D397">
        <v>41966</v>
      </c>
      <c r="E397">
        <v>9</v>
      </c>
      <c r="F397" t="e">
        <f>YEAR(C397)</f>
        <v>#VALUE!</v>
      </c>
      <c r="G397" t="e">
        <f>MONTH(C397)</f>
        <v>#VALUE!</v>
      </c>
      <c r="H397" t="e">
        <f>F397&amp;"-"&amp;G397</f>
        <v>#VALUE!</v>
      </c>
    </row>
    <row r="398">
      <c r="A398" t="s">
        <v>47</v>
      </c>
      <c r="B398" t="s">
        <v>288</v>
      </c>
      <c r="C398" t="s">
        <v>286</v>
      </c>
      <c r="D398">
        <v>87558</v>
      </c>
      <c r="E398">
        <v>9</v>
      </c>
      <c r="F398" t="e">
        <f>YEAR(C398)</f>
        <v>#VALUE!</v>
      </c>
      <c r="G398" t="e">
        <f>MONTH(C398)</f>
        <v>#VALUE!</v>
      </c>
      <c r="H398" t="e">
        <f>F398&amp;"-"&amp;G398</f>
        <v>#VALUE!</v>
      </c>
    </row>
    <row r="399">
      <c r="A399" t="s">
        <v>17</v>
      </c>
      <c r="B399" t="s">
        <v>42</v>
      </c>
      <c r="C399" t="s">
        <v>289</v>
      </c>
      <c r="D399">
        <v>63128</v>
      </c>
      <c r="E399">
        <v>9</v>
      </c>
      <c r="F399" t="e">
        <f>YEAR(C399)</f>
        <v>#VALUE!</v>
      </c>
      <c r="G399" t="e">
        <f>MONTH(C399)</f>
        <v>#VALUE!</v>
      </c>
      <c r="H399" t="e">
        <f>F399&amp;"-"&amp;G399</f>
        <v>#VALUE!</v>
      </c>
    </row>
    <row r="400">
      <c r="A400" t="s">
        <v>24</v>
      </c>
      <c r="B400" t="s">
        <v>67</v>
      </c>
      <c r="C400" t="s">
        <v>290</v>
      </c>
      <c r="D400">
        <v>38643</v>
      </c>
      <c r="E400">
        <v>6</v>
      </c>
      <c r="F400" t="e">
        <f>YEAR(C400)</f>
        <v>#VALUE!</v>
      </c>
      <c r="G400" t="e">
        <f>MONTH(C400)</f>
        <v>#VALUE!</v>
      </c>
      <c r="H400" t="e">
        <f>F400&amp;"-"&amp;G400</f>
        <v>#VALUE!</v>
      </c>
    </row>
    <row r="401">
      <c r="A401" t="s">
        <v>28</v>
      </c>
      <c r="B401" t="s">
        <v>102</v>
      </c>
      <c r="C401" t="s">
        <v>290</v>
      </c>
      <c r="D401">
        <v>34828</v>
      </c>
      <c r="E401">
        <v>8</v>
      </c>
      <c r="F401" t="e">
        <f>YEAR(C401)</f>
        <v>#VALUE!</v>
      </c>
      <c r="G401" t="e">
        <f>MONTH(C401)</f>
        <v>#VALUE!</v>
      </c>
      <c r="H401" t="e">
        <f>F401&amp;"-"&amp;G401</f>
        <v>#VALUE!</v>
      </c>
    </row>
    <row r="402">
      <c r="A402" t="s">
        <v>28</v>
      </c>
      <c r="B402" t="s">
        <v>291</v>
      </c>
      <c r="C402" t="s">
        <v>290</v>
      </c>
      <c r="D402">
        <v>87762</v>
      </c>
      <c r="E402">
        <v>9</v>
      </c>
      <c r="F402" t="e">
        <f>YEAR(C402)</f>
        <v>#VALUE!</v>
      </c>
      <c r="G402" t="e">
        <f>MONTH(C402)</f>
        <v>#VALUE!</v>
      </c>
      <c r="H402" t="e">
        <f>F402&amp;"-"&amp;G402</f>
        <v>#VALUE!</v>
      </c>
    </row>
    <row r="403">
      <c r="A403" t="s">
        <v>47</v>
      </c>
      <c r="B403" t="s">
        <v>292</v>
      </c>
      <c r="C403" t="s">
        <v>290</v>
      </c>
      <c r="D403">
        <v>48351</v>
      </c>
      <c r="E403">
        <v>6</v>
      </c>
      <c r="F403" t="e">
        <f>YEAR(C403)</f>
        <v>#VALUE!</v>
      </c>
      <c r="G403" t="e">
        <f>MONTH(C403)</f>
        <v>#VALUE!</v>
      </c>
      <c r="H403" t="e">
        <f>F403&amp;"-"&amp;G403</f>
        <v>#VALUE!</v>
      </c>
    </row>
    <row r="404">
      <c r="A404" t="s">
        <v>5</v>
      </c>
      <c r="B404" t="s">
        <v>82</v>
      </c>
      <c r="C404" t="s">
        <v>290</v>
      </c>
      <c r="D404">
        <v>42294</v>
      </c>
      <c r="E404">
        <v>10</v>
      </c>
      <c r="F404" t="e">
        <f>YEAR(C404)</f>
        <v>#VALUE!</v>
      </c>
      <c r="G404" t="e">
        <f>MONTH(C404)</f>
        <v>#VALUE!</v>
      </c>
      <c r="H404" t="e">
        <f>F404&amp;"-"&amp;G404</f>
        <v>#VALUE!</v>
      </c>
    </row>
    <row r="405">
      <c r="A405" t="s">
        <v>13</v>
      </c>
      <c r="B405" t="s">
        <v>87</v>
      </c>
      <c r="C405" t="s">
        <v>293</v>
      </c>
      <c r="D405">
        <v>59865</v>
      </c>
      <c r="E405">
        <v>2</v>
      </c>
      <c r="F405" t="e">
        <f>YEAR(C405)</f>
        <v>#VALUE!</v>
      </c>
      <c r="G405" t="e">
        <f>MONTH(C405)</f>
        <v>#VALUE!</v>
      </c>
      <c r="H405" t="e">
        <f>F405&amp;"-"&amp;G405</f>
        <v>#VALUE!</v>
      </c>
    </row>
    <row r="406">
      <c r="A406" t="s">
        <v>28</v>
      </c>
      <c r="B406" t="s">
        <v>272</v>
      </c>
      <c r="C406" t="s">
        <v>293</v>
      </c>
      <c r="D406">
        <v>72906</v>
      </c>
      <c r="E406">
        <v>6</v>
      </c>
      <c r="F406" t="e">
        <f>YEAR(C406)</f>
        <v>#VALUE!</v>
      </c>
      <c r="G406" t="e">
        <f>MONTH(C406)</f>
        <v>#VALUE!</v>
      </c>
      <c r="H406" t="e">
        <f>F406&amp;"-"&amp;G406</f>
        <v>#VALUE!</v>
      </c>
    </row>
    <row r="407">
      <c r="A407" t="s">
        <v>28</v>
      </c>
      <c r="B407" t="s">
        <v>55</v>
      </c>
      <c r="C407" t="s">
        <v>293</v>
      </c>
      <c r="D407">
        <v>47116</v>
      </c>
      <c r="E407">
        <v>4</v>
      </c>
      <c r="F407" t="e">
        <f>YEAR(C407)</f>
        <v>#VALUE!</v>
      </c>
      <c r="G407" t="e">
        <f>MONTH(C407)</f>
        <v>#VALUE!</v>
      </c>
      <c r="H407" t="e">
        <f>F407&amp;"-"&amp;G407</f>
        <v>#VALUE!</v>
      </c>
    </row>
    <row r="408">
      <c r="A408" t="s">
        <v>17</v>
      </c>
      <c r="B408" t="s">
        <v>254</v>
      </c>
      <c r="C408" t="s">
        <v>293</v>
      </c>
      <c r="D408">
        <v>29717</v>
      </c>
      <c r="E408">
        <v>8</v>
      </c>
      <c r="F408" t="e">
        <f>YEAR(C408)</f>
        <v>#VALUE!</v>
      </c>
      <c r="G408" t="e">
        <f>MONTH(C408)</f>
        <v>#VALUE!</v>
      </c>
      <c r="H408" t="e">
        <f>F408&amp;"-"&amp;G408</f>
        <v>#VALUE!</v>
      </c>
    </row>
    <row r="409">
      <c r="A409" t="s">
        <v>11</v>
      </c>
      <c r="B409" t="s">
        <v>185</v>
      </c>
      <c r="C409" t="s">
        <v>294</v>
      </c>
      <c r="D409">
        <v>26516</v>
      </c>
      <c r="E409">
        <v>7</v>
      </c>
      <c r="F409" t="e">
        <f>YEAR(C409)</f>
        <v>#VALUE!</v>
      </c>
      <c r="G409" t="e">
        <f>MONTH(C409)</f>
        <v>#VALUE!</v>
      </c>
      <c r="H409" t="e">
        <f>F409&amp;"-"&amp;G409</f>
        <v>#VALUE!</v>
      </c>
    </row>
    <row r="410">
      <c r="A410" t="s">
        <v>13</v>
      </c>
      <c r="B410" t="s">
        <v>162</v>
      </c>
      <c r="C410" t="s">
        <v>294</v>
      </c>
      <c r="D410">
        <v>33594</v>
      </c>
      <c r="E410">
        <v>7</v>
      </c>
      <c r="F410" t="e">
        <f>YEAR(C410)</f>
        <v>#VALUE!</v>
      </c>
      <c r="G410" t="e">
        <f>MONTH(C410)</f>
        <v>#VALUE!</v>
      </c>
      <c r="H410" t="e">
        <f>F410&amp;"-"&amp;G410</f>
        <v>#VALUE!</v>
      </c>
    </row>
    <row r="411">
      <c r="A411" t="s">
        <v>8</v>
      </c>
      <c r="B411" t="s">
        <v>142</v>
      </c>
      <c r="C411" t="s">
        <v>295</v>
      </c>
      <c r="D411">
        <v>15347</v>
      </c>
      <c r="E411">
        <v>6</v>
      </c>
      <c r="F411" t="e">
        <f>YEAR(C411)</f>
        <v>#VALUE!</v>
      </c>
      <c r="G411" t="e">
        <f>MONTH(C411)</f>
        <v>#VALUE!</v>
      </c>
      <c r="H411" t="e">
        <f>F411&amp;"-"&amp;G411</f>
        <v>#VALUE!</v>
      </c>
    </row>
    <row r="412">
      <c r="A412" t="s">
        <v>47</v>
      </c>
      <c r="B412" t="s">
        <v>16</v>
      </c>
      <c r="C412" t="s">
        <v>295</v>
      </c>
      <c r="D412">
        <v>42327</v>
      </c>
      <c r="E412">
        <v>9</v>
      </c>
      <c r="F412" t="e">
        <f>YEAR(C412)</f>
        <v>#VALUE!</v>
      </c>
      <c r="G412" t="e">
        <f>MONTH(C412)</f>
        <v>#VALUE!</v>
      </c>
      <c r="H412" t="e">
        <f>F412&amp;"-"&amp;G412</f>
        <v>#VALUE!</v>
      </c>
    </row>
    <row r="413">
      <c r="A413" t="s">
        <v>24</v>
      </c>
      <c r="B413" t="s">
        <v>50</v>
      </c>
      <c r="C413" t="s">
        <v>295</v>
      </c>
      <c r="D413">
        <v>80316</v>
      </c>
      <c r="E413">
        <v>4</v>
      </c>
      <c r="F413" t="e">
        <f>YEAR(C413)</f>
        <v>#VALUE!</v>
      </c>
      <c r="G413" t="e">
        <f>MONTH(C413)</f>
        <v>#VALUE!</v>
      </c>
      <c r="H413" t="e">
        <f>F413&amp;"-"&amp;G413</f>
        <v>#VALUE!</v>
      </c>
    </row>
    <row r="414">
      <c r="A414" t="s">
        <v>43</v>
      </c>
      <c r="B414" t="s">
        <v>267</v>
      </c>
      <c r="C414" t="s">
        <v>295</v>
      </c>
      <c r="D414">
        <v>69884</v>
      </c>
      <c r="E414">
        <v>2</v>
      </c>
      <c r="F414" t="e">
        <f>YEAR(C414)</f>
        <v>#VALUE!</v>
      </c>
      <c r="G414" t="e">
        <f>MONTH(C414)</f>
        <v>#VALUE!</v>
      </c>
      <c r="H414" t="e">
        <f>F414&amp;"-"&amp;G414</f>
        <v>#VALUE!</v>
      </c>
    </row>
    <row r="415">
      <c r="A415" t="s">
        <v>28</v>
      </c>
      <c r="B415" t="s">
        <v>25</v>
      </c>
      <c r="C415" t="s">
        <v>295</v>
      </c>
      <c r="D415">
        <v>46693</v>
      </c>
      <c r="E415">
        <v>4</v>
      </c>
      <c r="F415" t="e">
        <f>YEAR(C415)</f>
        <v>#VALUE!</v>
      </c>
      <c r="G415" t="e">
        <f>MONTH(C415)</f>
        <v>#VALUE!</v>
      </c>
      <c r="H415" t="e">
        <f>F415&amp;"-"&amp;G415</f>
        <v>#VALUE!</v>
      </c>
    </row>
    <row r="416">
      <c r="A416" t="s">
        <v>11</v>
      </c>
      <c r="B416" t="s">
        <v>270</v>
      </c>
      <c r="C416" t="s">
        <v>295</v>
      </c>
      <c r="D416">
        <v>19301</v>
      </c>
      <c r="E416">
        <v>10</v>
      </c>
      <c r="F416" t="e">
        <f>YEAR(C416)</f>
        <v>#VALUE!</v>
      </c>
      <c r="G416" t="e">
        <f>MONTH(C416)</f>
        <v>#VALUE!</v>
      </c>
      <c r="H416" t="e">
        <f>F416&amp;"-"&amp;G416</f>
        <v>#VALUE!</v>
      </c>
    </row>
    <row r="417">
      <c r="A417" t="s">
        <v>8</v>
      </c>
      <c r="B417" t="s">
        <v>78</v>
      </c>
      <c r="C417" t="s">
        <v>296</v>
      </c>
      <c r="D417">
        <v>48221</v>
      </c>
      <c r="E417">
        <v>6</v>
      </c>
      <c r="F417" t="e">
        <f>YEAR(C417)</f>
        <v>#VALUE!</v>
      </c>
      <c r="G417" t="e">
        <f>MONTH(C417)</f>
        <v>#VALUE!</v>
      </c>
      <c r="H417" t="e">
        <f>F417&amp;"-"&amp;G417</f>
        <v>#VALUE!</v>
      </c>
    </row>
    <row r="418">
      <c r="A418" t="s">
        <v>13</v>
      </c>
      <c r="B418" t="s">
        <v>131</v>
      </c>
      <c r="C418" t="s">
        <v>296</v>
      </c>
      <c r="D418">
        <v>37124</v>
      </c>
      <c r="E418">
        <v>5</v>
      </c>
      <c r="F418" t="e">
        <f>YEAR(C418)</f>
        <v>#VALUE!</v>
      </c>
      <c r="G418" t="e">
        <f>MONTH(C418)</f>
        <v>#VALUE!</v>
      </c>
      <c r="H418" t="e">
        <f>F418&amp;"-"&amp;G418</f>
        <v>#VALUE!</v>
      </c>
    </row>
    <row r="419">
      <c r="A419" t="s">
        <v>15</v>
      </c>
      <c r="B419" t="s">
        <v>82</v>
      </c>
      <c r="C419" t="s">
        <v>296</v>
      </c>
      <c r="D419">
        <v>75864</v>
      </c>
      <c r="E419">
        <v>0</v>
      </c>
      <c r="F419" t="e">
        <f>YEAR(C419)</f>
        <v>#VALUE!</v>
      </c>
      <c r="G419" t="e">
        <f>MONTH(C419)</f>
        <v>#VALUE!</v>
      </c>
      <c r="H419" t="e">
        <f>F419&amp;"-"&amp;G419</f>
        <v>#VALUE!</v>
      </c>
    </row>
    <row r="420">
      <c r="A420" t="s">
        <v>5</v>
      </c>
      <c r="B420" t="s">
        <v>270</v>
      </c>
      <c r="C420" t="s">
        <v>296</v>
      </c>
      <c r="D420">
        <v>72258</v>
      </c>
      <c r="E420">
        <v>8</v>
      </c>
      <c r="F420" t="e">
        <f>YEAR(C420)</f>
        <v>#VALUE!</v>
      </c>
      <c r="G420" t="e">
        <f>MONTH(C420)</f>
        <v>#VALUE!</v>
      </c>
      <c r="H420" t="e">
        <f>F420&amp;"-"&amp;G420</f>
        <v>#VALUE!</v>
      </c>
    </row>
    <row r="421">
      <c r="A421" t="s">
        <v>13</v>
      </c>
      <c r="B421" t="s">
        <v>184</v>
      </c>
      <c r="C421" t="s">
        <v>297</v>
      </c>
      <c r="D421">
        <v>87800</v>
      </c>
      <c r="E421">
        <v>1</v>
      </c>
      <c r="F421" t="e">
        <f>YEAR(C421)</f>
        <v>#VALUE!</v>
      </c>
      <c r="G421" t="e">
        <f>MONTH(C421)</f>
        <v>#VALUE!</v>
      </c>
      <c r="H421" t="e">
        <f>F421&amp;"-"&amp;G421</f>
        <v>#VALUE!</v>
      </c>
    </row>
    <row r="422">
      <c r="A422" t="s">
        <v>5</v>
      </c>
      <c r="B422" t="s">
        <v>190</v>
      </c>
      <c r="C422" t="s">
        <v>297</v>
      </c>
      <c r="D422">
        <v>98482</v>
      </c>
      <c r="E422">
        <v>6</v>
      </c>
      <c r="F422" t="e">
        <f>YEAR(C422)</f>
        <v>#VALUE!</v>
      </c>
      <c r="G422" t="e">
        <f>MONTH(C422)</f>
        <v>#VALUE!</v>
      </c>
      <c r="H422" t="e">
        <f>F422&amp;"-"&amp;G422</f>
        <v>#VALUE!</v>
      </c>
    </row>
    <row r="423">
      <c r="A423" t="s">
        <v>13</v>
      </c>
      <c r="B423" t="s">
        <v>284</v>
      </c>
      <c r="C423" t="s">
        <v>298</v>
      </c>
      <c r="D423">
        <v>27809</v>
      </c>
      <c r="E423">
        <v>9</v>
      </c>
      <c r="F423">
        <f>YEAR(C423)</f>
        <v>2024</v>
      </c>
      <c r="G423">
        <f>MONTH(C423)</f>
        <v>1</v>
      </c>
      <c r="H423" t="str">
        <f>F423&amp;"-"&amp;G423</f>
        <v>2024-1</v>
      </c>
    </row>
    <row r="424">
      <c r="A424" t="s">
        <v>13</v>
      </c>
      <c r="B424" t="s">
        <v>299</v>
      </c>
      <c r="C424" t="s">
        <v>300</v>
      </c>
      <c r="D424">
        <v>44025</v>
      </c>
      <c r="E424">
        <v>3</v>
      </c>
      <c r="F424">
        <f>YEAR(C424)</f>
        <v>2024</v>
      </c>
      <c r="G424">
        <f>MONTH(C424)</f>
        <v>2</v>
      </c>
      <c r="H424" t="str">
        <f>F424&amp;"-"&amp;G424</f>
        <v>2024-2</v>
      </c>
    </row>
    <row r="425">
      <c r="A425" t="s">
        <v>17</v>
      </c>
      <c r="B425" t="s">
        <v>248</v>
      </c>
      <c r="C425" t="s">
        <v>300</v>
      </c>
      <c r="D425">
        <v>35446</v>
      </c>
      <c r="E425">
        <v>6</v>
      </c>
      <c r="F425">
        <f>YEAR(C425)</f>
        <v>2024</v>
      </c>
      <c r="G425">
        <f>MONTH(C425)</f>
        <v>2</v>
      </c>
      <c r="H425" t="str">
        <f>F425&amp;"-"&amp;G425</f>
        <v>2024-2</v>
      </c>
    </row>
    <row r="426">
      <c r="A426" t="s">
        <v>13</v>
      </c>
      <c r="B426" t="s">
        <v>133</v>
      </c>
      <c r="C426" t="s">
        <v>300</v>
      </c>
      <c r="D426">
        <v>56989</v>
      </c>
      <c r="E426">
        <v>5</v>
      </c>
      <c r="F426">
        <f>YEAR(C426)</f>
        <v>2024</v>
      </c>
      <c r="G426">
        <f>MONTH(C426)</f>
        <v>2</v>
      </c>
      <c r="H426" t="str">
        <f>F426&amp;"-"&amp;G426</f>
        <v>2024-2</v>
      </c>
    </row>
    <row r="427">
      <c r="A427" t="s">
        <v>24</v>
      </c>
      <c r="B427" t="s">
        <v>49</v>
      </c>
      <c r="C427" t="s">
        <v>301</v>
      </c>
      <c r="D427">
        <v>22897</v>
      </c>
      <c r="E427">
        <v>7</v>
      </c>
      <c r="F427">
        <f>YEAR(C427)</f>
        <v>2024</v>
      </c>
      <c r="G427">
        <f>MONTH(C427)</f>
        <v>5</v>
      </c>
      <c r="H427" t="str">
        <f>F427&amp;"-"&amp;G427</f>
        <v>2024-5</v>
      </c>
    </row>
    <row r="428">
      <c r="A428" t="s">
        <v>47</v>
      </c>
      <c r="B428" t="s">
        <v>42</v>
      </c>
      <c r="C428" t="s">
        <v>301</v>
      </c>
      <c r="D428">
        <v>98433</v>
      </c>
      <c r="E428">
        <v>6</v>
      </c>
      <c r="F428">
        <f>YEAR(C428)</f>
        <v>2024</v>
      </c>
      <c r="G428">
        <f>MONTH(C428)</f>
        <v>5</v>
      </c>
      <c r="H428" t="str">
        <f>F428&amp;"-"&amp;G428</f>
        <v>2024-5</v>
      </c>
    </row>
    <row r="429">
      <c r="A429" t="s">
        <v>15</v>
      </c>
      <c r="B429" t="s">
        <v>234</v>
      </c>
      <c r="C429" t="s">
        <v>301</v>
      </c>
      <c r="D429">
        <v>29964</v>
      </c>
      <c r="E429">
        <v>7</v>
      </c>
      <c r="F429">
        <f>YEAR(C429)</f>
        <v>2024</v>
      </c>
      <c r="G429">
        <f>MONTH(C429)</f>
        <v>5</v>
      </c>
      <c r="H429" t="str">
        <f>F429&amp;"-"&amp;G429</f>
        <v>2024-5</v>
      </c>
    </row>
    <row r="430">
      <c r="A430" t="s">
        <v>13</v>
      </c>
      <c r="B430" t="s">
        <v>89</v>
      </c>
      <c r="C430" t="s">
        <v>301</v>
      </c>
      <c r="D430">
        <v>95355</v>
      </c>
      <c r="E430">
        <v>8</v>
      </c>
      <c r="F430">
        <f>YEAR(C430)</f>
        <v>2024</v>
      </c>
      <c r="G430">
        <f>MONTH(C430)</f>
        <v>5</v>
      </c>
      <c r="H430" t="str">
        <f>F430&amp;"-"&amp;G430</f>
        <v>2024-5</v>
      </c>
    </row>
    <row r="431">
      <c r="A431" t="s">
        <v>43</v>
      </c>
      <c r="B431" t="s">
        <v>192</v>
      </c>
      <c r="C431" t="s">
        <v>301</v>
      </c>
      <c r="D431">
        <v>18726</v>
      </c>
      <c r="E431">
        <v>8</v>
      </c>
      <c r="F431">
        <f>YEAR(C431)</f>
        <v>2024</v>
      </c>
      <c r="G431">
        <f>MONTH(C431)</f>
        <v>5</v>
      </c>
      <c r="H431" t="str">
        <f>F431&amp;"-"&amp;G431</f>
        <v>2024-5</v>
      </c>
    </row>
    <row r="432">
      <c r="A432" t="s">
        <v>5</v>
      </c>
      <c r="B432" t="s">
        <v>302</v>
      </c>
      <c r="C432" t="s">
        <v>303</v>
      </c>
      <c r="D432">
        <v>34639</v>
      </c>
      <c r="E432">
        <v>6</v>
      </c>
      <c r="F432">
        <f>YEAR(C432)</f>
        <v>2024</v>
      </c>
      <c r="G432">
        <f>MONTH(C432)</f>
        <v>6</v>
      </c>
      <c r="H432" t="str">
        <f>F432&amp;"-"&amp;G432</f>
        <v>2024-6</v>
      </c>
    </row>
    <row r="433">
      <c r="A433" t="s">
        <v>57</v>
      </c>
      <c r="B433" t="s">
        <v>177</v>
      </c>
      <c r="C433" t="s">
        <v>303</v>
      </c>
      <c r="D433">
        <v>20384</v>
      </c>
      <c r="E433">
        <v>9</v>
      </c>
      <c r="F433">
        <f>YEAR(C433)</f>
        <v>2024</v>
      </c>
      <c r="G433">
        <f>MONTH(C433)</f>
        <v>6</v>
      </c>
      <c r="H433" t="str">
        <f>F433&amp;"-"&amp;G433</f>
        <v>2024-6</v>
      </c>
    </row>
    <row r="434">
      <c r="A434" t="s">
        <v>28</v>
      </c>
      <c r="B434" t="s">
        <v>163</v>
      </c>
      <c r="C434" t="s">
        <v>303</v>
      </c>
      <c r="D434">
        <v>43251</v>
      </c>
      <c r="E434">
        <v>6</v>
      </c>
      <c r="F434">
        <f>YEAR(C434)</f>
        <v>2024</v>
      </c>
      <c r="G434">
        <f>MONTH(C434)</f>
        <v>6</v>
      </c>
      <c r="H434" t="str">
        <f>F434&amp;"-"&amp;G434</f>
        <v>2024-6</v>
      </c>
    </row>
    <row r="435">
      <c r="A435" t="s">
        <v>24</v>
      </c>
      <c r="B435" t="s">
        <v>174</v>
      </c>
      <c r="C435" t="s">
        <v>303</v>
      </c>
      <c r="D435">
        <v>48250</v>
      </c>
      <c r="E435">
        <v>1</v>
      </c>
      <c r="F435">
        <f>YEAR(C435)</f>
        <v>2024</v>
      </c>
      <c r="G435">
        <f>MONTH(C435)</f>
        <v>6</v>
      </c>
      <c r="H435" t="str">
        <f>F435&amp;"-"&amp;G435</f>
        <v>2024-6</v>
      </c>
    </row>
    <row r="436">
      <c r="A436" t="s">
        <v>15</v>
      </c>
      <c r="B436" t="s">
        <v>248</v>
      </c>
      <c r="C436" t="s">
        <v>304</v>
      </c>
      <c r="D436">
        <v>38343</v>
      </c>
      <c r="E436">
        <v>10</v>
      </c>
      <c r="F436">
        <f>YEAR(C436)</f>
        <v>2024</v>
      </c>
      <c r="G436">
        <f>MONTH(C436)</f>
        <v>7</v>
      </c>
      <c r="H436" t="str">
        <f>F436&amp;"-"&amp;G436</f>
        <v>2024-7</v>
      </c>
    </row>
    <row r="437">
      <c r="A437" t="s">
        <v>24</v>
      </c>
      <c r="B437" t="s">
        <v>93</v>
      </c>
      <c r="C437" t="s">
        <v>304</v>
      </c>
      <c r="D437">
        <v>76414</v>
      </c>
      <c r="E437">
        <v>2</v>
      </c>
      <c r="F437">
        <f>YEAR(C437)</f>
        <v>2024</v>
      </c>
      <c r="G437">
        <f>MONTH(C437)</f>
        <v>7</v>
      </c>
      <c r="H437" t="str">
        <f>F437&amp;"-"&amp;G437</f>
        <v>2024-7</v>
      </c>
    </row>
    <row r="438">
      <c r="A438" t="s">
        <v>13</v>
      </c>
      <c r="B438" t="s">
        <v>305</v>
      </c>
      <c r="C438" t="s">
        <v>304</v>
      </c>
      <c r="D438">
        <v>63841</v>
      </c>
      <c r="E438">
        <v>9</v>
      </c>
      <c r="F438">
        <f>YEAR(C438)</f>
        <v>2024</v>
      </c>
      <c r="G438">
        <f>MONTH(C438)</f>
        <v>7</v>
      </c>
      <c r="H438" t="str">
        <f>F438&amp;"-"&amp;G438</f>
        <v>2024-7</v>
      </c>
    </row>
    <row r="439">
      <c r="A439" t="s">
        <v>5</v>
      </c>
      <c r="B439" t="s">
        <v>128</v>
      </c>
      <c r="C439" t="s">
        <v>306</v>
      </c>
      <c r="D439">
        <v>88537</v>
      </c>
      <c r="E439">
        <v>10</v>
      </c>
      <c r="F439">
        <f>YEAR(C439)</f>
        <v>2024</v>
      </c>
      <c r="G439">
        <f>MONTH(C439)</f>
        <v>8</v>
      </c>
      <c r="H439" t="str">
        <f>F439&amp;"-"&amp;G439</f>
        <v>2024-8</v>
      </c>
    </row>
    <row r="440">
      <c r="A440" t="s">
        <v>15</v>
      </c>
      <c r="B440" t="s">
        <v>83</v>
      </c>
      <c r="C440" t="s">
        <v>307</v>
      </c>
      <c r="D440">
        <v>92555</v>
      </c>
      <c r="E440">
        <v>7</v>
      </c>
      <c r="F440">
        <f>YEAR(C440)</f>
        <v>2024</v>
      </c>
      <c r="G440">
        <f>MONTH(C440)</f>
        <v>9</v>
      </c>
      <c r="H440" t="str">
        <f>F440&amp;"-"&amp;G440</f>
        <v>2024-9</v>
      </c>
    </row>
    <row r="441">
      <c r="A441" t="s">
        <v>24</v>
      </c>
      <c r="B441" t="s">
        <v>165</v>
      </c>
      <c r="C441" t="s">
        <v>307</v>
      </c>
      <c r="D441">
        <v>35749</v>
      </c>
      <c r="E441">
        <v>6</v>
      </c>
      <c r="F441">
        <f>YEAR(C441)</f>
        <v>2024</v>
      </c>
      <c r="G441">
        <f>MONTH(C441)</f>
        <v>9</v>
      </c>
      <c r="H441" t="str">
        <f>F441&amp;"-"&amp;G441</f>
        <v>2024-9</v>
      </c>
    </row>
    <row r="442">
      <c r="A442" t="s">
        <v>5</v>
      </c>
      <c r="B442" t="s">
        <v>186</v>
      </c>
      <c r="C442" t="s">
        <v>307</v>
      </c>
      <c r="D442">
        <v>97544</v>
      </c>
      <c r="E442">
        <v>4</v>
      </c>
      <c r="F442">
        <f>YEAR(C442)</f>
        <v>2024</v>
      </c>
      <c r="G442">
        <f>MONTH(C442)</f>
        <v>9</v>
      </c>
      <c r="H442" t="str">
        <f>F442&amp;"-"&amp;G442</f>
        <v>2024-9</v>
      </c>
    </row>
    <row r="443">
      <c r="A443" t="s">
        <v>5</v>
      </c>
      <c r="B443" t="s">
        <v>308</v>
      </c>
      <c r="C443" t="s">
        <v>307</v>
      </c>
      <c r="D443">
        <v>74117</v>
      </c>
      <c r="E443">
        <v>3</v>
      </c>
      <c r="F443">
        <f>YEAR(C443)</f>
        <v>2024</v>
      </c>
      <c r="G443">
        <f>MONTH(C443)</f>
        <v>9</v>
      </c>
      <c r="H443" t="str">
        <f>F443&amp;"-"&amp;G443</f>
        <v>2024-9</v>
      </c>
    </row>
    <row r="444">
      <c r="A444" t="s">
        <v>17</v>
      </c>
      <c r="B444" t="s">
        <v>39</v>
      </c>
      <c r="C444" t="s">
        <v>309</v>
      </c>
      <c r="D444">
        <v>57400</v>
      </c>
      <c r="E444">
        <v>2</v>
      </c>
      <c r="F444">
        <f>YEAR(C444)</f>
        <v>2024</v>
      </c>
      <c r="G444">
        <f>MONTH(C444)</f>
        <v>12</v>
      </c>
      <c r="H444" t="str">
        <f>F444&amp;"-"&amp;G444</f>
        <v>2024-12</v>
      </c>
    </row>
    <row r="445">
      <c r="A445" t="s">
        <v>57</v>
      </c>
      <c r="B445" t="s">
        <v>108</v>
      </c>
      <c r="C445" t="s">
        <v>309</v>
      </c>
      <c r="D445">
        <v>70156</v>
      </c>
      <c r="E445">
        <v>6</v>
      </c>
      <c r="F445">
        <f>YEAR(C445)</f>
        <v>2024</v>
      </c>
      <c r="G445">
        <f>MONTH(C445)</f>
        <v>12</v>
      </c>
      <c r="H445" t="str">
        <f>F445&amp;"-"&amp;G445</f>
        <v>2024-12</v>
      </c>
    </row>
    <row r="446">
      <c r="A446" t="s">
        <v>24</v>
      </c>
      <c r="B446" t="s">
        <v>209</v>
      </c>
      <c r="C446" t="s">
        <v>309</v>
      </c>
      <c r="D446">
        <v>60138</v>
      </c>
      <c r="E446">
        <v>5</v>
      </c>
      <c r="F446">
        <f>YEAR(C446)</f>
        <v>2024</v>
      </c>
      <c r="G446">
        <f>MONTH(C446)</f>
        <v>12</v>
      </c>
      <c r="H446" t="str">
        <f>F446&amp;"-"&amp;G446</f>
        <v>2024-12</v>
      </c>
    </row>
    <row r="447">
      <c r="A447" t="s">
        <v>24</v>
      </c>
      <c r="B447" t="s">
        <v>310</v>
      </c>
      <c r="C447" t="s">
        <v>309</v>
      </c>
      <c r="D447">
        <v>82599</v>
      </c>
      <c r="E447">
        <v>10</v>
      </c>
      <c r="F447">
        <f>YEAR(C447)</f>
        <v>2024</v>
      </c>
      <c r="G447">
        <f>MONTH(C447)</f>
        <v>12</v>
      </c>
      <c r="H447" t="str">
        <f>F447&amp;"-"&amp;G447</f>
        <v>2024-12</v>
      </c>
    </row>
    <row r="448">
      <c r="A448" t="s">
        <v>28</v>
      </c>
      <c r="B448" t="s">
        <v>151</v>
      </c>
      <c r="C448" t="s">
        <v>309</v>
      </c>
      <c r="D448">
        <v>89242</v>
      </c>
      <c r="E448">
        <v>8</v>
      </c>
      <c r="F448">
        <f>YEAR(C448)</f>
        <v>2024</v>
      </c>
      <c r="G448">
        <f>MONTH(C448)</f>
        <v>12</v>
      </c>
      <c r="H448" t="str">
        <f>F448&amp;"-"&amp;G448</f>
        <v>2024-12</v>
      </c>
    </row>
    <row r="449">
      <c r="A449" t="s">
        <v>28</v>
      </c>
      <c r="B449" t="s">
        <v>284</v>
      </c>
      <c r="C449" t="s">
        <v>309</v>
      </c>
      <c r="D449">
        <v>96187</v>
      </c>
      <c r="E449">
        <v>7</v>
      </c>
      <c r="F449">
        <f>YEAR(C449)</f>
        <v>2024</v>
      </c>
      <c r="G449">
        <f>MONTH(C449)</f>
        <v>12</v>
      </c>
      <c r="H449" t="str">
        <f>F449&amp;"-"&amp;G449</f>
        <v>2024-12</v>
      </c>
    </row>
    <row r="450">
      <c r="A450" t="s">
        <v>47</v>
      </c>
      <c r="B450" t="s">
        <v>280</v>
      </c>
      <c r="C450" t="s">
        <v>309</v>
      </c>
      <c r="D450">
        <v>20942</v>
      </c>
      <c r="E450">
        <v>7</v>
      </c>
      <c r="F450">
        <f>YEAR(C450)</f>
        <v>2024</v>
      </c>
      <c r="G450">
        <f>MONTH(C450)</f>
        <v>12</v>
      </c>
      <c r="H450" t="str">
        <f>F450&amp;"-"&amp;G450</f>
        <v>2024-12</v>
      </c>
    </row>
    <row r="451">
      <c r="A451" t="s">
        <v>21</v>
      </c>
      <c r="B451" t="s">
        <v>118</v>
      </c>
      <c r="C451" t="s">
        <v>309</v>
      </c>
      <c r="D451">
        <v>30584</v>
      </c>
      <c r="E451">
        <v>4</v>
      </c>
      <c r="F451">
        <f>YEAR(C451)</f>
        <v>2024</v>
      </c>
      <c r="G451">
        <f>MONTH(C451)</f>
        <v>12</v>
      </c>
      <c r="H451" t="str">
        <f>F451&amp;"-"&amp;G451</f>
        <v>2024-12</v>
      </c>
    </row>
    <row r="452">
      <c r="A452" t="s">
        <v>47</v>
      </c>
      <c r="B452" t="s">
        <v>305</v>
      </c>
      <c r="C452" t="s">
        <v>309</v>
      </c>
      <c r="D452">
        <v>79099</v>
      </c>
      <c r="E452">
        <v>4</v>
      </c>
      <c r="F452">
        <f>YEAR(C452)</f>
        <v>2024</v>
      </c>
      <c r="G452">
        <f>MONTH(C452)</f>
        <v>12</v>
      </c>
      <c r="H452" t="str">
        <f>F452&amp;"-"&amp;G452</f>
        <v>2024-12</v>
      </c>
    </row>
    <row r="453">
      <c r="A453" t="s">
        <v>43</v>
      </c>
      <c r="B453" t="s">
        <v>58</v>
      </c>
      <c r="C453" t="s">
        <v>311</v>
      </c>
      <c r="D453">
        <v>83664</v>
      </c>
      <c r="E453">
        <v>8</v>
      </c>
      <c r="F453" t="e">
        <f>YEAR(C453)</f>
        <v>#VALUE!</v>
      </c>
      <c r="G453" t="e">
        <f>MONTH(C453)</f>
        <v>#VALUE!</v>
      </c>
      <c r="H453" t="e">
        <f>F453&amp;"-"&amp;G453</f>
        <v>#VALUE!</v>
      </c>
    </row>
    <row r="454">
      <c r="A454" t="s">
        <v>43</v>
      </c>
      <c r="B454" t="s">
        <v>227</v>
      </c>
      <c r="C454" t="s">
        <v>311</v>
      </c>
      <c r="D454">
        <v>42746</v>
      </c>
      <c r="E454">
        <v>8</v>
      </c>
      <c r="F454" t="e">
        <f>YEAR(C454)</f>
        <v>#VALUE!</v>
      </c>
      <c r="G454" t="e">
        <f>MONTH(C454)</f>
        <v>#VALUE!</v>
      </c>
      <c r="H454" t="e">
        <f>F454&amp;"-"&amp;G454</f>
        <v>#VALUE!</v>
      </c>
    </row>
    <row r="455">
      <c r="A455" t="s">
        <v>11</v>
      </c>
      <c r="B455" t="s">
        <v>189</v>
      </c>
      <c r="C455" t="s">
        <v>312</v>
      </c>
      <c r="D455">
        <v>36423</v>
      </c>
      <c r="E455">
        <v>6</v>
      </c>
      <c r="F455" t="e">
        <f>YEAR(C455)</f>
        <v>#VALUE!</v>
      </c>
      <c r="G455" t="e">
        <f>MONTH(C455)</f>
        <v>#VALUE!</v>
      </c>
      <c r="H455" t="e">
        <f>F455&amp;"-"&amp;G455</f>
        <v>#VALUE!</v>
      </c>
    </row>
    <row r="456">
      <c r="A456" t="s">
        <v>11</v>
      </c>
      <c r="B456" t="s">
        <v>38</v>
      </c>
      <c r="C456" t="s">
        <v>312</v>
      </c>
      <c r="D456">
        <v>54500</v>
      </c>
      <c r="E456">
        <v>9</v>
      </c>
      <c r="F456" t="e">
        <f>YEAR(C456)</f>
        <v>#VALUE!</v>
      </c>
      <c r="G456" t="e">
        <f>MONTH(C456)</f>
        <v>#VALUE!</v>
      </c>
      <c r="H456" t="e">
        <f>F456&amp;"-"&amp;G456</f>
        <v>#VALUE!</v>
      </c>
    </row>
    <row r="457">
      <c r="A457" t="s">
        <v>11</v>
      </c>
      <c r="B457" t="s">
        <v>177</v>
      </c>
      <c r="C457" t="s">
        <v>312</v>
      </c>
      <c r="D457">
        <v>73860</v>
      </c>
      <c r="E457">
        <v>2</v>
      </c>
      <c r="F457" t="e">
        <f>YEAR(C457)</f>
        <v>#VALUE!</v>
      </c>
      <c r="G457" t="e">
        <f>MONTH(C457)</f>
        <v>#VALUE!</v>
      </c>
      <c r="H457" t="e">
        <f>F457&amp;"-"&amp;G457</f>
        <v>#VALUE!</v>
      </c>
    </row>
    <row r="458">
      <c r="A458" t="s">
        <v>17</v>
      </c>
      <c r="B458" t="s">
        <v>270</v>
      </c>
      <c r="C458" t="s">
        <v>312</v>
      </c>
      <c r="D458">
        <v>51176</v>
      </c>
      <c r="E458">
        <v>10</v>
      </c>
      <c r="F458" t="e">
        <f>YEAR(C458)</f>
        <v>#VALUE!</v>
      </c>
      <c r="G458" t="e">
        <f>MONTH(C458)</f>
        <v>#VALUE!</v>
      </c>
      <c r="H458" t="e">
        <f>F458&amp;"-"&amp;G458</f>
        <v>#VALUE!</v>
      </c>
    </row>
    <row r="459">
      <c r="A459" t="s">
        <v>43</v>
      </c>
      <c r="B459" t="s">
        <v>49</v>
      </c>
      <c r="C459" t="s">
        <v>312</v>
      </c>
      <c r="D459">
        <v>75469</v>
      </c>
      <c r="E459">
        <v>9</v>
      </c>
      <c r="F459" t="e">
        <f>YEAR(C459)</f>
        <v>#VALUE!</v>
      </c>
      <c r="G459" t="e">
        <f>MONTH(C459)</f>
        <v>#VALUE!</v>
      </c>
      <c r="H459" t="e">
        <f>F459&amp;"-"&amp;G459</f>
        <v>#VALUE!</v>
      </c>
    </row>
    <row r="460">
      <c r="A460" t="s">
        <v>13</v>
      </c>
      <c r="B460" t="s">
        <v>256</v>
      </c>
      <c r="C460" t="s">
        <v>312</v>
      </c>
      <c r="D460">
        <v>56516</v>
      </c>
      <c r="E460">
        <v>7</v>
      </c>
      <c r="F460" t="e">
        <f>YEAR(C460)</f>
        <v>#VALUE!</v>
      </c>
      <c r="G460" t="e">
        <f>MONTH(C460)</f>
        <v>#VALUE!</v>
      </c>
      <c r="H460" t="e">
        <f>F460&amp;"-"&amp;G460</f>
        <v>#VALUE!</v>
      </c>
    </row>
    <row r="461">
      <c r="A461" t="s">
        <v>21</v>
      </c>
      <c r="B461" t="s">
        <v>258</v>
      </c>
      <c r="C461" t="s">
        <v>313</v>
      </c>
      <c r="D461">
        <v>41253</v>
      </c>
      <c r="E461">
        <v>10</v>
      </c>
      <c r="F461" t="e">
        <f>YEAR(C461)</f>
        <v>#VALUE!</v>
      </c>
      <c r="G461" t="e">
        <f>MONTH(C461)</f>
        <v>#VALUE!</v>
      </c>
      <c r="H461" t="e">
        <f>F461&amp;"-"&amp;G461</f>
        <v>#VALUE!</v>
      </c>
    </row>
    <row r="462">
      <c r="A462" t="s">
        <v>17</v>
      </c>
      <c r="B462" t="s">
        <v>142</v>
      </c>
      <c r="C462" t="s">
        <v>313</v>
      </c>
      <c r="D462">
        <v>64728</v>
      </c>
      <c r="E462">
        <v>8</v>
      </c>
      <c r="F462" t="e">
        <f>YEAR(C462)</f>
        <v>#VALUE!</v>
      </c>
      <c r="G462" t="e">
        <f>MONTH(C462)</f>
        <v>#VALUE!</v>
      </c>
      <c r="H462" t="e">
        <f>F462&amp;"-"&amp;G462</f>
        <v>#VALUE!</v>
      </c>
    </row>
    <row r="463">
      <c r="A463" t="s">
        <v>24</v>
      </c>
      <c r="B463" t="s">
        <v>129</v>
      </c>
      <c r="C463" t="s">
        <v>313</v>
      </c>
      <c r="D463">
        <v>57149</v>
      </c>
      <c r="E463">
        <v>10</v>
      </c>
      <c r="F463" t="e">
        <f>YEAR(C463)</f>
        <v>#VALUE!</v>
      </c>
      <c r="G463" t="e">
        <f>MONTH(C463)</f>
        <v>#VALUE!</v>
      </c>
      <c r="H463" t="e">
        <f>F463&amp;"-"&amp;G463</f>
        <v>#VALUE!</v>
      </c>
    </row>
    <row r="464">
      <c r="A464" t="s">
        <v>47</v>
      </c>
      <c r="B464" t="s">
        <v>106</v>
      </c>
      <c r="C464" t="s">
        <v>313</v>
      </c>
      <c r="D464">
        <v>78529</v>
      </c>
      <c r="E464">
        <v>9</v>
      </c>
      <c r="F464" t="e">
        <f>YEAR(C464)</f>
        <v>#VALUE!</v>
      </c>
      <c r="G464" t="e">
        <f>MONTH(C464)</f>
        <v>#VALUE!</v>
      </c>
      <c r="H464" t="e">
        <f>F464&amp;"-"&amp;G464</f>
        <v>#VALUE!</v>
      </c>
    </row>
    <row r="465">
      <c r="A465" t="s">
        <v>17</v>
      </c>
      <c r="B465" t="s">
        <v>197</v>
      </c>
      <c r="C465" t="s">
        <v>314</v>
      </c>
      <c r="D465">
        <v>25545</v>
      </c>
      <c r="E465">
        <v>3</v>
      </c>
      <c r="F465" t="e">
        <f>YEAR(C465)</f>
        <v>#VALUE!</v>
      </c>
      <c r="G465" t="e">
        <f>MONTH(C465)</f>
        <v>#VALUE!</v>
      </c>
      <c r="H465" t="e">
        <f>F465&amp;"-"&amp;G465</f>
        <v>#VALUE!</v>
      </c>
    </row>
    <row r="466">
      <c r="A466" t="s">
        <v>8</v>
      </c>
      <c r="B466" t="s">
        <v>163</v>
      </c>
      <c r="C466" t="s">
        <v>314</v>
      </c>
      <c r="D466">
        <v>61710</v>
      </c>
      <c r="E466">
        <v>8</v>
      </c>
      <c r="F466" t="e">
        <f>YEAR(C466)</f>
        <v>#VALUE!</v>
      </c>
      <c r="G466" t="e">
        <f>MONTH(C466)</f>
        <v>#VALUE!</v>
      </c>
      <c r="H466" t="e">
        <f>F466&amp;"-"&amp;G466</f>
        <v>#VALUE!</v>
      </c>
    </row>
    <row r="467">
      <c r="A467" t="s">
        <v>5</v>
      </c>
      <c r="B467" t="s">
        <v>151</v>
      </c>
      <c r="C467" t="s">
        <v>314</v>
      </c>
      <c r="D467">
        <v>23883</v>
      </c>
      <c r="E467">
        <v>7</v>
      </c>
      <c r="F467" t="e">
        <f>YEAR(C467)</f>
        <v>#VALUE!</v>
      </c>
      <c r="G467" t="e">
        <f>MONTH(C467)</f>
        <v>#VALUE!</v>
      </c>
      <c r="H467" t="e">
        <f>F467&amp;"-"&amp;G467</f>
        <v>#VALUE!</v>
      </c>
    </row>
    <row r="468">
      <c r="A468" t="s">
        <v>21</v>
      </c>
      <c r="B468" t="s">
        <v>147</v>
      </c>
      <c r="C468" t="s">
        <v>314</v>
      </c>
      <c r="D468">
        <v>44382</v>
      </c>
      <c r="E468">
        <v>5</v>
      </c>
      <c r="F468" t="e">
        <f>YEAR(C468)</f>
        <v>#VALUE!</v>
      </c>
      <c r="G468" t="e">
        <f>MONTH(C468)</f>
        <v>#VALUE!</v>
      </c>
      <c r="H468" t="e">
        <f>F468&amp;"-"&amp;G468</f>
        <v>#VALUE!</v>
      </c>
    </row>
    <row r="469">
      <c r="A469" t="s">
        <v>43</v>
      </c>
      <c r="B469" t="s">
        <v>315</v>
      </c>
      <c r="C469" t="s">
        <v>314</v>
      </c>
      <c r="D469">
        <v>82618</v>
      </c>
      <c r="E469">
        <v>5</v>
      </c>
      <c r="F469" t="e">
        <f>YEAR(C469)</f>
        <v>#VALUE!</v>
      </c>
      <c r="G469" t="e">
        <f>MONTH(C469)</f>
        <v>#VALUE!</v>
      </c>
      <c r="H469" t="e">
        <f>F469&amp;"-"&amp;G469</f>
        <v>#VALUE!</v>
      </c>
    </row>
    <row r="470">
      <c r="A470" t="s">
        <v>15</v>
      </c>
      <c r="B470" t="s">
        <v>190</v>
      </c>
      <c r="C470" t="s">
        <v>314</v>
      </c>
      <c r="D470">
        <v>67294</v>
      </c>
      <c r="E470">
        <v>7</v>
      </c>
      <c r="F470" t="e">
        <f>YEAR(C470)</f>
        <v>#VALUE!</v>
      </c>
      <c r="G470" t="e">
        <f>MONTH(C470)</f>
        <v>#VALUE!</v>
      </c>
      <c r="H470" t="e">
        <f>F470&amp;"-"&amp;G470</f>
        <v>#VALUE!</v>
      </c>
    </row>
    <row r="471">
      <c r="A471" t="s">
        <v>24</v>
      </c>
      <c r="B471" t="s">
        <v>316</v>
      </c>
      <c r="C471" t="s">
        <v>317</v>
      </c>
      <c r="D471">
        <v>93316</v>
      </c>
      <c r="E471">
        <v>9</v>
      </c>
      <c r="F471" t="e">
        <f>YEAR(C471)</f>
        <v>#VALUE!</v>
      </c>
      <c r="G471" t="e">
        <f>MONTH(C471)</f>
        <v>#VALUE!</v>
      </c>
      <c r="H471" t="e">
        <f>F471&amp;"-"&amp;G471</f>
        <v>#VALUE!</v>
      </c>
    </row>
    <row r="472">
      <c r="A472" t="s">
        <v>28</v>
      </c>
      <c r="B472" t="s">
        <v>207</v>
      </c>
      <c r="C472" t="s">
        <v>317</v>
      </c>
      <c r="D472">
        <v>44546</v>
      </c>
      <c r="E472">
        <v>6</v>
      </c>
      <c r="F472" t="e">
        <f>YEAR(C472)</f>
        <v>#VALUE!</v>
      </c>
      <c r="G472" t="e">
        <f>MONTH(C472)</f>
        <v>#VALUE!</v>
      </c>
      <c r="H472" t="e">
        <f>F472&amp;"-"&amp;G472</f>
        <v>#VALUE!</v>
      </c>
    </row>
    <row r="473">
      <c r="A473" t="s">
        <v>28</v>
      </c>
      <c r="B473" t="s">
        <v>190</v>
      </c>
      <c r="C473" t="s">
        <v>317</v>
      </c>
      <c r="D473">
        <v>75282</v>
      </c>
      <c r="E473">
        <v>7</v>
      </c>
      <c r="F473" t="e">
        <f>YEAR(C473)</f>
        <v>#VALUE!</v>
      </c>
      <c r="G473" t="e">
        <f>MONTH(C473)</f>
        <v>#VALUE!</v>
      </c>
      <c r="H473" t="e">
        <f>F473&amp;"-"&amp;G473</f>
        <v>#VALUE!</v>
      </c>
    </row>
    <row r="474">
      <c r="A474" t="s">
        <v>13</v>
      </c>
      <c r="B474" t="s">
        <v>181</v>
      </c>
      <c r="C474" t="s">
        <v>317</v>
      </c>
      <c r="D474">
        <v>34624</v>
      </c>
      <c r="E474">
        <v>5</v>
      </c>
      <c r="F474" t="e">
        <f>YEAR(C474)</f>
        <v>#VALUE!</v>
      </c>
      <c r="G474" t="e">
        <f>MONTH(C474)</f>
        <v>#VALUE!</v>
      </c>
      <c r="H474" t="e">
        <f>F474&amp;"-"&amp;G474</f>
        <v>#VALUE!</v>
      </c>
    </row>
    <row r="475">
      <c r="A475" t="s">
        <v>8</v>
      </c>
      <c r="B475" t="s">
        <v>138</v>
      </c>
      <c r="C475" t="s">
        <v>317</v>
      </c>
      <c r="D475">
        <v>65937</v>
      </c>
      <c r="E475">
        <v>8</v>
      </c>
      <c r="F475" t="e">
        <f>YEAR(C475)</f>
        <v>#VALUE!</v>
      </c>
      <c r="G475" t="e">
        <f>MONTH(C475)</f>
        <v>#VALUE!</v>
      </c>
      <c r="H475" t="e">
        <f>F475&amp;"-"&amp;G475</f>
        <v>#VALUE!</v>
      </c>
    </row>
    <row r="476">
      <c r="A476" t="s">
        <v>5</v>
      </c>
      <c r="B476" t="s">
        <v>55</v>
      </c>
      <c r="C476" t="s">
        <v>317</v>
      </c>
      <c r="D476">
        <v>76175</v>
      </c>
      <c r="E476">
        <v>7</v>
      </c>
      <c r="F476" t="e">
        <f>YEAR(C476)</f>
        <v>#VALUE!</v>
      </c>
      <c r="G476" t="e">
        <f>MONTH(C476)</f>
        <v>#VALUE!</v>
      </c>
      <c r="H476" t="e">
        <f>F476&amp;"-"&amp;G476</f>
        <v>#VALUE!</v>
      </c>
    </row>
    <row r="477">
      <c r="A477" t="s">
        <v>21</v>
      </c>
      <c r="B477" t="s">
        <v>252</v>
      </c>
      <c r="C477" t="s">
        <v>317</v>
      </c>
      <c r="D477">
        <v>80073</v>
      </c>
      <c r="E477">
        <v>5</v>
      </c>
      <c r="F477" t="e">
        <f>YEAR(C477)</f>
        <v>#VALUE!</v>
      </c>
      <c r="G477" t="e">
        <f>MONTH(C477)</f>
        <v>#VALUE!</v>
      </c>
      <c r="H477" t="e">
        <f>F477&amp;"-"&amp;G477</f>
        <v>#VALUE!</v>
      </c>
    </row>
    <row r="478">
      <c r="A478" t="s">
        <v>43</v>
      </c>
      <c r="B478" t="s">
        <v>267</v>
      </c>
      <c r="C478" t="s">
        <v>317</v>
      </c>
      <c r="D478">
        <v>84911</v>
      </c>
      <c r="E478">
        <v>5</v>
      </c>
      <c r="F478" t="e">
        <f>YEAR(C478)</f>
        <v>#VALUE!</v>
      </c>
      <c r="G478" t="e">
        <f>MONTH(C478)</f>
        <v>#VALUE!</v>
      </c>
      <c r="H478" t="e">
        <f>F478&amp;"-"&amp;G478</f>
        <v>#VALUE!</v>
      </c>
    </row>
    <row r="479">
      <c r="A479" t="s">
        <v>8</v>
      </c>
      <c r="B479" t="s">
        <v>31</v>
      </c>
      <c r="C479" t="s">
        <v>317</v>
      </c>
      <c r="D479">
        <v>18065</v>
      </c>
      <c r="E479">
        <v>3</v>
      </c>
      <c r="F479" t="e">
        <f>YEAR(C479)</f>
        <v>#VALUE!</v>
      </c>
      <c r="G479" t="e">
        <f>MONTH(C479)</f>
        <v>#VALUE!</v>
      </c>
      <c r="H479" t="e">
        <f>F479&amp;"-"&amp;G479</f>
        <v>#VALUE!</v>
      </c>
    </row>
    <row r="480">
      <c r="A480" t="s">
        <v>43</v>
      </c>
      <c r="B480" t="s">
        <v>302</v>
      </c>
      <c r="C480" t="s">
        <v>318</v>
      </c>
      <c r="D480">
        <v>74508</v>
      </c>
      <c r="E480">
        <v>8</v>
      </c>
      <c r="F480" t="e">
        <f>YEAR(C480)</f>
        <v>#VALUE!</v>
      </c>
      <c r="G480" t="e">
        <f>MONTH(C480)</f>
        <v>#VALUE!</v>
      </c>
      <c r="H480" t="e">
        <f>F480&amp;"-"&amp;G480</f>
        <v>#VALUE!</v>
      </c>
    </row>
    <row r="481">
      <c r="A481" t="s">
        <v>57</v>
      </c>
      <c r="B481" t="s">
        <v>6</v>
      </c>
      <c r="C481" t="s">
        <v>318</v>
      </c>
      <c r="D481">
        <v>85953</v>
      </c>
      <c r="E481">
        <v>5</v>
      </c>
      <c r="F481" t="e">
        <f>YEAR(C481)</f>
        <v>#VALUE!</v>
      </c>
      <c r="G481" t="e">
        <f>MONTH(C481)</f>
        <v>#VALUE!</v>
      </c>
      <c r="H481" t="e">
        <f>F481&amp;"-"&amp;G481</f>
        <v>#VALUE!</v>
      </c>
    </row>
    <row r="482">
      <c r="A482" t="s">
        <v>17</v>
      </c>
      <c r="B482" t="s">
        <v>302</v>
      </c>
      <c r="C482" t="s">
        <v>319</v>
      </c>
      <c r="D482">
        <v>64779</v>
      </c>
      <c r="E482">
        <v>7</v>
      </c>
      <c r="F482" t="e">
        <f>YEAR(C482)</f>
        <v>#VALUE!</v>
      </c>
      <c r="G482" t="e">
        <f>MONTH(C482)</f>
        <v>#VALUE!</v>
      </c>
      <c r="H482" t="e">
        <f>F482&amp;"-"&amp;G482</f>
        <v>#VALUE!</v>
      </c>
    </row>
    <row r="483">
      <c r="A483" t="s">
        <v>11</v>
      </c>
      <c r="B483" t="s">
        <v>85</v>
      </c>
      <c r="C483" t="s">
        <v>319</v>
      </c>
      <c r="D483">
        <v>69468</v>
      </c>
      <c r="E483">
        <v>7</v>
      </c>
      <c r="F483" t="e">
        <f>YEAR(C483)</f>
        <v>#VALUE!</v>
      </c>
      <c r="G483" t="e">
        <f>MONTH(C483)</f>
        <v>#VALUE!</v>
      </c>
      <c r="H483" t="e">
        <f>F483&amp;"-"&amp;G483</f>
        <v>#VALUE!</v>
      </c>
    </row>
    <row r="484">
      <c r="A484" t="s">
        <v>11</v>
      </c>
      <c r="B484" t="s">
        <v>91</v>
      </c>
      <c r="C484" t="s">
        <v>320</v>
      </c>
      <c r="D484">
        <v>61066</v>
      </c>
      <c r="E484">
        <v>8</v>
      </c>
      <c r="F484" t="e">
        <f>YEAR(C484)</f>
        <v>#VALUE!</v>
      </c>
      <c r="G484" t="e">
        <f>MONTH(C484)</f>
        <v>#VALUE!</v>
      </c>
      <c r="H484" t="e">
        <f>F484&amp;"-"&amp;G484</f>
        <v>#VALUE!</v>
      </c>
    </row>
    <row r="485">
      <c r="A485" t="s">
        <v>57</v>
      </c>
      <c r="B485" t="s">
        <v>129</v>
      </c>
      <c r="C485" t="s">
        <v>320</v>
      </c>
      <c r="D485">
        <v>48053</v>
      </c>
      <c r="E485">
        <v>6</v>
      </c>
      <c r="F485" t="e">
        <f>YEAR(C485)</f>
        <v>#VALUE!</v>
      </c>
      <c r="G485" t="e">
        <f>MONTH(C485)</f>
        <v>#VALUE!</v>
      </c>
      <c r="H485" t="e">
        <f>F485&amp;"-"&amp;G485</f>
        <v>#VALUE!</v>
      </c>
    </row>
    <row r="486">
      <c r="A486" t="s">
        <v>24</v>
      </c>
      <c r="B486" t="s">
        <v>35</v>
      </c>
      <c r="C486" t="s">
        <v>320</v>
      </c>
      <c r="D486">
        <v>80981</v>
      </c>
      <c r="E486">
        <v>8</v>
      </c>
      <c r="F486" t="e">
        <f>YEAR(C486)</f>
        <v>#VALUE!</v>
      </c>
      <c r="G486" t="e">
        <f>MONTH(C486)</f>
        <v>#VALUE!</v>
      </c>
      <c r="H486" t="e">
        <f>F486&amp;"-"&amp;G486</f>
        <v>#VALUE!</v>
      </c>
    </row>
    <row r="487">
      <c r="A487" t="s">
        <v>47</v>
      </c>
      <c r="B487" t="s">
        <v>321</v>
      </c>
      <c r="C487" t="s">
        <v>320</v>
      </c>
      <c r="D487">
        <v>79445</v>
      </c>
      <c r="E487">
        <v>5</v>
      </c>
      <c r="F487" t="e">
        <f>YEAR(C487)</f>
        <v>#VALUE!</v>
      </c>
      <c r="G487" t="e">
        <f>MONTH(C487)</f>
        <v>#VALUE!</v>
      </c>
      <c r="H487" t="e">
        <f>F487&amp;"-"&amp;G487</f>
        <v>#VALUE!</v>
      </c>
    </row>
    <row r="488">
      <c r="A488" t="s">
        <v>13</v>
      </c>
      <c r="B488" t="s">
        <v>189</v>
      </c>
      <c r="C488" t="s">
        <v>320</v>
      </c>
      <c r="D488">
        <v>44458</v>
      </c>
      <c r="E488">
        <v>9</v>
      </c>
      <c r="F488" t="e">
        <f>YEAR(C488)</f>
        <v>#VALUE!</v>
      </c>
      <c r="G488" t="e">
        <f>MONTH(C488)</f>
        <v>#VALUE!</v>
      </c>
      <c r="H488" t="e">
        <f>F488&amp;"-"&amp;G488</f>
        <v>#VALUE!</v>
      </c>
    </row>
    <row r="489">
      <c r="A489" t="s">
        <v>8</v>
      </c>
      <c r="B489" t="s">
        <v>316</v>
      </c>
      <c r="C489" t="s">
        <v>322</v>
      </c>
      <c r="D489">
        <v>39089</v>
      </c>
      <c r="E489">
        <v>5</v>
      </c>
      <c r="F489" t="e">
        <f>YEAR(C489)</f>
        <v>#VALUE!</v>
      </c>
      <c r="G489" t="e">
        <f>MONTH(C489)</f>
        <v>#VALUE!</v>
      </c>
      <c r="H489" t="e">
        <f>F489&amp;"-"&amp;G489</f>
        <v>#VALUE!</v>
      </c>
    </row>
    <row r="490">
      <c r="A490" t="s">
        <v>15</v>
      </c>
      <c r="B490" t="s">
        <v>267</v>
      </c>
      <c r="C490" t="s">
        <v>322</v>
      </c>
      <c r="D490">
        <v>21985</v>
      </c>
      <c r="E490">
        <v>6</v>
      </c>
      <c r="F490" t="e">
        <f>YEAR(C490)</f>
        <v>#VALUE!</v>
      </c>
      <c r="G490" t="e">
        <f>MONTH(C490)</f>
        <v>#VALUE!</v>
      </c>
      <c r="H490" t="e">
        <f>F490&amp;"-"&amp;G490</f>
        <v>#VALUE!</v>
      </c>
    </row>
    <row r="491">
      <c r="A491" t="s">
        <v>21</v>
      </c>
      <c r="B491" t="s">
        <v>284</v>
      </c>
      <c r="C491" t="s">
        <v>322</v>
      </c>
      <c r="D491">
        <v>84755</v>
      </c>
      <c r="E491">
        <v>9</v>
      </c>
      <c r="F491" t="e">
        <f>YEAR(C491)</f>
        <v>#VALUE!</v>
      </c>
      <c r="G491" t="e">
        <f>MONTH(C491)</f>
        <v>#VALUE!</v>
      </c>
      <c r="H491" t="e">
        <f>F491&amp;"-"&amp;G491</f>
        <v>#VALUE!</v>
      </c>
    </row>
    <row r="492">
      <c r="A492" t="s">
        <v>15</v>
      </c>
      <c r="B492" t="s">
        <v>123</v>
      </c>
      <c r="C492" t="s">
        <v>322</v>
      </c>
      <c r="D492">
        <v>37852</v>
      </c>
      <c r="E492">
        <v>8</v>
      </c>
      <c r="F492" t="e">
        <f>YEAR(C492)</f>
        <v>#VALUE!</v>
      </c>
      <c r="G492" t="e">
        <f>MONTH(C492)</f>
        <v>#VALUE!</v>
      </c>
      <c r="H492" t="e">
        <f>F492&amp;"-"&amp;G492</f>
        <v>#VALUE!</v>
      </c>
    </row>
    <row r="493">
      <c r="A493" t="s">
        <v>5</v>
      </c>
      <c r="B493" t="s">
        <v>143</v>
      </c>
      <c r="C493" t="s">
        <v>322</v>
      </c>
      <c r="D493">
        <v>59101</v>
      </c>
      <c r="E493">
        <v>2</v>
      </c>
      <c r="F493" t="e">
        <f>YEAR(C493)</f>
        <v>#VALUE!</v>
      </c>
      <c r="G493" t="e">
        <f>MONTH(C493)</f>
        <v>#VALUE!</v>
      </c>
      <c r="H493" t="e">
        <f>F493&amp;"-"&amp;G493</f>
        <v>#VALUE!</v>
      </c>
    </row>
    <row r="494">
      <c r="A494" t="s">
        <v>28</v>
      </c>
      <c r="B494" t="s">
        <v>69</v>
      </c>
      <c r="C494" t="s">
        <v>323</v>
      </c>
      <c r="D494">
        <v>69028</v>
      </c>
      <c r="E494">
        <v>7</v>
      </c>
      <c r="F494" t="e">
        <f>YEAR(C494)</f>
        <v>#VALUE!</v>
      </c>
      <c r="G494" t="e">
        <f>MONTH(C494)</f>
        <v>#VALUE!</v>
      </c>
      <c r="H494" t="e">
        <f>F494&amp;"-"&amp;G494</f>
        <v>#VALUE!</v>
      </c>
    </row>
    <row r="495">
      <c r="A495" t="s">
        <v>15</v>
      </c>
      <c r="B495" t="s">
        <v>92</v>
      </c>
      <c r="C495" t="s">
        <v>323</v>
      </c>
      <c r="D495">
        <v>95453</v>
      </c>
      <c r="E495">
        <v>10</v>
      </c>
      <c r="F495" t="e">
        <f>YEAR(C495)</f>
        <v>#VALUE!</v>
      </c>
      <c r="G495" t="e">
        <f>MONTH(C495)</f>
        <v>#VALUE!</v>
      </c>
      <c r="H495" t="e">
        <f>F495&amp;"-"&amp;G495</f>
        <v>#VALUE!</v>
      </c>
    </row>
    <row r="496">
      <c r="A496" t="s">
        <v>15</v>
      </c>
      <c r="B496" t="s">
        <v>308</v>
      </c>
      <c r="C496" t="s">
        <v>324</v>
      </c>
      <c r="D496">
        <v>42798</v>
      </c>
      <c r="E496">
        <v>7</v>
      </c>
      <c r="F496" t="e">
        <f>YEAR(C496)</f>
        <v>#VALUE!</v>
      </c>
      <c r="G496" t="e">
        <f>MONTH(C496)</f>
        <v>#VALUE!</v>
      </c>
      <c r="H496" t="e">
        <f>F496&amp;"-"&amp;G496</f>
        <v>#VALUE!</v>
      </c>
    </row>
    <row r="497">
      <c r="A497" t="s">
        <v>11</v>
      </c>
      <c r="B497" t="s">
        <v>257</v>
      </c>
      <c r="C497" t="s">
        <v>324</v>
      </c>
      <c r="D497">
        <v>98474</v>
      </c>
      <c r="E497">
        <v>7</v>
      </c>
      <c r="F497" t="e">
        <f>YEAR(C497)</f>
        <v>#VALUE!</v>
      </c>
      <c r="G497" t="e">
        <f>MONTH(C497)</f>
        <v>#VALUE!</v>
      </c>
      <c r="H497" t="e">
        <f>F497&amp;"-"&amp;G497</f>
        <v>#VALUE!</v>
      </c>
    </row>
    <row r="498">
      <c r="A498" t="s">
        <v>15</v>
      </c>
      <c r="B498" t="s">
        <v>223</v>
      </c>
      <c r="C498" t="s">
        <v>325</v>
      </c>
      <c r="D498">
        <v>11844</v>
      </c>
      <c r="E498">
        <v>6</v>
      </c>
      <c r="F498" t="e">
        <f>YEAR(C498)</f>
        <v>#VALUE!</v>
      </c>
      <c r="G498" t="e">
        <f>MONTH(C498)</f>
        <v>#VALUE!</v>
      </c>
      <c r="H498" t="e">
        <f>F498&amp;"-"&amp;G498</f>
        <v>#VALUE!</v>
      </c>
    </row>
    <row r="499">
      <c r="A499" t="s">
        <v>43</v>
      </c>
      <c r="B499" t="s">
        <v>158</v>
      </c>
      <c r="C499" t="s">
        <v>325</v>
      </c>
      <c r="D499">
        <v>97897</v>
      </c>
      <c r="E499">
        <v>6</v>
      </c>
      <c r="F499" t="e">
        <f>YEAR(C499)</f>
        <v>#VALUE!</v>
      </c>
      <c r="G499" t="e">
        <f>MONTH(C499)</f>
        <v>#VALUE!</v>
      </c>
      <c r="H499" t="e">
        <f>F499&amp;"-"&amp;G499</f>
        <v>#VALUE!</v>
      </c>
    </row>
    <row r="500">
      <c r="A500" t="s">
        <v>11</v>
      </c>
      <c r="B500" t="s">
        <v>192</v>
      </c>
      <c r="C500" t="s">
        <v>325</v>
      </c>
      <c r="D500">
        <v>88363</v>
      </c>
      <c r="E500">
        <v>7</v>
      </c>
      <c r="F500" t="e">
        <f>YEAR(C500)</f>
        <v>#VALUE!</v>
      </c>
      <c r="G500" t="e">
        <f>MONTH(C500)</f>
        <v>#VALUE!</v>
      </c>
      <c r="H500" t="e">
        <f>F500&amp;"-"&amp;G500</f>
        <v>#VALUE!</v>
      </c>
    </row>
    <row r="501">
      <c r="A501" t="s">
        <v>47</v>
      </c>
      <c r="B501" t="s">
        <v>52</v>
      </c>
      <c r="C501" t="s">
        <v>326</v>
      </c>
      <c r="D501">
        <v>49577</v>
      </c>
      <c r="E501">
        <v>4</v>
      </c>
      <c r="F501">
        <f>YEAR(C501)</f>
        <v>2024</v>
      </c>
      <c r="G501">
        <f>MONTH(C501)</f>
        <v>1</v>
      </c>
      <c r="H501" t="str">
        <f>F501&amp;"-"&amp;G501</f>
        <v>2024-1</v>
      </c>
    </row>
    <row r="502">
      <c r="A502" t="s">
        <v>24</v>
      </c>
      <c r="B502" t="s">
        <v>327</v>
      </c>
      <c r="C502" t="s">
        <v>326</v>
      </c>
      <c r="D502">
        <v>68581</v>
      </c>
      <c r="E502">
        <v>3</v>
      </c>
      <c r="F502">
        <f>YEAR(C502)</f>
        <v>2024</v>
      </c>
      <c r="G502">
        <f>MONTH(C502)</f>
        <v>1</v>
      </c>
      <c r="H502" t="str">
        <f>F502&amp;"-"&amp;G502</f>
        <v>2024-1</v>
      </c>
    </row>
    <row r="503">
      <c r="A503" t="s">
        <v>47</v>
      </c>
      <c r="B503" t="s">
        <v>144</v>
      </c>
      <c r="C503" t="s">
        <v>328</v>
      </c>
      <c r="D503">
        <v>88545</v>
      </c>
      <c r="E503">
        <v>10</v>
      </c>
      <c r="F503">
        <f>YEAR(C503)</f>
        <v>2024</v>
      </c>
      <c r="G503">
        <f>MONTH(C503)</f>
        <v>4</v>
      </c>
      <c r="H503" t="str">
        <f>F503&amp;"-"&amp;G503</f>
        <v>2024-4</v>
      </c>
    </row>
    <row r="504">
      <c r="A504" t="s">
        <v>15</v>
      </c>
      <c r="B504" t="s">
        <v>37</v>
      </c>
      <c r="C504" t="s">
        <v>328</v>
      </c>
      <c r="D504">
        <v>65306</v>
      </c>
      <c r="E504">
        <v>6</v>
      </c>
      <c r="F504">
        <f>YEAR(C504)</f>
        <v>2024</v>
      </c>
      <c r="G504">
        <f>MONTH(C504)</f>
        <v>4</v>
      </c>
      <c r="H504" t="str">
        <f>F504&amp;"-"&amp;G504</f>
        <v>2024-4</v>
      </c>
    </row>
    <row r="505">
      <c r="A505" t="s">
        <v>57</v>
      </c>
      <c r="B505" t="s">
        <v>256</v>
      </c>
      <c r="C505" t="s">
        <v>328</v>
      </c>
      <c r="D505">
        <v>14323</v>
      </c>
      <c r="E505">
        <v>4</v>
      </c>
      <c r="F505">
        <f>YEAR(C505)</f>
        <v>2024</v>
      </c>
      <c r="G505">
        <f>MONTH(C505)</f>
        <v>4</v>
      </c>
      <c r="H505" t="str">
        <f>F505&amp;"-"&amp;G505</f>
        <v>2024-4</v>
      </c>
    </row>
    <row r="506">
      <c r="A506" t="s">
        <v>57</v>
      </c>
      <c r="B506" t="s">
        <v>18</v>
      </c>
      <c r="C506" t="s">
        <v>328</v>
      </c>
      <c r="D506">
        <v>99142</v>
      </c>
      <c r="E506">
        <v>8</v>
      </c>
      <c r="F506">
        <f>YEAR(C506)</f>
        <v>2024</v>
      </c>
      <c r="G506">
        <f>MONTH(C506)</f>
        <v>4</v>
      </c>
      <c r="H506" t="str">
        <f>F506&amp;"-"&amp;G506</f>
        <v>2024-4</v>
      </c>
    </row>
    <row r="507">
      <c r="A507" t="s">
        <v>43</v>
      </c>
      <c r="B507" t="s">
        <v>291</v>
      </c>
      <c r="C507" t="s">
        <v>328</v>
      </c>
      <c r="D507">
        <v>38484</v>
      </c>
      <c r="E507">
        <v>7</v>
      </c>
      <c r="F507">
        <f>YEAR(C507)</f>
        <v>2024</v>
      </c>
      <c r="G507">
        <f>MONTH(C507)</f>
        <v>4</v>
      </c>
      <c r="H507" t="str">
        <f>F507&amp;"-"&amp;G507</f>
        <v>2024-4</v>
      </c>
    </row>
    <row r="508">
      <c r="A508" t="s">
        <v>13</v>
      </c>
      <c r="B508" t="s">
        <v>71</v>
      </c>
      <c r="C508" t="s">
        <v>328</v>
      </c>
      <c r="D508">
        <v>45827</v>
      </c>
      <c r="E508">
        <v>7</v>
      </c>
      <c r="F508">
        <f>YEAR(C508)</f>
        <v>2024</v>
      </c>
      <c r="G508">
        <f>MONTH(C508)</f>
        <v>4</v>
      </c>
      <c r="H508" t="str">
        <f>F508&amp;"-"&amp;G508</f>
        <v>2024-4</v>
      </c>
    </row>
    <row r="509">
      <c r="A509" t="s">
        <v>17</v>
      </c>
      <c r="B509" t="s">
        <v>14</v>
      </c>
      <c r="C509" t="s">
        <v>328</v>
      </c>
      <c r="D509">
        <v>60086</v>
      </c>
      <c r="E509">
        <v>7</v>
      </c>
      <c r="F509">
        <f>YEAR(C509)</f>
        <v>2024</v>
      </c>
      <c r="G509">
        <f>MONTH(C509)</f>
        <v>4</v>
      </c>
      <c r="H509" t="str">
        <f>F509&amp;"-"&amp;G509</f>
        <v>2024-4</v>
      </c>
    </row>
    <row r="510">
      <c r="A510" t="s">
        <v>43</v>
      </c>
      <c r="B510" t="s">
        <v>327</v>
      </c>
      <c r="C510" t="s">
        <v>328</v>
      </c>
      <c r="D510">
        <v>98848</v>
      </c>
      <c r="E510">
        <v>3</v>
      </c>
      <c r="F510">
        <f>YEAR(C510)</f>
        <v>2024</v>
      </c>
      <c r="G510">
        <f>MONTH(C510)</f>
        <v>4</v>
      </c>
      <c r="H510" t="str">
        <f>F510&amp;"-"&amp;G510</f>
        <v>2024-4</v>
      </c>
    </row>
    <row r="511">
      <c r="A511" t="s">
        <v>24</v>
      </c>
      <c r="B511" t="s">
        <v>160</v>
      </c>
      <c r="C511" t="s">
        <v>328</v>
      </c>
      <c r="D511">
        <v>25032</v>
      </c>
      <c r="E511">
        <v>7</v>
      </c>
      <c r="F511">
        <f>YEAR(C511)</f>
        <v>2024</v>
      </c>
      <c r="G511">
        <f>MONTH(C511)</f>
        <v>4</v>
      </c>
      <c r="H511" t="str">
        <f>F511&amp;"-"&amp;G511</f>
        <v>2024-4</v>
      </c>
    </row>
    <row r="512">
      <c r="A512" t="s">
        <v>24</v>
      </c>
      <c r="B512" t="s">
        <v>163</v>
      </c>
      <c r="C512" t="s">
        <v>328</v>
      </c>
      <c r="D512">
        <v>42372</v>
      </c>
      <c r="E512">
        <v>8</v>
      </c>
      <c r="F512">
        <f>YEAR(C512)</f>
        <v>2024</v>
      </c>
      <c r="G512">
        <f>MONTH(C512)</f>
        <v>4</v>
      </c>
      <c r="H512" t="str">
        <f>F512&amp;"-"&amp;G512</f>
        <v>2024-4</v>
      </c>
    </row>
    <row r="513">
      <c r="A513" t="s">
        <v>15</v>
      </c>
      <c r="B513" t="s">
        <v>39</v>
      </c>
      <c r="C513" t="s">
        <v>328</v>
      </c>
      <c r="D513">
        <v>50257</v>
      </c>
      <c r="E513">
        <v>2</v>
      </c>
      <c r="F513">
        <f>YEAR(C513)</f>
        <v>2024</v>
      </c>
      <c r="G513">
        <f>MONTH(C513)</f>
        <v>4</v>
      </c>
      <c r="H513" t="str">
        <f>F513&amp;"-"&amp;G513</f>
        <v>2024-4</v>
      </c>
    </row>
    <row r="514">
      <c r="A514" t="s">
        <v>47</v>
      </c>
      <c r="B514" t="s">
        <v>288</v>
      </c>
      <c r="C514" t="s">
        <v>328</v>
      </c>
      <c r="D514">
        <v>40576</v>
      </c>
      <c r="E514">
        <v>8</v>
      </c>
      <c r="F514">
        <f>YEAR(C514)</f>
        <v>2024</v>
      </c>
      <c r="G514">
        <f>MONTH(C514)</f>
        <v>4</v>
      </c>
      <c r="H514" t="str">
        <f>F514&amp;"-"&amp;G514</f>
        <v>2024-4</v>
      </c>
    </row>
    <row r="515">
      <c r="A515" t="s">
        <v>57</v>
      </c>
      <c r="B515" t="s">
        <v>174</v>
      </c>
      <c r="C515" t="s">
        <v>329</v>
      </c>
      <c r="D515">
        <v>63364</v>
      </c>
      <c r="E515">
        <v>2</v>
      </c>
      <c r="F515">
        <f>YEAR(C515)</f>
        <v>2024</v>
      </c>
      <c r="G515">
        <f>MONTH(C515)</f>
        <v>5</v>
      </c>
      <c r="H515" t="str">
        <f>F515&amp;"-"&amp;G515</f>
        <v>2024-5</v>
      </c>
    </row>
    <row r="516">
      <c r="A516" t="s">
        <v>43</v>
      </c>
      <c r="B516" t="s">
        <v>113</v>
      </c>
      <c r="C516" t="s">
        <v>329</v>
      </c>
      <c r="D516">
        <v>33499</v>
      </c>
      <c r="E516">
        <v>6</v>
      </c>
      <c r="F516">
        <f>YEAR(C516)</f>
        <v>2024</v>
      </c>
      <c r="G516">
        <f>MONTH(C516)</f>
        <v>5</v>
      </c>
      <c r="H516" t="str">
        <f>F516&amp;"-"&amp;G516</f>
        <v>2024-5</v>
      </c>
    </row>
    <row r="517">
      <c r="A517" t="s">
        <v>8</v>
      </c>
      <c r="B517" t="s">
        <v>89</v>
      </c>
      <c r="C517" t="s">
        <v>330</v>
      </c>
      <c r="D517">
        <v>17772</v>
      </c>
      <c r="E517">
        <v>3</v>
      </c>
      <c r="F517">
        <f>YEAR(C517)</f>
        <v>2024</v>
      </c>
      <c r="G517">
        <f>MONTH(C517)</f>
        <v>6</v>
      </c>
      <c r="H517" t="str">
        <f>F517&amp;"-"&amp;G517</f>
        <v>2024-6</v>
      </c>
    </row>
    <row r="518">
      <c r="A518" t="s">
        <v>17</v>
      </c>
      <c r="B518" t="s">
        <v>18</v>
      </c>
      <c r="C518" t="s">
        <v>330</v>
      </c>
      <c r="D518">
        <v>75874</v>
      </c>
      <c r="E518">
        <v>8</v>
      </c>
      <c r="F518">
        <f>YEAR(C518)</f>
        <v>2024</v>
      </c>
      <c r="G518">
        <f>MONTH(C518)</f>
        <v>6</v>
      </c>
      <c r="H518" t="str">
        <f>F518&amp;"-"&amp;G518</f>
        <v>2024-6</v>
      </c>
    </row>
    <row r="519">
      <c r="A519" t="s">
        <v>5</v>
      </c>
      <c r="B519" t="s">
        <v>331</v>
      </c>
      <c r="C519" t="s">
        <v>330</v>
      </c>
      <c r="D519">
        <v>36358</v>
      </c>
      <c r="E519">
        <v>4</v>
      </c>
      <c r="F519">
        <f>YEAR(C519)</f>
        <v>2024</v>
      </c>
      <c r="G519">
        <f>MONTH(C519)</f>
        <v>6</v>
      </c>
      <c r="H519" t="str">
        <f>F519&amp;"-"&amp;G519</f>
        <v>2024-6</v>
      </c>
    </row>
    <row r="520">
      <c r="A520" t="s">
        <v>21</v>
      </c>
      <c r="B520" t="s">
        <v>33</v>
      </c>
      <c r="C520" t="s">
        <v>332</v>
      </c>
      <c r="D520">
        <v>83978</v>
      </c>
      <c r="E520">
        <v>9</v>
      </c>
      <c r="F520">
        <f>YEAR(C520)</f>
        <v>2024</v>
      </c>
      <c r="G520">
        <f>MONTH(C520)</f>
        <v>8</v>
      </c>
      <c r="H520" t="str">
        <f>F520&amp;"-"&amp;G520</f>
        <v>2024-8</v>
      </c>
    </row>
    <row r="521">
      <c r="A521" t="s">
        <v>5</v>
      </c>
      <c r="B521" t="s">
        <v>50</v>
      </c>
      <c r="C521" t="s">
        <v>332</v>
      </c>
      <c r="D521">
        <v>34167</v>
      </c>
      <c r="E521">
        <v>6</v>
      </c>
      <c r="F521">
        <f>YEAR(C521)</f>
        <v>2024</v>
      </c>
      <c r="G521">
        <f>MONTH(C521)</f>
        <v>8</v>
      </c>
      <c r="H521" t="str">
        <f>F521&amp;"-"&amp;G521</f>
        <v>2024-8</v>
      </c>
    </row>
    <row r="522">
      <c r="A522" t="s">
        <v>11</v>
      </c>
      <c r="B522" t="s">
        <v>40</v>
      </c>
      <c r="C522" t="s">
        <v>333</v>
      </c>
      <c r="D522">
        <v>74761</v>
      </c>
      <c r="E522">
        <v>8</v>
      </c>
      <c r="F522">
        <f>YEAR(C522)</f>
        <v>2024</v>
      </c>
      <c r="G522">
        <f>MONTH(C522)</f>
        <v>11</v>
      </c>
      <c r="H522" t="str">
        <f>F522&amp;"-"&amp;G522</f>
        <v>2024-11</v>
      </c>
    </row>
    <row r="523">
      <c r="A523" t="s">
        <v>57</v>
      </c>
      <c r="B523" t="s">
        <v>248</v>
      </c>
      <c r="C523" t="s">
        <v>333</v>
      </c>
      <c r="D523">
        <v>28695</v>
      </c>
      <c r="E523">
        <v>7</v>
      </c>
      <c r="F523">
        <f>YEAR(C523)</f>
        <v>2024</v>
      </c>
      <c r="G523">
        <f>MONTH(C523)</f>
        <v>11</v>
      </c>
      <c r="H523" t="str">
        <f>F523&amp;"-"&amp;G523</f>
        <v>2024-11</v>
      </c>
    </row>
    <row r="524">
      <c r="A524" t="s">
        <v>15</v>
      </c>
      <c r="B524" t="s">
        <v>64</v>
      </c>
      <c r="C524" t="s">
        <v>333</v>
      </c>
      <c r="D524">
        <v>22252</v>
      </c>
      <c r="E524">
        <v>7</v>
      </c>
      <c r="F524">
        <f>YEAR(C524)</f>
        <v>2024</v>
      </c>
      <c r="G524">
        <f>MONTH(C524)</f>
        <v>11</v>
      </c>
      <c r="H524" t="str">
        <f>F524&amp;"-"&amp;G524</f>
        <v>2024-11</v>
      </c>
    </row>
    <row r="525">
      <c r="A525" t="s">
        <v>13</v>
      </c>
      <c r="B525" t="s">
        <v>78</v>
      </c>
      <c r="C525" t="s">
        <v>334</v>
      </c>
      <c r="D525">
        <v>82585</v>
      </c>
      <c r="E525">
        <v>8</v>
      </c>
      <c r="F525">
        <f>YEAR(C525)</f>
        <v>2024</v>
      </c>
      <c r="G525">
        <f>MONTH(C525)</f>
        <v>12</v>
      </c>
      <c r="H525" t="str">
        <f>F525&amp;"-"&amp;G525</f>
        <v>2024-12</v>
      </c>
    </row>
    <row r="526">
      <c r="A526" t="s">
        <v>15</v>
      </c>
      <c r="B526" t="s">
        <v>113</v>
      </c>
      <c r="C526" t="s">
        <v>334</v>
      </c>
      <c r="D526">
        <v>17138</v>
      </c>
      <c r="E526">
        <v>3</v>
      </c>
      <c r="F526">
        <f>YEAR(C526)</f>
        <v>2024</v>
      </c>
      <c r="G526">
        <f>MONTH(C526)</f>
        <v>12</v>
      </c>
      <c r="H526" t="str">
        <f>F526&amp;"-"&amp;G526</f>
        <v>2024-12</v>
      </c>
    </row>
    <row r="527">
      <c r="A527" t="s">
        <v>8</v>
      </c>
      <c r="B527" t="s">
        <v>71</v>
      </c>
      <c r="C527" t="s">
        <v>334</v>
      </c>
      <c r="D527">
        <v>31259</v>
      </c>
      <c r="E527">
        <v>7</v>
      </c>
      <c r="F527">
        <f>YEAR(C527)</f>
        <v>2024</v>
      </c>
      <c r="G527">
        <f>MONTH(C527)</f>
        <v>12</v>
      </c>
      <c r="H527" t="str">
        <f>F527&amp;"-"&amp;G527</f>
        <v>2024-12</v>
      </c>
    </row>
    <row r="528">
      <c r="A528" t="s">
        <v>5</v>
      </c>
      <c r="B528" t="s">
        <v>273</v>
      </c>
      <c r="C528" t="s">
        <v>335</v>
      </c>
      <c r="D528">
        <v>54217</v>
      </c>
      <c r="E528">
        <v>9</v>
      </c>
      <c r="F528" t="e">
        <f>YEAR(C528)</f>
        <v>#VALUE!</v>
      </c>
      <c r="G528" t="e">
        <f>MONTH(C528)</f>
        <v>#VALUE!</v>
      </c>
      <c r="H528" t="e">
        <f>F528&amp;"-"&amp;G528</f>
        <v>#VALUE!</v>
      </c>
    </row>
    <row r="529">
      <c r="A529" t="s">
        <v>57</v>
      </c>
      <c r="B529" t="s">
        <v>284</v>
      </c>
      <c r="C529" t="s">
        <v>335</v>
      </c>
      <c r="D529">
        <v>43040</v>
      </c>
      <c r="E529">
        <v>5</v>
      </c>
      <c r="F529" t="e">
        <f>YEAR(C529)</f>
        <v>#VALUE!</v>
      </c>
      <c r="G529" t="e">
        <f>MONTH(C529)</f>
        <v>#VALUE!</v>
      </c>
      <c r="H529" t="e">
        <f>F529&amp;"-"&amp;G529</f>
        <v>#VALUE!</v>
      </c>
    </row>
    <row r="530">
      <c r="A530" t="s">
        <v>43</v>
      </c>
      <c r="B530" t="s">
        <v>119</v>
      </c>
      <c r="C530" t="s">
        <v>336</v>
      </c>
      <c r="D530">
        <v>64257</v>
      </c>
      <c r="E530">
        <v>3</v>
      </c>
      <c r="F530" t="e">
        <f>YEAR(C530)</f>
        <v>#VALUE!</v>
      </c>
      <c r="G530" t="e">
        <f>MONTH(C530)</f>
        <v>#VALUE!</v>
      </c>
      <c r="H530" t="e">
        <f>F530&amp;"-"&amp;G530</f>
        <v>#VALUE!</v>
      </c>
    </row>
    <row r="531">
      <c r="A531" t="s">
        <v>43</v>
      </c>
      <c r="B531" t="s">
        <v>185</v>
      </c>
      <c r="C531" t="s">
        <v>336</v>
      </c>
      <c r="D531">
        <v>47147</v>
      </c>
      <c r="E531">
        <v>2</v>
      </c>
      <c r="F531" t="e">
        <f>YEAR(C531)</f>
        <v>#VALUE!</v>
      </c>
      <c r="G531" t="e">
        <f>MONTH(C531)</f>
        <v>#VALUE!</v>
      </c>
      <c r="H531" t="e">
        <f>F531&amp;"-"&amp;G531</f>
        <v>#VALUE!</v>
      </c>
    </row>
    <row r="532">
      <c r="A532" t="s">
        <v>24</v>
      </c>
      <c r="B532" t="s">
        <v>204</v>
      </c>
      <c r="C532" t="s">
        <v>336</v>
      </c>
      <c r="D532">
        <v>21455</v>
      </c>
      <c r="E532">
        <v>10</v>
      </c>
      <c r="F532" t="e">
        <f>YEAR(C532)</f>
        <v>#VALUE!</v>
      </c>
      <c r="G532" t="e">
        <f>MONTH(C532)</f>
        <v>#VALUE!</v>
      </c>
      <c r="H532" t="e">
        <f>F532&amp;"-"&amp;G532</f>
        <v>#VALUE!</v>
      </c>
    </row>
    <row r="533">
      <c r="A533" t="s">
        <v>57</v>
      </c>
      <c r="B533" t="s">
        <v>243</v>
      </c>
      <c r="C533" t="s">
        <v>336</v>
      </c>
      <c r="D533">
        <v>15668</v>
      </c>
      <c r="E533">
        <v>2</v>
      </c>
      <c r="F533" t="e">
        <f>YEAR(C533)</f>
        <v>#VALUE!</v>
      </c>
      <c r="G533" t="e">
        <f>MONTH(C533)</f>
        <v>#VALUE!</v>
      </c>
      <c r="H533" t="e">
        <f>F533&amp;"-"&amp;G533</f>
        <v>#VALUE!</v>
      </c>
    </row>
    <row r="534">
      <c r="A534" t="s">
        <v>24</v>
      </c>
      <c r="B534" t="s">
        <v>70</v>
      </c>
      <c r="C534" t="s">
        <v>336</v>
      </c>
      <c r="D534">
        <v>23639</v>
      </c>
      <c r="E534">
        <v>9</v>
      </c>
      <c r="F534" t="e">
        <f>YEAR(C534)</f>
        <v>#VALUE!</v>
      </c>
      <c r="G534" t="e">
        <f>MONTH(C534)</f>
        <v>#VALUE!</v>
      </c>
      <c r="H534" t="e">
        <f>F534&amp;"-"&amp;G534</f>
        <v>#VALUE!</v>
      </c>
    </row>
    <row r="535">
      <c r="A535" t="s">
        <v>8</v>
      </c>
      <c r="B535" t="s">
        <v>255</v>
      </c>
      <c r="C535" t="s">
        <v>336</v>
      </c>
      <c r="D535">
        <v>23173</v>
      </c>
      <c r="E535">
        <v>5</v>
      </c>
      <c r="F535" t="e">
        <f>YEAR(C535)</f>
        <v>#VALUE!</v>
      </c>
      <c r="G535" t="e">
        <f>MONTH(C535)</f>
        <v>#VALUE!</v>
      </c>
      <c r="H535" t="e">
        <f>F535&amp;"-"&amp;G535</f>
        <v>#VALUE!</v>
      </c>
    </row>
    <row r="536">
      <c r="A536" t="s">
        <v>11</v>
      </c>
      <c r="B536" t="s">
        <v>252</v>
      </c>
      <c r="C536" t="s">
        <v>337</v>
      </c>
      <c r="D536">
        <v>56909</v>
      </c>
      <c r="E536">
        <v>7</v>
      </c>
      <c r="F536" t="e">
        <f>YEAR(C536)</f>
        <v>#VALUE!</v>
      </c>
      <c r="G536" t="e">
        <f>MONTH(C536)</f>
        <v>#VALUE!</v>
      </c>
      <c r="H536" t="e">
        <f>F536&amp;"-"&amp;G536</f>
        <v>#VALUE!</v>
      </c>
    </row>
    <row r="537">
      <c r="A537" t="s">
        <v>57</v>
      </c>
      <c r="B537" t="s">
        <v>181</v>
      </c>
      <c r="C537" t="s">
        <v>337</v>
      </c>
      <c r="D537">
        <v>22503</v>
      </c>
      <c r="E537">
        <v>6</v>
      </c>
      <c r="F537" t="e">
        <f>YEAR(C537)</f>
        <v>#VALUE!</v>
      </c>
      <c r="G537" t="e">
        <f>MONTH(C537)</f>
        <v>#VALUE!</v>
      </c>
      <c r="H537" t="e">
        <f>F537&amp;"-"&amp;G537</f>
        <v>#VALUE!</v>
      </c>
    </row>
    <row r="538">
      <c r="A538" t="s">
        <v>5</v>
      </c>
      <c r="B538" t="s">
        <v>170</v>
      </c>
      <c r="C538" t="s">
        <v>337</v>
      </c>
      <c r="D538">
        <v>48296</v>
      </c>
      <c r="E538">
        <v>7</v>
      </c>
      <c r="F538" t="e">
        <f>YEAR(C538)</f>
        <v>#VALUE!</v>
      </c>
      <c r="G538" t="e">
        <f>MONTH(C538)</f>
        <v>#VALUE!</v>
      </c>
      <c r="H538" t="e">
        <f>F538&amp;"-"&amp;G538</f>
        <v>#VALUE!</v>
      </c>
    </row>
    <row r="539">
      <c r="A539" t="s">
        <v>13</v>
      </c>
      <c r="B539" t="s">
        <v>30</v>
      </c>
      <c r="C539" t="s">
        <v>337</v>
      </c>
      <c r="D539">
        <v>57213</v>
      </c>
      <c r="E539">
        <v>7</v>
      </c>
      <c r="F539" t="e">
        <f>YEAR(C539)</f>
        <v>#VALUE!</v>
      </c>
      <c r="G539" t="e">
        <f>MONTH(C539)</f>
        <v>#VALUE!</v>
      </c>
      <c r="H539" t="e">
        <f>F539&amp;"-"&amp;G539</f>
        <v>#VALUE!</v>
      </c>
    </row>
    <row r="540">
      <c r="A540" t="s">
        <v>47</v>
      </c>
      <c r="B540" t="s">
        <v>20</v>
      </c>
      <c r="C540" t="s">
        <v>337</v>
      </c>
      <c r="D540">
        <v>76989</v>
      </c>
      <c r="E540">
        <v>10</v>
      </c>
      <c r="F540" t="e">
        <f>YEAR(C540)</f>
        <v>#VALUE!</v>
      </c>
      <c r="G540" t="e">
        <f>MONTH(C540)</f>
        <v>#VALUE!</v>
      </c>
      <c r="H540" t="e">
        <f>F540&amp;"-"&amp;G540</f>
        <v>#VALUE!</v>
      </c>
    </row>
    <row r="541">
      <c r="A541" t="s">
        <v>21</v>
      </c>
      <c r="B541" t="s">
        <v>181</v>
      </c>
      <c r="C541" t="s">
        <v>337</v>
      </c>
      <c r="D541">
        <v>84333</v>
      </c>
      <c r="E541">
        <v>2</v>
      </c>
      <c r="F541" t="e">
        <f>YEAR(C541)</f>
        <v>#VALUE!</v>
      </c>
      <c r="G541" t="e">
        <f>MONTH(C541)</f>
        <v>#VALUE!</v>
      </c>
      <c r="H541" t="e">
        <f>F541&amp;"-"&amp;G541</f>
        <v>#VALUE!</v>
      </c>
    </row>
    <row r="542">
      <c r="A542" t="s">
        <v>11</v>
      </c>
      <c r="B542" t="s">
        <v>161</v>
      </c>
      <c r="C542" t="s">
        <v>337</v>
      </c>
      <c r="D542">
        <v>62359</v>
      </c>
      <c r="E542">
        <v>2</v>
      </c>
      <c r="F542" t="e">
        <f>YEAR(C542)</f>
        <v>#VALUE!</v>
      </c>
      <c r="G542" t="e">
        <f>MONTH(C542)</f>
        <v>#VALUE!</v>
      </c>
      <c r="H542" t="e">
        <f>F542&amp;"-"&amp;G542</f>
        <v>#VALUE!</v>
      </c>
    </row>
    <row r="543">
      <c r="A543" t="s">
        <v>13</v>
      </c>
      <c r="B543" t="s">
        <v>222</v>
      </c>
      <c r="C543" t="s">
        <v>338</v>
      </c>
      <c r="D543">
        <v>74412</v>
      </c>
      <c r="E543">
        <v>3</v>
      </c>
      <c r="F543" t="e">
        <f>YEAR(C543)</f>
        <v>#VALUE!</v>
      </c>
      <c r="G543" t="e">
        <f>MONTH(C543)</f>
        <v>#VALUE!</v>
      </c>
      <c r="H543" t="e">
        <f>F543&amp;"-"&amp;G543</f>
        <v>#VALUE!</v>
      </c>
    </row>
    <row r="544">
      <c r="A544" t="s">
        <v>24</v>
      </c>
      <c r="B544" t="s">
        <v>35</v>
      </c>
      <c r="C544" t="s">
        <v>338</v>
      </c>
      <c r="D544">
        <v>37468</v>
      </c>
      <c r="E544">
        <v>8</v>
      </c>
      <c r="F544" t="e">
        <f>YEAR(C544)</f>
        <v>#VALUE!</v>
      </c>
      <c r="G544" t="e">
        <f>MONTH(C544)</f>
        <v>#VALUE!</v>
      </c>
      <c r="H544" t="e">
        <f>F544&amp;"-"&amp;G544</f>
        <v>#VALUE!</v>
      </c>
    </row>
    <row r="545">
      <c r="A545" t="s">
        <v>15</v>
      </c>
      <c r="B545" t="s">
        <v>79</v>
      </c>
      <c r="C545" t="s">
        <v>338</v>
      </c>
      <c r="D545">
        <v>80024</v>
      </c>
      <c r="E545">
        <v>8</v>
      </c>
      <c r="F545" t="e">
        <f>YEAR(C545)</f>
        <v>#VALUE!</v>
      </c>
      <c r="G545" t="e">
        <f>MONTH(C545)</f>
        <v>#VALUE!</v>
      </c>
      <c r="H545" t="e">
        <f>F545&amp;"-"&amp;G545</f>
        <v>#VALUE!</v>
      </c>
    </row>
    <row r="546">
      <c r="A546" t="s">
        <v>21</v>
      </c>
      <c r="B546" t="s">
        <v>174</v>
      </c>
      <c r="C546" t="s">
        <v>338</v>
      </c>
      <c r="D546">
        <v>29277</v>
      </c>
      <c r="E546">
        <v>8</v>
      </c>
      <c r="F546" t="e">
        <f>YEAR(C546)</f>
        <v>#VALUE!</v>
      </c>
      <c r="G546" t="e">
        <f>MONTH(C546)</f>
        <v>#VALUE!</v>
      </c>
      <c r="H546" t="e">
        <f>F546&amp;"-"&amp;G546</f>
        <v>#VALUE!</v>
      </c>
    </row>
    <row r="547">
      <c r="A547" t="s">
        <v>57</v>
      </c>
      <c r="B547" t="s">
        <v>299</v>
      </c>
      <c r="C547" t="s">
        <v>338</v>
      </c>
      <c r="D547">
        <v>74637</v>
      </c>
      <c r="E547">
        <v>6</v>
      </c>
      <c r="F547" t="e">
        <f>YEAR(C547)</f>
        <v>#VALUE!</v>
      </c>
      <c r="G547" t="e">
        <f>MONTH(C547)</f>
        <v>#VALUE!</v>
      </c>
      <c r="H547" t="e">
        <f>F547&amp;"-"&amp;G547</f>
        <v>#VALUE!</v>
      </c>
    </row>
    <row r="548">
      <c r="A548" t="s">
        <v>8</v>
      </c>
      <c r="B548" t="s">
        <v>143</v>
      </c>
      <c r="C548" t="s">
        <v>338</v>
      </c>
      <c r="D548">
        <v>66287</v>
      </c>
      <c r="E548">
        <v>8</v>
      </c>
      <c r="F548" t="e">
        <f>YEAR(C548)</f>
        <v>#VALUE!</v>
      </c>
      <c r="G548" t="e">
        <f>MONTH(C548)</f>
        <v>#VALUE!</v>
      </c>
      <c r="H548" t="e">
        <f>F548&amp;"-"&amp;G548</f>
        <v>#VALUE!</v>
      </c>
    </row>
    <row r="549">
      <c r="A549" t="s">
        <v>21</v>
      </c>
      <c r="B549" t="s">
        <v>257</v>
      </c>
      <c r="C549" t="s">
        <v>338</v>
      </c>
      <c r="D549">
        <v>59604</v>
      </c>
      <c r="E549">
        <v>7</v>
      </c>
      <c r="F549" t="e">
        <f>YEAR(C549)</f>
        <v>#VALUE!</v>
      </c>
      <c r="G549" t="e">
        <f>MONTH(C549)</f>
        <v>#VALUE!</v>
      </c>
      <c r="H549" t="e">
        <f>F549&amp;"-"&amp;G549</f>
        <v>#VALUE!</v>
      </c>
    </row>
    <row r="550">
      <c r="A550" t="s">
        <v>47</v>
      </c>
      <c r="B550" t="s">
        <v>339</v>
      </c>
      <c r="C550" t="s">
        <v>340</v>
      </c>
      <c r="D550">
        <v>94982</v>
      </c>
      <c r="E550">
        <v>8</v>
      </c>
      <c r="F550" t="e">
        <f>YEAR(C550)</f>
        <v>#VALUE!</v>
      </c>
      <c r="G550" t="e">
        <f>MONTH(C550)</f>
        <v>#VALUE!</v>
      </c>
      <c r="H550" t="e">
        <f>F550&amp;"-"&amp;G550</f>
        <v>#VALUE!</v>
      </c>
    </row>
    <row r="551">
      <c r="A551" t="s">
        <v>15</v>
      </c>
      <c r="B551" t="s">
        <v>160</v>
      </c>
      <c r="C551" t="s">
        <v>341</v>
      </c>
      <c r="D551">
        <v>98992</v>
      </c>
      <c r="E551">
        <v>8</v>
      </c>
      <c r="F551" t="e">
        <f>YEAR(C551)</f>
        <v>#VALUE!</v>
      </c>
      <c r="G551" t="e">
        <f>MONTH(C551)</f>
        <v>#VALUE!</v>
      </c>
      <c r="H551" t="e">
        <f>F551&amp;"-"&amp;G551</f>
        <v>#VALUE!</v>
      </c>
    </row>
    <row r="552">
      <c r="A552" t="s">
        <v>13</v>
      </c>
      <c r="B552" t="s">
        <v>321</v>
      </c>
      <c r="C552" t="s">
        <v>341</v>
      </c>
      <c r="D552">
        <v>42491</v>
      </c>
      <c r="E552">
        <v>5</v>
      </c>
      <c r="F552" t="e">
        <f>YEAR(C552)</f>
        <v>#VALUE!</v>
      </c>
      <c r="G552" t="e">
        <f>MONTH(C552)</f>
        <v>#VALUE!</v>
      </c>
      <c r="H552" t="e">
        <f>F552&amp;"-"&amp;G552</f>
        <v>#VALUE!</v>
      </c>
    </row>
    <row r="553">
      <c r="A553" t="s">
        <v>11</v>
      </c>
      <c r="B553" t="s">
        <v>65</v>
      </c>
      <c r="C553" t="s">
        <v>341</v>
      </c>
      <c r="D553">
        <v>57368</v>
      </c>
      <c r="E553">
        <v>2</v>
      </c>
      <c r="F553" t="e">
        <f>YEAR(C553)</f>
        <v>#VALUE!</v>
      </c>
      <c r="G553" t="e">
        <f>MONTH(C553)</f>
        <v>#VALUE!</v>
      </c>
      <c r="H553" t="e">
        <f>F553&amp;"-"&amp;G553</f>
        <v>#VALUE!</v>
      </c>
    </row>
    <row r="554">
      <c r="A554" t="s">
        <v>5</v>
      </c>
      <c r="B554" t="s">
        <v>342</v>
      </c>
      <c r="C554" t="s">
        <v>343</v>
      </c>
      <c r="D554">
        <v>44529</v>
      </c>
      <c r="E554">
        <v>8</v>
      </c>
      <c r="F554" t="e">
        <f>YEAR(C554)</f>
        <v>#VALUE!</v>
      </c>
      <c r="G554" t="e">
        <f>MONTH(C554)</f>
        <v>#VALUE!</v>
      </c>
      <c r="H554" t="e">
        <f>F554&amp;"-"&amp;G554</f>
        <v>#VALUE!</v>
      </c>
    </row>
    <row r="555">
      <c r="A555" t="s">
        <v>47</v>
      </c>
      <c r="B555" t="s">
        <v>119</v>
      </c>
      <c r="C555" t="s">
        <v>343</v>
      </c>
      <c r="D555">
        <v>18123</v>
      </c>
      <c r="E555">
        <v>6</v>
      </c>
      <c r="F555" t="e">
        <f>YEAR(C555)</f>
        <v>#VALUE!</v>
      </c>
      <c r="G555" t="e">
        <f>MONTH(C555)</f>
        <v>#VALUE!</v>
      </c>
      <c r="H555" t="e">
        <f>F555&amp;"-"&amp;G555</f>
        <v>#VALUE!</v>
      </c>
    </row>
    <row r="556">
      <c r="A556" t="s">
        <v>5</v>
      </c>
      <c r="B556" t="s">
        <v>344</v>
      </c>
      <c r="C556" t="s">
        <v>345</v>
      </c>
      <c r="D556">
        <v>49419</v>
      </c>
      <c r="E556">
        <v>7</v>
      </c>
      <c r="F556" t="e">
        <f>YEAR(C556)</f>
        <v>#VALUE!</v>
      </c>
      <c r="G556" t="e">
        <f>MONTH(C556)</f>
        <v>#VALUE!</v>
      </c>
      <c r="H556" t="e">
        <f>F556&amp;"-"&amp;G556</f>
        <v>#VALUE!</v>
      </c>
    </row>
    <row r="557">
      <c r="A557" t="s">
        <v>5</v>
      </c>
      <c r="B557" t="s">
        <v>116</v>
      </c>
      <c r="C557" t="s">
        <v>345</v>
      </c>
      <c r="D557">
        <v>92064</v>
      </c>
      <c r="E557">
        <v>8</v>
      </c>
      <c r="F557" t="e">
        <f>YEAR(C557)</f>
        <v>#VALUE!</v>
      </c>
      <c r="G557" t="e">
        <f>MONTH(C557)</f>
        <v>#VALUE!</v>
      </c>
      <c r="H557" t="e">
        <f>F557&amp;"-"&amp;G557</f>
        <v>#VALUE!</v>
      </c>
    </row>
    <row r="558">
      <c r="A558" t="s">
        <v>17</v>
      </c>
      <c r="B558" t="s">
        <v>299</v>
      </c>
      <c r="C558" t="s">
        <v>346</v>
      </c>
      <c r="D558">
        <v>50386</v>
      </c>
      <c r="E558">
        <v>3</v>
      </c>
      <c r="F558" t="e">
        <f>YEAR(C558)</f>
        <v>#VALUE!</v>
      </c>
      <c r="G558" t="e">
        <f>MONTH(C558)</f>
        <v>#VALUE!</v>
      </c>
      <c r="H558" t="e">
        <f>F558&amp;"-"&amp;G558</f>
        <v>#VALUE!</v>
      </c>
    </row>
    <row r="559">
      <c r="A559" t="s">
        <v>24</v>
      </c>
      <c r="B559" t="s">
        <v>108</v>
      </c>
      <c r="C559" t="s">
        <v>346</v>
      </c>
      <c r="D559">
        <v>89294</v>
      </c>
      <c r="E559">
        <v>3</v>
      </c>
      <c r="F559" t="e">
        <f>YEAR(C559)</f>
        <v>#VALUE!</v>
      </c>
      <c r="G559" t="e">
        <f>MONTH(C559)</f>
        <v>#VALUE!</v>
      </c>
      <c r="H559" t="e">
        <f>F559&amp;"-"&amp;G559</f>
        <v>#VALUE!</v>
      </c>
    </row>
    <row r="560">
      <c r="A560" t="s">
        <v>15</v>
      </c>
      <c r="B560" t="s">
        <v>132</v>
      </c>
      <c r="C560" t="s">
        <v>346</v>
      </c>
      <c r="D560">
        <v>38213</v>
      </c>
      <c r="E560">
        <v>7</v>
      </c>
      <c r="F560" t="e">
        <f>YEAR(C560)</f>
        <v>#VALUE!</v>
      </c>
      <c r="G560" t="e">
        <f>MONTH(C560)</f>
        <v>#VALUE!</v>
      </c>
      <c r="H560" t="e">
        <f>F560&amp;"-"&amp;G560</f>
        <v>#VALUE!</v>
      </c>
    </row>
    <row r="561">
      <c r="A561" t="s">
        <v>28</v>
      </c>
      <c r="B561" t="s">
        <v>158</v>
      </c>
      <c r="C561" t="s">
        <v>346</v>
      </c>
      <c r="D561">
        <v>40601</v>
      </c>
      <c r="E561">
        <v>8</v>
      </c>
      <c r="F561" t="e">
        <f>YEAR(C561)</f>
        <v>#VALUE!</v>
      </c>
      <c r="G561" t="e">
        <f>MONTH(C561)</f>
        <v>#VALUE!</v>
      </c>
      <c r="H561" t="e">
        <f>F561&amp;"-"&amp;G561</f>
        <v>#VALUE!</v>
      </c>
    </row>
    <row r="562">
      <c r="A562" t="s">
        <v>11</v>
      </c>
      <c r="B562" t="s">
        <v>6</v>
      </c>
      <c r="C562" t="s">
        <v>346</v>
      </c>
      <c r="D562">
        <v>84358</v>
      </c>
      <c r="E562">
        <v>8</v>
      </c>
      <c r="F562" t="e">
        <f>YEAR(C562)</f>
        <v>#VALUE!</v>
      </c>
      <c r="G562" t="e">
        <f>MONTH(C562)</f>
        <v>#VALUE!</v>
      </c>
      <c r="H562" t="e">
        <f>F562&amp;"-"&amp;G562</f>
        <v>#VALUE!</v>
      </c>
    </row>
    <row r="563">
      <c r="A563" t="s">
        <v>43</v>
      </c>
      <c r="B563" t="s">
        <v>49</v>
      </c>
      <c r="C563" t="s">
        <v>346</v>
      </c>
      <c r="D563">
        <v>99333</v>
      </c>
      <c r="E563">
        <v>2</v>
      </c>
      <c r="F563" t="e">
        <f>YEAR(C563)</f>
        <v>#VALUE!</v>
      </c>
      <c r="G563" t="e">
        <f>MONTH(C563)</f>
        <v>#VALUE!</v>
      </c>
      <c r="H563" t="e">
        <f>F563&amp;"-"&amp;G563</f>
        <v>#VALUE!</v>
      </c>
    </row>
    <row r="564">
      <c r="A564" t="s">
        <v>28</v>
      </c>
      <c r="B564" t="s">
        <v>316</v>
      </c>
      <c r="C564" t="s">
        <v>346</v>
      </c>
      <c r="D564">
        <v>48533</v>
      </c>
      <c r="E564">
        <v>4</v>
      </c>
      <c r="F564" t="e">
        <f>YEAR(C564)</f>
        <v>#VALUE!</v>
      </c>
      <c r="G564" t="e">
        <f>MONTH(C564)</f>
        <v>#VALUE!</v>
      </c>
      <c r="H564" t="e">
        <f>F564&amp;"-"&amp;G564</f>
        <v>#VALUE!</v>
      </c>
    </row>
    <row r="565">
      <c r="A565" t="s">
        <v>11</v>
      </c>
      <c r="B565" t="s">
        <v>96</v>
      </c>
      <c r="C565" t="s">
        <v>346</v>
      </c>
      <c r="D565">
        <v>17898</v>
      </c>
      <c r="E565">
        <v>6</v>
      </c>
      <c r="F565" t="e">
        <f>YEAR(C565)</f>
        <v>#VALUE!</v>
      </c>
      <c r="G565" t="e">
        <f>MONTH(C565)</f>
        <v>#VALUE!</v>
      </c>
      <c r="H565" t="e">
        <f>F565&amp;"-"&amp;G565</f>
        <v>#VALUE!</v>
      </c>
    </row>
    <row r="566">
      <c r="A566" t="s">
        <v>57</v>
      </c>
      <c r="B566" t="s">
        <v>29</v>
      </c>
      <c r="C566" t="s">
        <v>347</v>
      </c>
      <c r="D566">
        <v>65234</v>
      </c>
      <c r="E566">
        <v>6</v>
      </c>
      <c r="F566" t="e">
        <f>YEAR(C566)</f>
        <v>#VALUE!</v>
      </c>
      <c r="G566" t="e">
        <f>MONTH(C566)</f>
        <v>#VALUE!</v>
      </c>
      <c r="H566" t="e">
        <f>F566&amp;"-"&amp;G566</f>
        <v>#VALUE!</v>
      </c>
    </row>
    <row r="567">
      <c r="A567" t="s">
        <v>5</v>
      </c>
      <c r="B567" t="s">
        <v>189</v>
      </c>
      <c r="C567" t="s">
        <v>348</v>
      </c>
      <c r="D567">
        <v>65295</v>
      </c>
      <c r="E567">
        <v>8</v>
      </c>
      <c r="F567" t="e">
        <f>YEAR(C567)</f>
        <v>#VALUE!</v>
      </c>
      <c r="G567" t="e">
        <f>MONTH(C567)</f>
        <v>#VALUE!</v>
      </c>
      <c r="H567" t="e">
        <f>F567&amp;"-"&amp;G567</f>
        <v>#VALUE!</v>
      </c>
    </row>
    <row r="568">
      <c r="A568" t="s">
        <v>15</v>
      </c>
      <c r="B568" t="s">
        <v>255</v>
      </c>
      <c r="C568" t="s">
        <v>348</v>
      </c>
      <c r="D568">
        <v>90081</v>
      </c>
      <c r="E568">
        <v>9</v>
      </c>
      <c r="F568" t="e">
        <f>YEAR(C568)</f>
        <v>#VALUE!</v>
      </c>
      <c r="G568" t="e">
        <f>MONTH(C568)</f>
        <v>#VALUE!</v>
      </c>
      <c r="H568" t="e">
        <f>F568&amp;"-"&amp;G568</f>
        <v>#VALUE!</v>
      </c>
    </row>
    <row r="569">
      <c r="A569" t="s">
        <v>8</v>
      </c>
      <c r="B569" t="s">
        <v>225</v>
      </c>
      <c r="C569" t="s">
        <v>348</v>
      </c>
      <c r="D569">
        <v>96662</v>
      </c>
      <c r="E569">
        <v>9</v>
      </c>
      <c r="F569" t="e">
        <f>YEAR(C569)</f>
        <v>#VALUE!</v>
      </c>
      <c r="G569" t="e">
        <f>MONTH(C569)</f>
        <v>#VALUE!</v>
      </c>
      <c r="H569" t="e">
        <f>F569&amp;"-"&amp;G569</f>
        <v>#VALUE!</v>
      </c>
    </row>
    <row r="570">
      <c r="A570" t="s">
        <v>47</v>
      </c>
      <c r="B570" t="s">
        <v>140</v>
      </c>
      <c r="C570" t="s">
        <v>349</v>
      </c>
      <c r="D570">
        <v>26682</v>
      </c>
      <c r="E570">
        <v>8</v>
      </c>
      <c r="F570" t="e">
        <f>YEAR(C570)</f>
        <v>#VALUE!</v>
      </c>
      <c r="G570" t="e">
        <f>MONTH(C570)</f>
        <v>#VALUE!</v>
      </c>
      <c r="H570" t="e">
        <f>F570&amp;"-"&amp;G570</f>
        <v>#VALUE!</v>
      </c>
    </row>
    <row r="571">
      <c r="A571" t="s">
        <v>5</v>
      </c>
      <c r="B571" t="s">
        <v>98</v>
      </c>
      <c r="C571" t="s">
        <v>349</v>
      </c>
      <c r="D571">
        <v>59010</v>
      </c>
      <c r="E571">
        <v>9</v>
      </c>
      <c r="F571" t="e">
        <f>YEAR(C571)</f>
        <v>#VALUE!</v>
      </c>
      <c r="G571" t="e">
        <f>MONTH(C571)</f>
        <v>#VALUE!</v>
      </c>
      <c r="H571" t="e">
        <f>F571&amp;"-"&amp;G571</f>
        <v>#VALUE!</v>
      </c>
    </row>
    <row r="572">
      <c r="A572" t="s">
        <v>47</v>
      </c>
      <c r="B572" t="s">
        <v>45</v>
      </c>
      <c r="C572" t="s">
        <v>350</v>
      </c>
      <c r="D572">
        <v>54974</v>
      </c>
      <c r="E572">
        <v>6</v>
      </c>
      <c r="F572" t="e">
        <f>YEAR(C572)</f>
        <v>#VALUE!</v>
      </c>
      <c r="G572" t="e">
        <f>MONTH(C572)</f>
        <v>#VALUE!</v>
      </c>
      <c r="H572" t="e">
        <f>F572&amp;"-"&amp;G572</f>
        <v>#VALUE!</v>
      </c>
    </row>
    <row r="573">
      <c r="A573" t="s">
        <v>21</v>
      </c>
      <c r="B573" t="s">
        <v>44</v>
      </c>
      <c r="C573" t="s">
        <v>350</v>
      </c>
      <c r="D573">
        <v>59547</v>
      </c>
      <c r="E573">
        <v>7</v>
      </c>
      <c r="F573" t="e">
        <f>YEAR(C573)</f>
        <v>#VALUE!</v>
      </c>
      <c r="G573" t="e">
        <f>MONTH(C573)</f>
        <v>#VALUE!</v>
      </c>
      <c r="H573" t="e">
        <f>F573&amp;"-"&amp;G573</f>
        <v>#VALUE!</v>
      </c>
    </row>
    <row r="574">
      <c r="A574" t="s">
        <v>43</v>
      </c>
      <c r="B574" t="s">
        <v>71</v>
      </c>
      <c r="C574" t="s">
        <v>350</v>
      </c>
      <c r="D574">
        <v>85480</v>
      </c>
      <c r="E574">
        <v>7</v>
      </c>
      <c r="F574" t="e">
        <f>YEAR(C574)</f>
        <v>#VALUE!</v>
      </c>
      <c r="G574" t="e">
        <f>MONTH(C574)</f>
        <v>#VALUE!</v>
      </c>
      <c r="H574" t="e">
        <f>F574&amp;"-"&amp;G574</f>
        <v>#VALUE!</v>
      </c>
    </row>
    <row r="575">
      <c r="A575" t="s">
        <v>43</v>
      </c>
      <c r="B575" t="s">
        <v>103</v>
      </c>
      <c r="C575" t="s">
        <v>350</v>
      </c>
      <c r="D575">
        <v>96401</v>
      </c>
      <c r="E575">
        <v>2</v>
      </c>
      <c r="F575" t="e">
        <f>YEAR(C575)</f>
        <v>#VALUE!</v>
      </c>
      <c r="G575" t="e">
        <f>MONTH(C575)</f>
        <v>#VALUE!</v>
      </c>
      <c r="H575" t="e">
        <f>F575&amp;"-"&amp;G575</f>
        <v>#VALUE!</v>
      </c>
    </row>
    <row r="576">
      <c r="A576" t="s">
        <v>8</v>
      </c>
      <c r="B576" t="s">
        <v>69</v>
      </c>
      <c r="C576" t="s">
        <v>350</v>
      </c>
      <c r="D576">
        <v>10102</v>
      </c>
      <c r="E576">
        <v>4</v>
      </c>
      <c r="F576" t="e">
        <f>YEAR(C576)</f>
        <v>#VALUE!</v>
      </c>
      <c r="G576" t="e">
        <f>MONTH(C576)</f>
        <v>#VALUE!</v>
      </c>
      <c r="H576" t="e">
        <f>F576&amp;"-"&amp;G576</f>
        <v>#VALUE!</v>
      </c>
    </row>
    <row r="577">
      <c r="A577" t="s">
        <v>43</v>
      </c>
      <c r="B577" t="s">
        <v>56</v>
      </c>
      <c r="C577" t="s">
        <v>351</v>
      </c>
      <c r="D577">
        <v>54385</v>
      </c>
      <c r="E577">
        <v>7</v>
      </c>
      <c r="F577">
        <f>YEAR(C577)</f>
        <v>2024</v>
      </c>
      <c r="G577">
        <f>MONTH(C577)</f>
        <v>1</v>
      </c>
      <c r="H577" t="str">
        <f>F577&amp;"-"&amp;G577</f>
        <v>2024-1</v>
      </c>
    </row>
    <row r="578">
      <c r="A578" t="s">
        <v>28</v>
      </c>
      <c r="B578" t="s">
        <v>292</v>
      </c>
      <c r="C578" t="s">
        <v>351</v>
      </c>
      <c r="D578">
        <v>23577</v>
      </c>
      <c r="E578">
        <v>1</v>
      </c>
      <c r="F578">
        <f>YEAR(C578)</f>
        <v>2024</v>
      </c>
      <c r="G578">
        <f>MONTH(C578)</f>
        <v>1</v>
      </c>
      <c r="H578" t="str">
        <f>F578&amp;"-"&amp;G578</f>
        <v>2024-1</v>
      </c>
    </row>
    <row r="579">
      <c r="A579" t="s">
        <v>17</v>
      </c>
      <c r="B579" t="s">
        <v>151</v>
      </c>
      <c r="C579" t="s">
        <v>351</v>
      </c>
      <c r="D579">
        <v>90768</v>
      </c>
      <c r="E579">
        <v>5</v>
      </c>
      <c r="F579">
        <f>YEAR(C579)</f>
        <v>2024</v>
      </c>
      <c r="G579">
        <f>MONTH(C579)</f>
        <v>1</v>
      </c>
      <c r="H579" t="str">
        <f>F579&amp;"-"&amp;G579</f>
        <v>2024-1</v>
      </c>
    </row>
    <row r="580">
      <c r="A580" t="s">
        <v>57</v>
      </c>
      <c r="B580" t="s">
        <v>65</v>
      </c>
      <c r="C580" t="s">
        <v>351</v>
      </c>
      <c r="D580">
        <v>80559</v>
      </c>
      <c r="E580">
        <v>2</v>
      </c>
      <c r="F580">
        <f>YEAR(C580)</f>
        <v>2024</v>
      </c>
      <c r="G580">
        <f>MONTH(C580)</f>
        <v>1</v>
      </c>
      <c r="H580" t="str">
        <f>F580&amp;"-"&amp;G580</f>
        <v>2024-1</v>
      </c>
    </row>
    <row r="581">
      <c r="A581" t="s">
        <v>15</v>
      </c>
      <c r="B581" t="s">
        <v>185</v>
      </c>
      <c r="C581" t="s">
        <v>351</v>
      </c>
      <c r="D581">
        <v>22034</v>
      </c>
      <c r="E581">
        <v>8</v>
      </c>
      <c r="F581">
        <f>YEAR(C581)</f>
        <v>2024</v>
      </c>
      <c r="G581">
        <f>MONTH(C581)</f>
        <v>1</v>
      </c>
      <c r="H581" t="str">
        <f>F581&amp;"-"&amp;G581</f>
        <v>2024-1</v>
      </c>
    </row>
    <row r="582">
      <c r="A582" t="s">
        <v>5</v>
      </c>
      <c r="B582" t="s">
        <v>35</v>
      </c>
      <c r="C582" t="s">
        <v>351</v>
      </c>
      <c r="D582">
        <v>26156</v>
      </c>
      <c r="E582">
        <v>6</v>
      </c>
      <c r="F582">
        <f>YEAR(C582)</f>
        <v>2024</v>
      </c>
      <c r="G582">
        <f>MONTH(C582)</f>
        <v>1</v>
      </c>
      <c r="H582" t="str">
        <f>F582&amp;"-"&amp;G582</f>
        <v>2024-1</v>
      </c>
    </row>
    <row r="583">
      <c r="A583" t="s">
        <v>24</v>
      </c>
      <c r="B583" t="s">
        <v>265</v>
      </c>
      <c r="C583" t="s">
        <v>351</v>
      </c>
      <c r="D583">
        <v>88127</v>
      </c>
      <c r="E583">
        <v>4</v>
      </c>
      <c r="F583">
        <f>YEAR(C583)</f>
        <v>2024</v>
      </c>
      <c r="G583">
        <f>MONTH(C583)</f>
        <v>1</v>
      </c>
      <c r="H583" t="str">
        <f>F583&amp;"-"&amp;G583</f>
        <v>2024-1</v>
      </c>
    </row>
    <row r="584">
      <c r="A584" t="s">
        <v>8</v>
      </c>
      <c r="B584" t="s">
        <v>59</v>
      </c>
      <c r="C584" t="s">
        <v>351</v>
      </c>
      <c r="D584">
        <v>84215</v>
      </c>
      <c r="E584">
        <v>8</v>
      </c>
      <c r="F584">
        <f>YEAR(C584)</f>
        <v>2024</v>
      </c>
      <c r="G584">
        <f>MONTH(C584)</f>
        <v>1</v>
      </c>
      <c r="H584" t="str">
        <f>F584&amp;"-"&amp;G584</f>
        <v>2024-1</v>
      </c>
    </row>
    <row r="585">
      <c r="A585" t="s">
        <v>21</v>
      </c>
      <c r="B585" t="s">
        <v>218</v>
      </c>
      <c r="C585" t="s">
        <v>351</v>
      </c>
      <c r="D585">
        <v>50112</v>
      </c>
      <c r="E585">
        <v>7</v>
      </c>
      <c r="F585">
        <f>YEAR(C585)</f>
        <v>2024</v>
      </c>
      <c r="G585">
        <f>MONTH(C585)</f>
        <v>1</v>
      </c>
      <c r="H585" t="str">
        <f>F585&amp;"-"&amp;G585</f>
        <v>2024-1</v>
      </c>
    </row>
    <row r="586">
      <c r="A586" t="s">
        <v>5</v>
      </c>
      <c r="B586" t="s">
        <v>99</v>
      </c>
      <c r="C586" t="s">
        <v>351</v>
      </c>
      <c r="D586">
        <v>36775</v>
      </c>
      <c r="E586">
        <v>6</v>
      </c>
      <c r="F586">
        <f>YEAR(C586)</f>
        <v>2024</v>
      </c>
      <c r="G586">
        <f>MONTH(C586)</f>
        <v>1</v>
      </c>
      <c r="H586" t="str">
        <f>F586&amp;"-"&amp;G586</f>
        <v>2024-1</v>
      </c>
    </row>
    <row r="587">
      <c r="A587" t="s">
        <v>21</v>
      </c>
      <c r="B587" t="s">
        <v>321</v>
      </c>
      <c r="C587" t="s">
        <v>352</v>
      </c>
      <c r="D587">
        <v>53684</v>
      </c>
      <c r="E587">
        <v>7</v>
      </c>
      <c r="F587">
        <f>YEAR(C587)</f>
        <v>2024</v>
      </c>
      <c r="G587">
        <f>MONTH(C587)</f>
        <v>2</v>
      </c>
      <c r="H587" t="str">
        <f>F587&amp;"-"&amp;G587</f>
        <v>2024-2</v>
      </c>
    </row>
    <row r="588">
      <c r="A588" t="s">
        <v>21</v>
      </c>
      <c r="B588" t="s">
        <v>98</v>
      </c>
      <c r="C588" t="s">
        <v>353</v>
      </c>
      <c r="D588">
        <v>90115</v>
      </c>
      <c r="E588">
        <v>3</v>
      </c>
      <c r="F588">
        <f>YEAR(C588)</f>
        <v>2024</v>
      </c>
      <c r="G588">
        <f>MONTH(C588)</f>
        <v>3</v>
      </c>
      <c r="H588" t="str">
        <f>F588&amp;"-"&amp;G588</f>
        <v>2024-3</v>
      </c>
    </row>
    <row r="589">
      <c r="A589" t="s">
        <v>43</v>
      </c>
      <c r="B589" t="s">
        <v>186</v>
      </c>
      <c r="C589" t="s">
        <v>353</v>
      </c>
      <c r="D589">
        <v>67380</v>
      </c>
      <c r="E589">
        <v>2</v>
      </c>
      <c r="F589">
        <f>YEAR(C589)</f>
        <v>2024</v>
      </c>
      <c r="G589">
        <f>MONTH(C589)</f>
        <v>3</v>
      </c>
      <c r="H589" t="str">
        <f>F589&amp;"-"&amp;G589</f>
        <v>2024-3</v>
      </c>
    </row>
    <row r="590">
      <c r="A590" t="s">
        <v>21</v>
      </c>
      <c r="B590" t="s">
        <v>151</v>
      </c>
      <c r="C590" t="s">
        <v>353</v>
      </c>
      <c r="D590">
        <v>82034</v>
      </c>
      <c r="E590">
        <v>7</v>
      </c>
      <c r="F590">
        <f>YEAR(C590)</f>
        <v>2024</v>
      </c>
      <c r="G590">
        <f>MONTH(C590)</f>
        <v>3</v>
      </c>
      <c r="H590" t="str">
        <f>F590&amp;"-"&amp;G590</f>
        <v>2024-3</v>
      </c>
    </row>
    <row r="591">
      <c r="A591" t="s">
        <v>15</v>
      </c>
      <c r="B591" t="s">
        <v>186</v>
      </c>
      <c r="C591" t="s">
        <v>353</v>
      </c>
      <c r="D591">
        <v>66579</v>
      </c>
      <c r="E591">
        <v>7</v>
      </c>
      <c r="F591">
        <f>YEAR(C591)</f>
        <v>2024</v>
      </c>
      <c r="G591">
        <f>MONTH(C591)</f>
        <v>3</v>
      </c>
      <c r="H591" t="str">
        <f>F591&amp;"-"&amp;G591</f>
        <v>2024-3</v>
      </c>
    </row>
    <row r="592">
      <c r="A592" t="s">
        <v>21</v>
      </c>
      <c r="B592" t="s">
        <v>30</v>
      </c>
      <c r="C592" t="s">
        <v>353</v>
      </c>
      <c r="D592">
        <v>94057</v>
      </c>
      <c r="E592">
        <v>4</v>
      </c>
      <c r="F592">
        <f>YEAR(C592)</f>
        <v>2024</v>
      </c>
      <c r="G592">
        <f>MONTH(C592)</f>
        <v>3</v>
      </c>
      <c r="H592" t="str">
        <f>F592&amp;"-"&amp;G592</f>
        <v>2024-3</v>
      </c>
    </row>
    <row r="593">
      <c r="A593" t="s">
        <v>47</v>
      </c>
      <c r="B593" t="s">
        <v>42</v>
      </c>
      <c r="C593" t="s">
        <v>354</v>
      </c>
      <c r="D593">
        <v>33711</v>
      </c>
      <c r="E593">
        <v>4</v>
      </c>
      <c r="F593">
        <f>YEAR(C593)</f>
        <v>2024</v>
      </c>
      <c r="G593">
        <f>MONTH(C593)</f>
        <v>4</v>
      </c>
      <c r="H593" t="str">
        <f>F593&amp;"-"&amp;G593</f>
        <v>2024-4</v>
      </c>
    </row>
    <row r="594">
      <c r="A594" t="s">
        <v>11</v>
      </c>
      <c r="B594" t="s">
        <v>77</v>
      </c>
      <c r="C594" t="s">
        <v>355</v>
      </c>
      <c r="D594">
        <v>74564</v>
      </c>
      <c r="E594">
        <v>8</v>
      </c>
      <c r="F594">
        <f>YEAR(C594)</f>
        <v>2024</v>
      </c>
      <c r="G594">
        <f>MONTH(C594)</f>
        <v>5</v>
      </c>
      <c r="H594" t="str">
        <f>F594&amp;"-"&amp;G594</f>
        <v>2024-5</v>
      </c>
    </row>
    <row r="595">
      <c r="A595" t="s">
        <v>5</v>
      </c>
      <c r="B595" t="s">
        <v>92</v>
      </c>
      <c r="C595" t="s">
        <v>355</v>
      </c>
      <c r="D595">
        <v>16608</v>
      </c>
      <c r="E595">
        <v>5</v>
      </c>
      <c r="F595">
        <f>YEAR(C595)</f>
        <v>2024</v>
      </c>
      <c r="G595">
        <f>MONTH(C595)</f>
        <v>5</v>
      </c>
      <c r="H595" t="str">
        <f>F595&amp;"-"&amp;G595</f>
        <v>2024-5</v>
      </c>
    </row>
    <row r="596">
      <c r="A596" t="s">
        <v>15</v>
      </c>
      <c r="B596" t="s">
        <v>25</v>
      </c>
      <c r="C596" t="s">
        <v>356</v>
      </c>
      <c r="D596">
        <v>59556</v>
      </c>
      <c r="E596">
        <v>4</v>
      </c>
      <c r="F596">
        <f>YEAR(C596)</f>
        <v>2024</v>
      </c>
      <c r="G596">
        <f>MONTH(C596)</f>
        <v>8</v>
      </c>
      <c r="H596" t="str">
        <f>F596&amp;"-"&amp;G596</f>
        <v>2024-8</v>
      </c>
    </row>
    <row r="597">
      <c r="A597" t="s">
        <v>24</v>
      </c>
      <c r="B597" t="s">
        <v>265</v>
      </c>
      <c r="C597" t="s">
        <v>356</v>
      </c>
      <c r="D597">
        <v>22828</v>
      </c>
      <c r="E597">
        <v>4</v>
      </c>
      <c r="F597">
        <f>YEAR(C597)</f>
        <v>2024</v>
      </c>
      <c r="G597">
        <f>MONTH(C597)</f>
        <v>8</v>
      </c>
      <c r="H597" t="str">
        <f>F597&amp;"-"&amp;G597</f>
        <v>2024-8</v>
      </c>
    </row>
    <row r="598">
      <c r="A598" t="s">
        <v>28</v>
      </c>
      <c r="B598" t="s">
        <v>222</v>
      </c>
      <c r="C598" t="s">
        <v>356</v>
      </c>
      <c r="D598">
        <v>20133</v>
      </c>
      <c r="E598">
        <v>3</v>
      </c>
      <c r="F598">
        <f>YEAR(C598)</f>
        <v>2024</v>
      </c>
      <c r="G598">
        <f>MONTH(C598)</f>
        <v>8</v>
      </c>
      <c r="H598" t="str">
        <f>F598&amp;"-"&amp;G598</f>
        <v>2024-8</v>
      </c>
    </row>
    <row r="599">
      <c r="A599" t="s">
        <v>24</v>
      </c>
      <c r="B599" t="s">
        <v>250</v>
      </c>
      <c r="C599" t="s">
        <v>356</v>
      </c>
      <c r="D599">
        <v>85434</v>
      </c>
      <c r="E599">
        <v>5</v>
      </c>
      <c r="F599">
        <f>YEAR(C599)</f>
        <v>2024</v>
      </c>
      <c r="G599">
        <f>MONTH(C599)</f>
        <v>8</v>
      </c>
      <c r="H599" t="str">
        <f>F599&amp;"-"&amp;G599</f>
        <v>2024-8</v>
      </c>
    </row>
    <row r="600">
      <c r="A600" t="s">
        <v>8</v>
      </c>
      <c r="B600" t="s">
        <v>215</v>
      </c>
      <c r="C600" t="s">
        <v>356</v>
      </c>
      <c r="D600">
        <v>52095</v>
      </c>
      <c r="E600">
        <v>5</v>
      </c>
      <c r="F600">
        <f>YEAR(C600)</f>
        <v>2024</v>
      </c>
      <c r="G600">
        <f>MONTH(C600)</f>
        <v>8</v>
      </c>
      <c r="H600" t="str">
        <f>F600&amp;"-"&amp;G600</f>
        <v>2024-8</v>
      </c>
    </row>
    <row r="601">
      <c r="A601" t="s">
        <v>5</v>
      </c>
      <c r="B601" t="s">
        <v>189</v>
      </c>
      <c r="C601" t="s">
        <v>357</v>
      </c>
      <c r="D601">
        <v>66976</v>
      </c>
      <c r="E601">
        <v>6</v>
      </c>
      <c r="F601">
        <f>YEAR(C601)</f>
        <v>2024</v>
      </c>
      <c r="G601">
        <f>MONTH(C601)</f>
        <v>9</v>
      </c>
      <c r="H601" t="str">
        <f>F601&amp;"-"&amp;G601</f>
        <v>2024-9</v>
      </c>
    </row>
    <row r="602">
      <c r="A602" t="s">
        <v>43</v>
      </c>
      <c r="B602" t="s">
        <v>185</v>
      </c>
      <c r="C602" t="s">
        <v>358</v>
      </c>
      <c r="D602">
        <v>54784</v>
      </c>
      <c r="E602">
        <v>9</v>
      </c>
      <c r="F602">
        <f>YEAR(C602)</f>
        <v>2024</v>
      </c>
      <c r="G602">
        <f>MONTH(C602)</f>
        <v>10</v>
      </c>
      <c r="H602" t="str">
        <f>F602&amp;"-"&amp;G602</f>
        <v>2024-10</v>
      </c>
    </row>
    <row r="603">
      <c r="A603" t="s">
        <v>57</v>
      </c>
      <c r="B603" t="s">
        <v>273</v>
      </c>
      <c r="C603" t="s">
        <v>358</v>
      </c>
      <c r="D603">
        <v>57091</v>
      </c>
      <c r="E603">
        <v>6</v>
      </c>
      <c r="F603">
        <f>YEAR(C603)</f>
        <v>2024</v>
      </c>
      <c r="G603">
        <f>MONTH(C603)</f>
        <v>10</v>
      </c>
      <c r="H603" t="str">
        <f>F603&amp;"-"&amp;G603</f>
        <v>2024-10</v>
      </c>
    </row>
    <row r="604">
      <c r="A604" t="s">
        <v>57</v>
      </c>
      <c r="B604" t="s">
        <v>92</v>
      </c>
      <c r="C604" t="s">
        <v>358</v>
      </c>
      <c r="D604">
        <v>89404</v>
      </c>
      <c r="E604">
        <v>5</v>
      </c>
      <c r="F604">
        <f>YEAR(C604)</f>
        <v>2024</v>
      </c>
      <c r="G604">
        <f>MONTH(C604)</f>
        <v>10</v>
      </c>
      <c r="H604" t="str">
        <f>F604&amp;"-"&amp;G604</f>
        <v>2024-10</v>
      </c>
    </row>
    <row r="605">
      <c r="A605" t="s">
        <v>17</v>
      </c>
      <c r="B605" t="s">
        <v>172</v>
      </c>
      <c r="C605" t="s">
        <v>359</v>
      </c>
      <c r="D605">
        <v>33248</v>
      </c>
      <c r="E605">
        <v>6</v>
      </c>
      <c r="F605">
        <f>YEAR(C605)</f>
        <v>2024</v>
      </c>
      <c r="G605">
        <f>MONTH(C605)</f>
        <v>11</v>
      </c>
      <c r="H605" t="str">
        <f>F605&amp;"-"&amp;G605</f>
        <v>2024-11</v>
      </c>
    </row>
    <row r="606">
      <c r="A606" t="s">
        <v>15</v>
      </c>
      <c r="B606" t="s">
        <v>147</v>
      </c>
      <c r="C606" t="s">
        <v>360</v>
      </c>
      <c r="D606">
        <v>11032</v>
      </c>
      <c r="E606">
        <v>7</v>
      </c>
      <c r="F606">
        <f>YEAR(C606)</f>
        <v>2024</v>
      </c>
      <c r="G606">
        <f>MONTH(C606)</f>
        <v>12</v>
      </c>
      <c r="H606" t="str">
        <f>F606&amp;"-"&amp;G606</f>
        <v>2024-12</v>
      </c>
    </row>
    <row r="607">
      <c r="A607" t="s">
        <v>8</v>
      </c>
      <c r="B607" t="s">
        <v>339</v>
      </c>
      <c r="C607" t="s">
        <v>360</v>
      </c>
      <c r="D607">
        <v>41716</v>
      </c>
      <c r="E607">
        <v>8</v>
      </c>
      <c r="F607">
        <f>YEAR(C607)</f>
        <v>2024</v>
      </c>
      <c r="G607">
        <f>MONTH(C607)</f>
        <v>12</v>
      </c>
      <c r="H607" t="str">
        <f>F607&amp;"-"&amp;G607</f>
        <v>2024-12</v>
      </c>
    </row>
    <row r="608">
      <c r="A608" t="s">
        <v>17</v>
      </c>
      <c r="B608" t="s">
        <v>151</v>
      </c>
      <c r="C608" t="s">
        <v>360</v>
      </c>
      <c r="D608">
        <v>76398</v>
      </c>
      <c r="E608">
        <v>10</v>
      </c>
      <c r="F608">
        <f>YEAR(C608)</f>
        <v>2024</v>
      </c>
      <c r="G608">
        <f>MONTH(C608)</f>
        <v>12</v>
      </c>
      <c r="H608" t="str">
        <f>F608&amp;"-"&amp;G608</f>
        <v>2024-12</v>
      </c>
    </row>
    <row r="609">
      <c r="A609" t="s">
        <v>8</v>
      </c>
      <c r="B609" t="s">
        <v>106</v>
      </c>
      <c r="C609" t="s">
        <v>361</v>
      </c>
      <c r="D609">
        <v>39547</v>
      </c>
      <c r="E609">
        <v>7</v>
      </c>
      <c r="F609" t="e">
        <f>YEAR(C609)</f>
        <v>#VALUE!</v>
      </c>
      <c r="G609" t="e">
        <f>MONTH(C609)</f>
        <v>#VALUE!</v>
      </c>
      <c r="H609" t="e">
        <f>F609&amp;"-"&amp;G609</f>
        <v>#VALUE!</v>
      </c>
    </row>
    <row r="610">
      <c r="A610" t="s">
        <v>47</v>
      </c>
      <c r="B610" t="s">
        <v>171</v>
      </c>
      <c r="C610" t="s">
        <v>361</v>
      </c>
      <c r="D610">
        <v>26753</v>
      </c>
      <c r="E610">
        <v>8</v>
      </c>
      <c r="F610" t="e">
        <f>YEAR(C610)</f>
        <v>#VALUE!</v>
      </c>
      <c r="G610" t="e">
        <f>MONTH(C610)</f>
        <v>#VALUE!</v>
      </c>
      <c r="H610" t="e">
        <f>F610&amp;"-"&amp;G610</f>
        <v>#VALUE!</v>
      </c>
    </row>
    <row r="611">
      <c r="A611" t="s">
        <v>24</v>
      </c>
      <c r="B611" t="s">
        <v>362</v>
      </c>
      <c r="C611" t="s">
        <v>361</v>
      </c>
      <c r="D611">
        <v>44999</v>
      </c>
      <c r="E611">
        <v>8</v>
      </c>
      <c r="F611" t="e">
        <f>YEAR(C611)</f>
        <v>#VALUE!</v>
      </c>
      <c r="G611" t="e">
        <f>MONTH(C611)</f>
        <v>#VALUE!</v>
      </c>
      <c r="H611" t="e">
        <f>F611&amp;"-"&amp;G611</f>
        <v>#VALUE!</v>
      </c>
    </row>
    <row r="612">
      <c r="A612" t="s">
        <v>5</v>
      </c>
      <c r="B612" t="s">
        <v>99</v>
      </c>
      <c r="C612" t="s">
        <v>361</v>
      </c>
      <c r="D612">
        <v>52558</v>
      </c>
      <c r="E612">
        <v>6</v>
      </c>
      <c r="F612" t="e">
        <f>YEAR(C612)</f>
        <v>#VALUE!</v>
      </c>
      <c r="G612" t="e">
        <f>MONTH(C612)</f>
        <v>#VALUE!</v>
      </c>
      <c r="H612" t="e">
        <f>F612&amp;"-"&amp;G612</f>
        <v>#VALUE!</v>
      </c>
    </row>
    <row r="613">
      <c r="A613" t="s">
        <v>21</v>
      </c>
      <c r="B613" t="s">
        <v>215</v>
      </c>
      <c r="C613" t="s">
        <v>361</v>
      </c>
      <c r="D613">
        <v>96408</v>
      </c>
      <c r="E613">
        <v>2</v>
      </c>
      <c r="F613" t="e">
        <f>YEAR(C613)</f>
        <v>#VALUE!</v>
      </c>
      <c r="G613" t="e">
        <f>MONTH(C613)</f>
        <v>#VALUE!</v>
      </c>
      <c r="H613" t="e">
        <f>F613&amp;"-"&amp;G613</f>
        <v>#VALUE!</v>
      </c>
    </row>
    <row r="614">
      <c r="A614" t="s">
        <v>17</v>
      </c>
      <c r="B614" t="s">
        <v>344</v>
      </c>
      <c r="C614" t="s">
        <v>361</v>
      </c>
      <c r="D614">
        <v>21375</v>
      </c>
      <c r="E614">
        <v>5</v>
      </c>
      <c r="F614" t="e">
        <f>YEAR(C614)</f>
        <v>#VALUE!</v>
      </c>
      <c r="G614" t="e">
        <f>MONTH(C614)</f>
        <v>#VALUE!</v>
      </c>
      <c r="H614" t="e">
        <f>F614&amp;"-"&amp;G614</f>
        <v>#VALUE!</v>
      </c>
    </row>
    <row r="615">
      <c r="A615" t="s">
        <v>28</v>
      </c>
      <c r="B615" t="s">
        <v>135</v>
      </c>
      <c r="C615" t="s">
        <v>361</v>
      </c>
      <c r="D615">
        <v>78633</v>
      </c>
      <c r="E615">
        <v>6</v>
      </c>
      <c r="F615" t="e">
        <f>YEAR(C615)</f>
        <v>#VALUE!</v>
      </c>
      <c r="G615" t="e">
        <f>MONTH(C615)</f>
        <v>#VALUE!</v>
      </c>
      <c r="H615" t="e">
        <f>F615&amp;"-"&amp;G615</f>
        <v>#VALUE!</v>
      </c>
    </row>
    <row r="616">
      <c r="A616" t="s">
        <v>47</v>
      </c>
      <c r="B616" t="s">
        <v>284</v>
      </c>
      <c r="C616" t="s">
        <v>361</v>
      </c>
      <c r="D616">
        <v>49459</v>
      </c>
      <c r="E616">
        <v>4</v>
      </c>
      <c r="F616" t="e">
        <f>YEAR(C616)</f>
        <v>#VALUE!</v>
      </c>
      <c r="G616" t="e">
        <f>MONTH(C616)</f>
        <v>#VALUE!</v>
      </c>
      <c r="H616" t="e">
        <f>F616&amp;"-"&amp;G616</f>
        <v>#VALUE!</v>
      </c>
    </row>
    <row r="617">
      <c r="A617" t="s">
        <v>47</v>
      </c>
      <c r="B617" t="s">
        <v>363</v>
      </c>
      <c r="C617" t="s">
        <v>361</v>
      </c>
      <c r="D617">
        <v>15284</v>
      </c>
      <c r="E617">
        <v>8</v>
      </c>
      <c r="F617" t="e">
        <f>YEAR(C617)</f>
        <v>#VALUE!</v>
      </c>
      <c r="G617" t="e">
        <f>MONTH(C617)</f>
        <v>#VALUE!</v>
      </c>
      <c r="H617" t="e">
        <f>F617&amp;"-"&amp;G617</f>
        <v>#VALUE!</v>
      </c>
    </row>
    <row r="618">
      <c r="A618" t="s">
        <v>13</v>
      </c>
      <c r="B618" t="s">
        <v>49</v>
      </c>
      <c r="C618" t="s">
        <v>361</v>
      </c>
      <c r="D618">
        <v>36473</v>
      </c>
      <c r="E618">
        <v>10</v>
      </c>
      <c r="F618" t="e">
        <f>YEAR(C618)</f>
        <v>#VALUE!</v>
      </c>
      <c r="G618" t="e">
        <f>MONTH(C618)</f>
        <v>#VALUE!</v>
      </c>
      <c r="H618" t="e">
        <f>F618&amp;"-"&amp;G618</f>
        <v>#VALUE!</v>
      </c>
    </row>
    <row r="619">
      <c r="A619" t="s">
        <v>28</v>
      </c>
      <c r="B619" t="s">
        <v>19</v>
      </c>
      <c r="C619" t="s">
        <v>364</v>
      </c>
      <c r="D619">
        <v>91661</v>
      </c>
      <c r="E619">
        <v>10</v>
      </c>
      <c r="F619" t="e">
        <f>YEAR(C619)</f>
        <v>#VALUE!</v>
      </c>
      <c r="G619" t="e">
        <f>MONTH(C619)</f>
        <v>#VALUE!</v>
      </c>
      <c r="H619" t="e">
        <f>F619&amp;"-"&amp;G619</f>
        <v>#VALUE!</v>
      </c>
    </row>
    <row r="620">
      <c r="A620" t="s">
        <v>21</v>
      </c>
      <c r="B620" t="s">
        <v>365</v>
      </c>
      <c r="C620" t="s">
        <v>364</v>
      </c>
      <c r="D620">
        <v>35725</v>
      </c>
      <c r="E620">
        <v>7</v>
      </c>
      <c r="F620" t="e">
        <f>YEAR(C620)</f>
        <v>#VALUE!</v>
      </c>
      <c r="G620" t="e">
        <f>MONTH(C620)</f>
        <v>#VALUE!</v>
      </c>
      <c r="H620" t="e">
        <f>F620&amp;"-"&amp;G620</f>
        <v>#VALUE!</v>
      </c>
    </row>
    <row r="621">
      <c r="A621" t="s">
        <v>15</v>
      </c>
      <c r="B621" t="s">
        <v>98</v>
      </c>
      <c r="C621" t="s">
        <v>364</v>
      </c>
      <c r="D621">
        <v>38808</v>
      </c>
      <c r="E621">
        <v>7</v>
      </c>
      <c r="F621" t="e">
        <f>YEAR(C621)</f>
        <v>#VALUE!</v>
      </c>
      <c r="G621" t="e">
        <f>MONTH(C621)</f>
        <v>#VALUE!</v>
      </c>
      <c r="H621" t="e">
        <f>F621&amp;"-"&amp;G621</f>
        <v>#VALUE!</v>
      </c>
    </row>
    <row r="622">
      <c r="A622" t="s">
        <v>11</v>
      </c>
      <c r="B622" t="s">
        <v>137</v>
      </c>
      <c r="C622" t="s">
        <v>366</v>
      </c>
      <c r="D622">
        <v>87746</v>
      </c>
      <c r="E622">
        <v>6</v>
      </c>
      <c r="F622" t="e">
        <f>YEAR(C622)</f>
        <v>#VALUE!</v>
      </c>
      <c r="G622" t="e">
        <f>MONTH(C622)</f>
        <v>#VALUE!</v>
      </c>
      <c r="H622" t="e">
        <f>F622&amp;"-"&amp;G622</f>
        <v>#VALUE!</v>
      </c>
    </row>
    <row r="623">
      <c r="A623" t="s">
        <v>11</v>
      </c>
      <c r="B623" t="s">
        <v>140</v>
      </c>
      <c r="C623" t="s">
        <v>366</v>
      </c>
      <c r="D623">
        <v>48556</v>
      </c>
      <c r="E623">
        <v>8</v>
      </c>
      <c r="F623" t="e">
        <f>YEAR(C623)</f>
        <v>#VALUE!</v>
      </c>
      <c r="G623" t="e">
        <f>MONTH(C623)</f>
        <v>#VALUE!</v>
      </c>
      <c r="H623" t="e">
        <f>F623&amp;"-"&amp;G623</f>
        <v>#VALUE!</v>
      </c>
    </row>
    <row r="624">
      <c r="A624" t="s">
        <v>28</v>
      </c>
      <c r="B624" t="s">
        <v>123</v>
      </c>
      <c r="C624" t="s">
        <v>367</v>
      </c>
      <c r="D624">
        <v>74459</v>
      </c>
      <c r="E624">
        <v>10</v>
      </c>
      <c r="F624" t="e">
        <f>YEAR(C624)</f>
        <v>#VALUE!</v>
      </c>
      <c r="G624" t="e">
        <f>MONTH(C624)</f>
        <v>#VALUE!</v>
      </c>
      <c r="H624" t="e">
        <f>F624&amp;"-"&amp;G624</f>
        <v>#VALUE!</v>
      </c>
    </row>
    <row r="625">
      <c r="A625" t="s">
        <v>47</v>
      </c>
      <c r="B625" t="s">
        <v>189</v>
      </c>
      <c r="C625" t="s">
        <v>367</v>
      </c>
      <c r="D625">
        <v>75182</v>
      </c>
      <c r="E625">
        <v>10</v>
      </c>
      <c r="F625" t="e">
        <f>YEAR(C625)</f>
        <v>#VALUE!</v>
      </c>
      <c r="G625" t="e">
        <f>MONTH(C625)</f>
        <v>#VALUE!</v>
      </c>
      <c r="H625" t="e">
        <f>F625&amp;"-"&amp;G625</f>
        <v>#VALUE!</v>
      </c>
    </row>
    <row r="626">
      <c r="A626" t="s">
        <v>24</v>
      </c>
      <c r="B626" t="s">
        <v>223</v>
      </c>
      <c r="C626" t="s">
        <v>367</v>
      </c>
      <c r="D626">
        <v>18893</v>
      </c>
      <c r="E626">
        <v>8</v>
      </c>
      <c r="F626" t="e">
        <f>YEAR(C626)</f>
        <v>#VALUE!</v>
      </c>
      <c r="G626" t="e">
        <f>MONTH(C626)</f>
        <v>#VALUE!</v>
      </c>
      <c r="H626" t="e">
        <f>F626&amp;"-"&amp;G626</f>
        <v>#VALUE!</v>
      </c>
    </row>
    <row r="627">
      <c r="A627" t="s">
        <v>57</v>
      </c>
      <c r="B627" t="s">
        <v>78</v>
      </c>
      <c r="C627" t="s">
        <v>367</v>
      </c>
      <c r="D627">
        <v>81450</v>
      </c>
      <c r="E627">
        <v>6</v>
      </c>
      <c r="F627" t="e">
        <f>YEAR(C627)</f>
        <v>#VALUE!</v>
      </c>
      <c r="G627" t="e">
        <f>MONTH(C627)</f>
        <v>#VALUE!</v>
      </c>
      <c r="H627" t="e">
        <f>F627&amp;"-"&amp;G627</f>
        <v>#VALUE!</v>
      </c>
    </row>
    <row r="628">
      <c r="A628" t="s">
        <v>47</v>
      </c>
      <c r="B628" t="s">
        <v>26</v>
      </c>
      <c r="C628" t="s">
        <v>368</v>
      </c>
      <c r="D628">
        <v>95163</v>
      </c>
      <c r="E628">
        <v>3</v>
      </c>
      <c r="F628" t="e">
        <f>YEAR(C628)</f>
        <v>#VALUE!</v>
      </c>
      <c r="G628" t="e">
        <f>MONTH(C628)</f>
        <v>#VALUE!</v>
      </c>
      <c r="H628" t="e">
        <f>F628&amp;"-"&amp;G628</f>
        <v>#VALUE!</v>
      </c>
    </row>
    <row r="629">
      <c r="A629" t="s">
        <v>15</v>
      </c>
      <c r="B629" t="s">
        <v>116</v>
      </c>
      <c r="C629" t="s">
        <v>368</v>
      </c>
      <c r="D629">
        <v>83253</v>
      </c>
      <c r="E629">
        <v>8</v>
      </c>
      <c r="F629" t="e">
        <f>YEAR(C629)</f>
        <v>#VALUE!</v>
      </c>
      <c r="G629" t="e">
        <f>MONTH(C629)</f>
        <v>#VALUE!</v>
      </c>
      <c r="H629" t="e">
        <f>F629&amp;"-"&amp;G629</f>
        <v>#VALUE!</v>
      </c>
    </row>
    <row r="630">
      <c r="A630" t="s">
        <v>17</v>
      </c>
      <c r="B630" t="s">
        <v>148</v>
      </c>
      <c r="C630" t="s">
        <v>368</v>
      </c>
      <c r="D630">
        <v>82945</v>
      </c>
      <c r="E630">
        <v>7</v>
      </c>
      <c r="F630" t="e">
        <f>YEAR(C630)</f>
        <v>#VALUE!</v>
      </c>
      <c r="G630" t="e">
        <f>MONTH(C630)</f>
        <v>#VALUE!</v>
      </c>
      <c r="H630" t="e">
        <f>F630&amp;"-"&amp;G630</f>
        <v>#VALUE!</v>
      </c>
    </row>
    <row r="631">
      <c r="A631" t="s">
        <v>24</v>
      </c>
      <c r="B631" t="s">
        <v>56</v>
      </c>
      <c r="C631" t="s">
        <v>368</v>
      </c>
      <c r="D631">
        <v>80642</v>
      </c>
      <c r="E631">
        <v>2</v>
      </c>
      <c r="F631" t="e">
        <f>YEAR(C631)</f>
        <v>#VALUE!</v>
      </c>
      <c r="G631" t="e">
        <f>MONTH(C631)</f>
        <v>#VALUE!</v>
      </c>
      <c r="H631" t="e">
        <f>F631&amp;"-"&amp;G631</f>
        <v>#VALUE!</v>
      </c>
    </row>
    <row r="632">
      <c r="A632" t="s">
        <v>47</v>
      </c>
      <c r="B632" t="s">
        <v>256</v>
      </c>
      <c r="C632" t="s">
        <v>369</v>
      </c>
      <c r="D632">
        <v>27806</v>
      </c>
      <c r="E632">
        <v>6</v>
      </c>
      <c r="F632" t="e">
        <f>YEAR(C632)</f>
        <v>#VALUE!</v>
      </c>
      <c r="G632" t="e">
        <f>MONTH(C632)</f>
        <v>#VALUE!</v>
      </c>
      <c r="H632" t="e">
        <f>F632&amp;"-"&amp;G632</f>
        <v>#VALUE!</v>
      </c>
    </row>
    <row r="633">
      <c r="A633" t="s">
        <v>13</v>
      </c>
      <c r="B633" t="s">
        <v>102</v>
      </c>
      <c r="C633" t="s">
        <v>369</v>
      </c>
      <c r="D633">
        <v>45598</v>
      </c>
      <c r="E633">
        <v>4</v>
      </c>
      <c r="F633" t="e">
        <f>YEAR(C633)</f>
        <v>#VALUE!</v>
      </c>
      <c r="G633" t="e">
        <f>MONTH(C633)</f>
        <v>#VALUE!</v>
      </c>
      <c r="H633" t="e">
        <f>F633&amp;"-"&amp;G633</f>
        <v>#VALUE!</v>
      </c>
    </row>
    <row r="634">
      <c r="A634" t="s">
        <v>28</v>
      </c>
      <c r="B634" t="s">
        <v>44</v>
      </c>
      <c r="C634" t="s">
        <v>369</v>
      </c>
      <c r="D634">
        <v>85782</v>
      </c>
      <c r="E634">
        <v>4</v>
      </c>
      <c r="F634" t="e">
        <f>YEAR(C634)</f>
        <v>#VALUE!</v>
      </c>
      <c r="G634" t="e">
        <f>MONTH(C634)</f>
        <v>#VALUE!</v>
      </c>
      <c r="H634" t="e">
        <f>F634&amp;"-"&amp;G634</f>
        <v>#VALUE!</v>
      </c>
    </row>
    <row r="635">
      <c r="A635" t="s">
        <v>43</v>
      </c>
      <c r="B635" t="s">
        <v>58</v>
      </c>
      <c r="C635" t="s">
        <v>369</v>
      </c>
      <c r="D635">
        <v>86602</v>
      </c>
      <c r="E635">
        <v>8</v>
      </c>
      <c r="F635" t="e">
        <f>YEAR(C635)</f>
        <v>#VALUE!</v>
      </c>
      <c r="G635" t="e">
        <f>MONTH(C635)</f>
        <v>#VALUE!</v>
      </c>
      <c r="H635" t="e">
        <f>F635&amp;"-"&amp;G635</f>
        <v>#VALUE!</v>
      </c>
    </row>
    <row r="636">
      <c r="A636" t="s">
        <v>47</v>
      </c>
      <c r="B636" t="s">
        <v>370</v>
      </c>
      <c r="C636" t="s">
        <v>369</v>
      </c>
      <c r="D636">
        <v>29163</v>
      </c>
      <c r="E636">
        <v>4</v>
      </c>
      <c r="F636" t="e">
        <f>YEAR(C636)</f>
        <v>#VALUE!</v>
      </c>
      <c r="G636" t="e">
        <f>MONTH(C636)</f>
        <v>#VALUE!</v>
      </c>
      <c r="H636" t="e">
        <f>F636&amp;"-"&amp;G636</f>
        <v>#VALUE!</v>
      </c>
    </row>
    <row r="637">
      <c r="A637" t="s">
        <v>8</v>
      </c>
      <c r="B637" t="s">
        <v>95</v>
      </c>
      <c r="C637" t="s">
        <v>369</v>
      </c>
      <c r="D637">
        <v>46291</v>
      </c>
      <c r="E637">
        <v>7</v>
      </c>
      <c r="F637" t="e">
        <f>YEAR(C637)</f>
        <v>#VALUE!</v>
      </c>
      <c r="G637" t="e">
        <f>MONTH(C637)</f>
        <v>#VALUE!</v>
      </c>
      <c r="H637" t="e">
        <f>F637&amp;"-"&amp;G637</f>
        <v>#VALUE!</v>
      </c>
    </row>
    <row r="638">
      <c r="A638" t="s">
        <v>5</v>
      </c>
      <c r="B638" t="s">
        <v>131</v>
      </c>
      <c r="C638" t="s">
        <v>369</v>
      </c>
      <c r="D638">
        <v>82592</v>
      </c>
      <c r="E638">
        <v>1</v>
      </c>
      <c r="F638" t="e">
        <f>YEAR(C638)</f>
        <v>#VALUE!</v>
      </c>
      <c r="G638" t="e">
        <f>MONTH(C638)</f>
        <v>#VALUE!</v>
      </c>
      <c r="H638" t="e">
        <f>F638&amp;"-"&amp;G638</f>
        <v>#VALUE!</v>
      </c>
    </row>
    <row r="639">
      <c r="A639" t="s">
        <v>43</v>
      </c>
      <c r="B639" t="s">
        <v>250</v>
      </c>
      <c r="C639" t="s">
        <v>369</v>
      </c>
      <c r="D639">
        <v>91626</v>
      </c>
      <c r="E639">
        <v>9</v>
      </c>
      <c r="F639" t="e">
        <f>YEAR(C639)</f>
        <v>#VALUE!</v>
      </c>
      <c r="G639" t="e">
        <f>MONTH(C639)</f>
        <v>#VALUE!</v>
      </c>
      <c r="H639" t="e">
        <f>F639&amp;"-"&amp;G639</f>
        <v>#VALUE!</v>
      </c>
    </row>
    <row r="640">
      <c r="A640" t="s">
        <v>47</v>
      </c>
      <c r="B640" t="s">
        <v>223</v>
      </c>
      <c r="C640" t="s">
        <v>369</v>
      </c>
      <c r="D640">
        <v>12442</v>
      </c>
      <c r="E640">
        <v>2</v>
      </c>
      <c r="F640" t="e">
        <f>YEAR(C640)</f>
        <v>#VALUE!</v>
      </c>
      <c r="G640" t="e">
        <f>MONTH(C640)</f>
        <v>#VALUE!</v>
      </c>
      <c r="H640" t="e">
        <f>F640&amp;"-"&amp;G640</f>
        <v>#VALUE!</v>
      </c>
    </row>
    <row r="641">
      <c r="A641" t="s">
        <v>13</v>
      </c>
      <c r="B641" t="s">
        <v>161</v>
      </c>
      <c r="C641" t="s">
        <v>371</v>
      </c>
      <c r="D641">
        <v>70937</v>
      </c>
      <c r="E641">
        <v>7</v>
      </c>
      <c r="F641" t="e">
        <f>YEAR(C641)</f>
        <v>#VALUE!</v>
      </c>
      <c r="G641" t="e">
        <f>MONTH(C641)</f>
        <v>#VALUE!</v>
      </c>
      <c r="H641" t="e">
        <f>F641&amp;"-"&amp;G641</f>
        <v>#VALUE!</v>
      </c>
    </row>
    <row r="642">
      <c r="A642" t="s">
        <v>47</v>
      </c>
      <c r="B642" t="s">
        <v>12</v>
      </c>
      <c r="C642" t="s">
        <v>371</v>
      </c>
      <c r="D642">
        <v>58338</v>
      </c>
      <c r="E642">
        <v>6</v>
      </c>
      <c r="F642" t="e">
        <f>YEAR(C642)</f>
        <v>#VALUE!</v>
      </c>
      <c r="G642" t="e">
        <f>MONTH(C642)</f>
        <v>#VALUE!</v>
      </c>
      <c r="H642" t="e">
        <f>F642&amp;"-"&amp;G642</f>
        <v>#VALUE!</v>
      </c>
    </row>
    <row r="643">
      <c r="A643" t="s">
        <v>11</v>
      </c>
      <c r="B643" t="s">
        <v>73</v>
      </c>
      <c r="C643" t="s">
        <v>371</v>
      </c>
      <c r="D643">
        <v>44940</v>
      </c>
      <c r="E643">
        <v>7</v>
      </c>
      <c r="F643" t="e">
        <f>YEAR(C643)</f>
        <v>#VALUE!</v>
      </c>
      <c r="G643" t="e">
        <f>MONTH(C643)</f>
        <v>#VALUE!</v>
      </c>
      <c r="H643" t="e">
        <f>F643&amp;"-"&amp;G643</f>
        <v>#VALUE!</v>
      </c>
    </row>
    <row r="644">
      <c r="A644" t="s">
        <v>21</v>
      </c>
      <c r="B644" t="s">
        <v>85</v>
      </c>
      <c r="C644" t="s">
        <v>372</v>
      </c>
      <c r="D644">
        <v>98322</v>
      </c>
      <c r="E644">
        <v>5</v>
      </c>
      <c r="F644" t="e">
        <f>YEAR(C644)</f>
        <v>#VALUE!</v>
      </c>
      <c r="G644" t="e">
        <f>MONTH(C644)</f>
        <v>#VALUE!</v>
      </c>
      <c r="H644" t="e">
        <f>F644&amp;"-"&amp;G644</f>
        <v>#VALUE!</v>
      </c>
    </row>
    <row r="645">
      <c r="A645" t="s">
        <v>47</v>
      </c>
      <c r="B645" t="s">
        <v>186</v>
      </c>
      <c r="C645" t="s">
        <v>372</v>
      </c>
      <c r="D645">
        <v>38740</v>
      </c>
      <c r="E645">
        <v>6</v>
      </c>
      <c r="F645" t="e">
        <f>YEAR(C645)</f>
        <v>#VALUE!</v>
      </c>
      <c r="G645" t="e">
        <f>MONTH(C645)</f>
        <v>#VALUE!</v>
      </c>
      <c r="H645" t="e">
        <f>F645&amp;"-"&amp;G645</f>
        <v>#VALUE!</v>
      </c>
    </row>
    <row r="646">
      <c r="A646" t="s">
        <v>24</v>
      </c>
      <c r="B646" t="s">
        <v>118</v>
      </c>
      <c r="C646" t="s">
        <v>372</v>
      </c>
      <c r="D646">
        <v>13425</v>
      </c>
      <c r="E646">
        <v>9</v>
      </c>
      <c r="F646" t="e">
        <f>YEAR(C646)</f>
        <v>#VALUE!</v>
      </c>
      <c r="G646" t="e">
        <f>MONTH(C646)</f>
        <v>#VALUE!</v>
      </c>
      <c r="H646" t="e">
        <f>F646&amp;"-"&amp;G646</f>
        <v>#VALUE!</v>
      </c>
    </row>
    <row r="647">
      <c r="A647" t="s">
        <v>15</v>
      </c>
      <c r="B647" t="s">
        <v>288</v>
      </c>
      <c r="C647" t="s">
        <v>372</v>
      </c>
      <c r="D647">
        <v>23041</v>
      </c>
      <c r="E647">
        <v>6</v>
      </c>
      <c r="F647" t="e">
        <f>YEAR(C647)</f>
        <v>#VALUE!</v>
      </c>
      <c r="G647" t="e">
        <f>MONTH(C647)</f>
        <v>#VALUE!</v>
      </c>
      <c r="H647" t="e">
        <f>F647&amp;"-"&amp;G647</f>
        <v>#VALUE!</v>
      </c>
    </row>
    <row r="648">
      <c r="A648" t="s">
        <v>15</v>
      </c>
      <c r="B648" t="s">
        <v>160</v>
      </c>
      <c r="C648" t="s">
        <v>372</v>
      </c>
      <c r="D648">
        <v>67966</v>
      </c>
      <c r="E648">
        <v>10</v>
      </c>
      <c r="F648" t="e">
        <f>YEAR(C648)</f>
        <v>#VALUE!</v>
      </c>
      <c r="G648" t="e">
        <f>MONTH(C648)</f>
        <v>#VALUE!</v>
      </c>
      <c r="H648" t="e">
        <f>F648&amp;"-"&amp;G648</f>
        <v>#VALUE!</v>
      </c>
    </row>
    <row r="649">
      <c r="A649" t="s">
        <v>57</v>
      </c>
      <c r="B649" t="s">
        <v>108</v>
      </c>
      <c r="C649" t="s">
        <v>373</v>
      </c>
      <c r="D649">
        <v>45041</v>
      </c>
      <c r="E649">
        <v>7</v>
      </c>
      <c r="F649" t="e">
        <f>YEAR(C649)</f>
        <v>#VALUE!</v>
      </c>
      <c r="G649" t="e">
        <f>MONTH(C649)</f>
        <v>#VALUE!</v>
      </c>
      <c r="H649" t="e">
        <f>F649&amp;"-"&amp;G649</f>
        <v>#VALUE!</v>
      </c>
    </row>
    <row r="650">
      <c r="A650" t="s">
        <v>13</v>
      </c>
      <c r="B650" t="s">
        <v>172</v>
      </c>
      <c r="C650" t="s">
        <v>373</v>
      </c>
      <c r="D650">
        <v>41689</v>
      </c>
      <c r="E650">
        <v>5</v>
      </c>
      <c r="F650" t="e">
        <f>YEAR(C650)</f>
        <v>#VALUE!</v>
      </c>
      <c r="G650" t="e">
        <f>MONTH(C650)</f>
        <v>#VALUE!</v>
      </c>
      <c r="H650" t="e">
        <f>F650&amp;"-"&amp;G650</f>
        <v>#VALUE!</v>
      </c>
    </row>
    <row r="651">
      <c r="A651" t="s">
        <v>5</v>
      </c>
      <c r="B651" t="s">
        <v>374</v>
      </c>
      <c r="C651" t="s">
        <v>373</v>
      </c>
      <c r="D651">
        <v>13819</v>
      </c>
      <c r="E651">
        <v>7</v>
      </c>
      <c r="F651" t="e">
        <f>YEAR(C651)</f>
        <v>#VALUE!</v>
      </c>
      <c r="G651" t="e">
        <f>MONTH(C651)</f>
        <v>#VALUE!</v>
      </c>
      <c r="H651" t="e">
        <f>F651&amp;"-"&amp;G651</f>
        <v>#VALUE!</v>
      </c>
    </row>
    <row r="652">
      <c r="A652" t="s">
        <v>11</v>
      </c>
      <c r="B652" t="s">
        <v>263</v>
      </c>
      <c r="C652" t="s">
        <v>375</v>
      </c>
      <c r="D652">
        <v>58582</v>
      </c>
      <c r="E652">
        <v>0</v>
      </c>
      <c r="F652" t="e">
        <f>YEAR(C652)</f>
        <v>#VALUE!</v>
      </c>
      <c r="G652" t="e">
        <f>MONTH(C652)</f>
        <v>#VALUE!</v>
      </c>
      <c r="H652" t="e">
        <f>F652&amp;"-"&amp;G652</f>
        <v>#VALUE!</v>
      </c>
    </row>
    <row r="653">
      <c r="A653" t="s">
        <v>15</v>
      </c>
      <c r="B653" t="s">
        <v>138</v>
      </c>
      <c r="C653" t="s">
        <v>375</v>
      </c>
      <c r="D653">
        <v>27539</v>
      </c>
      <c r="E653">
        <v>7</v>
      </c>
      <c r="F653" t="e">
        <f>YEAR(C653)</f>
        <v>#VALUE!</v>
      </c>
      <c r="G653" t="e">
        <f>MONTH(C653)</f>
        <v>#VALUE!</v>
      </c>
      <c r="H653" t="e">
        <f>F653&amp;"-"&amp;G653</f>
        <v>#VALUE!</v>
      </c>
    </row>
    <row r="654">
      <c r="A654" t="s">
        <v>5</v>
      </c>
      <c r="B654" t="s">
        <v>65</v>
      </c>
      <c r="C654" t="s">
        <v>375</v>
      </c>
      <c r="D654">
        <v>48048</v>
      </c>
      <c r="E654">
        <v>8</v>
      </c>
      <c r="F654" t="e">
        <f>YEAR(C654)</f>
        <v>#VALUE!</v>
      </c>
      <c r="G654" t="e">
        <f>MONTH(C654)</f>
        <v>#VALUE!</v>
      </c>
      <c r="H654" t="e">
        <f>F654&amp;"-"&amp;G654</f>
        <v>#VALUE!</v>
      </c>
    </row>
    <row r="655">
      <c r="A655" t="s">
        <v>17</v>
      </c>
      <c r="B655" t="s">
        <v>153</v>
      </c>
      <c r="C655" t="s">
        <v>375</v>
      </c>
      <c r="D655">
        <v>11044</v>
      </c>
      <c r="E655">
        <v>6</v>
      </c>
      <c r="F655" t="e">
        <f>YEAR(C655)</f>
        <v>#VALUE!</v>
      </c>
      <c r="G655" t="e">
        <f>MONTH(C655)</f>
        <v>#VALUE!</v>
      </c>
      <c r="H655" t="e">
        <f>F655&amp;"-"&amp;G655</f>
        <v>#VALUE!</v>
      </c>
    </row>
    <row r="656">
      <c r="A656" t="s">
        <v>57</v>
      </c>
      <c r="B656" t="s">
        <v>252</v>
      </c>
      <c r="C656" t="s">
        <v>375</v>
      </c>
      <c r="D656">
        <v>77221</v>
      </c>
      <c r="E656">
        <v>7</v>
      </c>
      <c r="F656" t="e">
        <f>YEAR(C656)</f>
        <v>#VALUE!</v>
      </c>
      <c r="G656" t="e">
        <f>MONTH(C656)</f>
        <v>#VALUE!</v>
      </c>
      <c r="H656" t="e">
        <f>F656&amp;"-"&amp;G656</f>
        <v>#VALUE!</v>
      </c>
    </row>
    <row r="657">
      <c r="A657" t="s">
        <v>24</v>
      </c>
      <c r="B657" t="s">
        <v>117</v>
      </c>
      <c r="C657" t="s">
        <v>376</v>
      </c>
      <c r="D657">
        <v>19960</v>
      </c>
      <c r="E657">
        <v>6</v>
      </c>
      <c r="F657" t="e">
        <f>YEAR(C657)</f>
        <v>#VALUE!</v>
      </c>
      <c r="G657" t="e">
        <f>MONTH(C657)</f>
        <v>#VALUE!</v>
      </c>
      <c r="H657" t="e">
        <f>F657&amp;"-"&amp;G657</f>
        <v>#VALUE!</v>
      </c>
    </row>
    <row r="658">
      <c r="A658" t="s">
        <v>8</v>
      </c>
      <c r="B658" t="s">
        <v>207</v>
      </c>
      <c r="C658" t="s">
        <v>376</v>
      </c>
      <c r="D658">
        <v>76731</v>
      </c>
      <c r="E658">
        <v>5</v>
      </c>
      <c r="F658" t="e">
        <f>YEAR(C658)</f>
        <v>#VALUE!</v>
      </c>
      <c r="G658" t="e">
        <f>MONTH(C658)</f>
        <v>#VALUE!</v>
      </c>
      <c r="H658" t="e">
        <f>F658&amp;"-"&amp;G658</f>
        <v>#VALUE!</v>
      </c>
    </row>
    <row r="659">
      <c r="A659" t="s">
        <v>11</v>
      </c>
      <c r="B659" t="s">
        <v>100</v>
      </c>
      <c r="C659" t="s">
        <v>376</v>
      </c>
      <c r="D659">
        <v>99000</v>
      </c>
      <c r="E659">
        <v>7</v>
      </c>
      <c r="F659" t="e">
        <f>YEAR(C659)</f>
        <v>#VALUE!</v>
      </c>
      <c r="G659" t="e">
        <f>MONTH(C659)</f>
        <v>#VALUE!</v>
      </c>
      <c r="H659" t="e">
        <f>F659&amp;"-"&amp;G659</f>
        <v>#VALUE!</v>
      </c>
    </row>
    <row r="660">
      <c r="A660" t="s">
        <v>28</v>
      </c>
      <c r="B660" t="s">
        <v>174</v>
      </c>
      <c r="C660" t="s">
        <v>376</v>
      </c>
      <c r="D660">
        <v>67712</v>
      </c>
      <c r="E660">
        <v>7</v>
      </c>
      <c r="F660" t="e">
        <f>YEAR(C660)</f>
        <v>#VALUE!</v>
      </c>
      <c r="G660" t="e">
        <f>MONTH(C660)</f>
        <v>#VALUE!</v>
      </c>
      <c r="H660" t="e">
        <f>F660&amp;"-"&amp;G660</f>
        <v>#VALUE!</v>
      </c>
    </row>
    <row r="661">
      <c r="A661" t="s">
        <v>21</v>
      </c>
      <c r="B661" t="s">
        <v>147</v>
      </c>
      <c r="C661" t="s">
        <v>376</v>
      </c>
      <c r="D661">
        <v>56566</v>
      </c>
      <c r="E661">
        <v>9</v>
      </c>
      <c r="F661" t="e">
        <f>YEAR(C661)</f>
        <v>#VALUE!</v>
      </c>
      <c r="G661" t="e">
        <f>MONTH(C661)</f>
        <v>#VALUE!</v>
      </c>
      <c r="H661" t="e">
        <f>F661&amp;"-"&amp;G661</f>
        <v>#VALUE!</v>
      </c>
    </row>
    <row r="662">
      <c r="A662" t="s">
        <v>15</v>
      </c>
      <c r="B662" t="s">
        <v>248</v>
      </c>
      <c r="C662" t="s">
        <v>376</v>
      </c>
      <c r="D662">
        <v>83221</v>
      </c>
      <c r="E662">
        <v>7</v>
      </c>
      <c r="F662" t="e">
        <f>YEAR(C662)</f>
        <v>#VALUE!</v>
      </c>
      <c r="G662" t="e">
        <f>MONTH(C662)</f>
        <v>#VALUE!</v>
      </c>
      <c r="H662" t="e">
        <f>F662&amp;"-"&amp;G662</f>
        <v>#VALUE!</v>
      </c>
    </row>
    <row r="663">
      <c r="A663" t="s">
        <v>57</v>
      </c>
      <c r="B663" t="s">
        <v>174</v>
      </c>
      <c r="C663" t="s">
        <v>376</v>
      </c>
      <c r="D663">
        <v>50653</v>
      </c>
      <c r="E663">
        <v>5</v>
      </c>
      <c r="F663" t="e">
        <f>YEAR(C663)</f>
        <v>#VALUE!</v>
      </c>
      <c r="G663" t="e">
        <f>MONTH(C663)</f>
        <v>#VALUE!</v>
      </c>
      <c r="H663" t="e">
        <f>F663&amp;"-"&amp;G663</f>
        <v>#VALUE!</v>
      </c>
    </row>
    <row r="664">
      <c r="A664" t="s">
        <v>21</v>
      </c>
      <c r="B664" t="s">
        <v>99</v>
      </c>
      <c r="C664" t="s">
        <v>376</v>
      </c>
      <c r="D664">
        <v>37814</v>
      </c>
      <c r="E664">
        <v>5</v>
      </c>
      <c r="F664" t="e">
        <f>YEAR(C664)</f>
        <v>#VALUE!</v>
      </c>
      <c r="G664" t="e">
        <f>MONTH(C664)</f>
        <v>#VALUE!</v>
      </c>
      <c r="H664" t="e">
        <f>F664&amp;"-"&amp;G664</f>
        <v>#VALUE!</v>
      </c>
    </row>
    <row r="665">
      <c r="A665" t="s">
        <v>43</v>
      </c>
      <c r="B665" t="s">
        <v>75</v>
      </c>
      <c r="C665" t="s">
        <v>376</v>
      </c>
      <c r="D665">
        <v>32907</v>
      </c>
      <c r="E665">
        <v>9</v>
      </c>
      <c r="F665" t="e">
        <f>YEAR(C665)</f>
        <v>#VALUE!</v>
      </c>
      <c r="G665" t="e">
        <f>MONTH(C665)</f>
        <v>#VALUE!</v>
      </c>
      <c r="H665" t="e">
        <f>F665&amp;"-"&amp;G665</f>
        <v>#VALUE!</v>
      </c>
    </row>
    <row r="666">
      <c r="A666" t="s">
        <v>11</v>
      </c>
      <c r="B666" t="s">
        <v>258</v>
      </c>
      <c r="C666" t="s">
        <v>377</v>
      </c>
      <c r="D666">
        <v>83472</v>
      </c>
      <c r="E666">
        <v>8</v>
      </c>
      <c r="F666" t="e">
        <f>YEAR(C666)</f>
        <v>#VALUE!</v>
      </c>
      <c r="G666" t="e">
        <f>MONTH(C666)</f>
        <v>#VALUE!</v>
      </c>
      <c r="H666" t="e">
        <f>F666&amp;"-"&amp;G666</f>
        <v>#VALUE!</v>
      </c>
    </row>
    <row r="667">
      <c r="A667" t="s">
        <v>15</v>
      </c>
      <c r="B667" t="s">
        <v>103</v>
      </c>
      <c r="C667" t="s">
        <v>377</v>
      </c>
      <c r="D667">
        <v>92668</v>
      </c>
      <c r="E667">
        <v>9</v>
      </c>
      <c r="F667" t="e">
        <f>YEAR(C667)</f>
        <v>#VALUE!</v>
      </c>
      <c r="G667" t="e">
        <f>MONTH(C667)</f>
        <v>#VALUE!</v>
      </c>
      <c r="H667" t="e">
        <f>F667&amp;"-"&amp;G667</f>
        <v>#VALUE!</v>
      </c>
    </row>
    <row r="668">
      <c r="A668" t="s">
        <v>21</v>
      </c>
      <c r="B668" t="s">
        <v>30</v>
      </c>
      <c r="C668" t="s">
        <v>377</v>
      </c>
      <c r="D668">
        <v>23790</v>
      </c>
      <c r="E668">
        <v>6</v>
      </c>
      <c r="F668" t="e">
        <f>YEAR(C668)</f>
        <v>#VALUE!</v>
      </c>
      <c r="G668" t="e">
        <f>MONTH(C668)</f>
        <v>#VALUE!</v>
      </c>
      <c r="H668" t="e">
        <f>F668&amp;"-"&amp;G668</f>
        <v>#VALUE!</v>
      </c>
    </row>
    <row r="669">
      <c r="A669" t="s">
        <v>8</v>
      </c>
      <c r="B669" t="s">
        <v>48</v>
      </c>
      <c r="C669" t="s">
        <v>377</v>
      </c>
      <c r="D669">
        <v>39393</v>
      </c>
      <c r="E669">
        <v>9</v>
      </c>
      <c r="F669" t="e">
        <f>YEAR(C669)</f>
        <v>#VALUE!</v>
      </c>
      <c r="G669" t="e">
        <f>MONTH(C669)</f>
        <v>#VALUE!</v>
      </c>
      <c r="H669" t="e">
        <f>F669&amp;"-"&amp;G669</f>
        <v>#VALUE!</v>
      </c>
    </row>
    <row r="670">
      <c r="A670" t="s">
        <v>15</v>
      </c>
      <c r="B670" t="s">
        <v>310</v>
      </c>
      <c r="C670" t="s">
        <v>377</v>
      </c>
      <c r="D670">
        <v>95944</v>
      </c>
      <c r="E670">
        <v>7</v>
      </c>
      <c r="F670" t="e">
        <f>YEAR(C670)</f>
        <v>#VALUE!</v>
      </c>
      <c r="G670" t="e">
        <f>MONTH(C670)</f>
        <v>#VALUE!</v>
      </c>
      <c r="H670" t="e">
        <f>F670&amp;"-"&amp;G670</f>
        <v>#VALUE!</v>
      </c>
    </row>
    <row r="671">
      <c r="A671" t="s">
        <v>28</v>
      </c>
      <c r="B671" t="s">
        <v>63</v>
      </c>
      <c r="C671" t="s">
        <v>377</v>
      </c>
      <c r="D671">
        <v>55704</v>
      </c>
      <c r="E671">
        <v>4</v>
      </c>
      <c r="F671" t="e">
        <f>YEAR(C671)</f>
        <v>#VALUE!</v>
      </c>
      <c r="G671" t="e">
        <f>MONTH(C671)</f>
        <v>#VALUE!</v>
      </c>
      <c r="H671" t="e">
        <f>F671&amp;"-"&amp;G671</f>
        <v>#VALUE!</v>
      </c>
    </row>
    <row r="672">
      <c r="A672" t="s">
        <v>5</v>
      </c>
      <c r="B672" t="s">
        <v>123</v>
      </c>
      <c r="C672" t="s">
        <v>378</v>
      </c>
      <c r="D672">
        <v>75449</v>
      </c>
      <c r="E672">
        <v>6</v>
      </c>
      <c r="F672">
        <f>YEAR(C672)</f>
        <v>2024</v>
      </c>
      <c r="G672">
        <f>MONTH(C672)</f>
        <v>1</v>
      </c>
      <c r="H672" t="str">
        <f>F672&amp;"-"&amp;G672</f>
        <v>2024-1</v>
      </c>
    </row>
    <row r="673">
      <c r="A673" t="s">
        <v>11</v>
      </c>
      <c r="B673" t="s">
        <v>291</v>
      </c>
      <c r="C673" t="s">
        <v>378</v>
      </c>
      <c r="D673">
        <v>71932</v>
      </c>
      <c r="E673">
        <v>3</v>
      </c>
      <c r="F673">
        <f>YEAR(C673)</f>
        <v>2024</v>
      </c>
      <c r="G673">
        <f>MONTH(C673)</f>
        <v>1</v>
      </c>
      <c r="H673" t="str">
        <f>F673&amp;"-"&amp;G673</f>
        <v>2024-1</v>
      </c>
    </row>
    <row r="674">
      <c r="A674" t="s">
        <v>57</v>
      </c>
      <c r="B674" t="s">
        <v>118</v>
      </c>
      <c r="C674" t="s">
        <v>378</v>
      </c>
      <c r="D674">
        <v>28914</v>
      </c>
      <c r="E674">
        <v>6</v>
      </c>
      <c r="F674">
        <f>YEAR(C674)</f>
        <v>2024</v>
      </c>
      <c r="G674">
        <f>MONTH(C674)</f>
        <v>1</v>
      </c>
      <c r="H674" t="str">
        <f>F674&amp;"-"&amp;G674</f>
        <v>2024-1</v>
      </c>
    </row>
    <row r="675">
      <c r="A675" t="s">
        <v>13</v>
      </c>
      <c r="B675" t="s">
        <v>239</v>
      </c>
      <c r="C675" t="s">
        <v>379</v>
      </c>
      <c r="D675">
        <v>54324</v>
      </c>
      <c r="E675">
        <v>7</v>
      </c>
      <c r="F675">
        <f>YEAR(C675)</f>
        <v>2024</v>
      </c>
      <c r="G675">
        <f>MONTH(C675)</f>
        <v>2</v>
      </c>
      <c r="H675" t="str">
        <f>F675&amp;"-"&amp;G675</f>
        <v>2024-2</v>
      </c>
    </row>
    <row r="676">
      <c r="A676" t="s">
        <v>47</v>
      </c>
      <c r="B676" t="s">
        <v>265</v>
      </c>
      <c r="C676" t="s">
        <v>380</v>
      </c>
      <c r="D676">
        <v>78709</v>
      </c>
      <c r="E676">
        <v>6</v>
      </c>
      <c r="F676">
        <f>YEAR(C676)</f>
        <v>2024</v>
      </c>
      <c r="G676">
        <f>MONTH(C676)</f>
        <v>3</v>
      </c>
      <c r="H676" t="str">
        <f>F676&amp;"-"&amp;G676</f>
        <v>2024-3</v>
      </c>
    </row>
    <row r="677">
      <c r="A677" t="s">
        <v>47</v>
      </c>
      <c r="B677" t="s">
        <v>185</v>
      </c>
      <c r="C677" t="s">
        <v>380</v>
      </c>
      <c r="D677">
        <v>50038</v>
      </c>
      <c r="E677">
        <v>4</v>
      </c>
      <c r="F677">
        <f>YEAR(C677)</f>
        <v>2024</v>
      </c>
      <c r="G677">
        <f>MONTH(C677)</f>
        <v>3</v>
      </c>
      <c r="H677" t="str">
        <f>F677&amp;"-"&amp;G677</f>
        <v>2024-3</v>
      </c>
    </row>
    <row r="678">
      <c r="A678" t="s">
        <v>57</v>
      </c>
      <c r="B678" t="s">
        <v>185</v>
      </c>
      <c r="C678" t="s">
        <v>381</v>
      </c>
      <c r="D678">
        <v>99607</v>
      </c>
      <c r="E678">
        <v>4</v>
      </c>
      <c r="F678">
        <f>YEAR(C678)</f>
        <v>2024</v>
      </c>
      <c r="G678">
        <f>MONTH(C678)</f>
        <v>6</v>
      </c>
      <c r="H678" t="str">
        <f>F678&amp;"-"&amp;G678</f>
        <v>2024-6</v>
      </c>
    </row>
    <row r="679">
      <c r="A679" t="s">
        <v>47</v>
      </c>
      <c r="B679" t="s">
        <v>92</v>
      </c>
      <c r="C679" t="s">
        <v>381</v>
      </c>
      <c r="D679">
        <v>72568</v>
      </c>
      <c r="E679">
        <v>8</v>
      </c>
      <c r="F679">
        <f>YEAR(C679)</f>
        <v>2024</v>
      </c>
      <c r="G679">
        <f>MONTH(C679)</f>
        <v>6</v>
      </c>
      <c r="H679" t="str">
        <f>F679&amp;"-"&amp;G679</f>
        <v>2024-6</v>
      </c>
    </row>
    <row r="680">
      <c r="A680" t="s">
        <v>17</v>
      </c>
      <c r="B680" t="s">
        <v>101</v>
      </c>
      <c r="C680" t="s">
        <v>381</v>
      </c>
      <c r="D680">
        <v>52161</v>
      </c>
      <c r="E680">
        <v>9</v>
      </c>
      <c r="F680">
        <f>YEAR(C680)</f>
        <v>2024</v>
      </c>
      <c r="G680">
        <f>MONTH(C680)</f>
        <v>6</v>
      </c>
      <c r="H680" t="str">
        <f>F680&amp;"-"&amp;G680</f>
        <v>2024-6</v>
      </c>
    </row>
    <row r="681">
      <c r="A681" t="s">
        <v>57</v>
      </c>
      <c r="B681" t="s">
        <v>382</v>
      </c>
      <c r="C681" t="s">
        <v>381</v>
      </c>
      <c r="D681">
        <v>98237</v>
      </c>
      <c r="E681">
        <v>6</v>
      </c>
      <c r="F681">
        <f>YEAR(C681)</f>
        <v>2024</v>
      </c>
      <c r="G681">
        <f>MONTH(C681)</f>
        <v>6</v>
      </c>
      <c r="H681" t="str">
        <f>F681&amp;"-"&amp;G681</f>
        <v>2024-6</v>
      </c>
    </row>
    <row r="682">
      <c r="A682" t="s">
        <v>11</v>
      </c>
      <c r="B682" t="s">
        <v>204</v>
      </c>
      <c r="C682" t="s">
        <v>381</v>
      </c>
      <c r="D682">
        <v>52619</v>
      </c>
      <c r="E682">
        <v>7</v>
      </c>
      <c r="F682">
        <f>YEAR(C682)</f>
        <v>2024</v>
      </c>
      <c r="G682">
        <f>MONTH(C682)</f>
        <v>6</v>
      </c>
      <c r="H682" t="str">
        <f>F682&amp;"-"&amp;G682</f>
        <v>2024-6</v>
      </c>
    </row>
    <row r="683">
      <c r="A683" t="s">
        <v>17</v>
      </c>
      <c r="B683" t="s">
        <v>137</v>
      </c>
      <c r="C683" t="s">
        <v>381</v>
      </c>
      <c r="D683">
        <v>18719</v>
      </c>
      <c r="E683">
        <v>6</v>
      </c>
      <c r="F683">
        <f>YEAR(C683)</f>
        <v>2024</v>
      </c>
      <c r="G683">
        <f>MONTH(C683)</f>
        <v>6</v>
      </c>
      <c r="H683" t="str">
        <f>F683&amp;"-"&amp;G683</f>
        <v>2024-6</v>
      </c>
    </row>
    <row r="684">
      <c r="A684" t="s">
        <v>5</v>
      </c>
      <c r="B684" t="s">
        <v>237</v>
      </c>
      <c r="C684" t="s">
        <v>381</v>
      </c>
      <c r="D684">
        <v>83615</v>
      </c>
      <c r="E684">
        <v>4</v>
      </c>
      <c r="F684">
        <f>YEAR(C684)</f>
        <v>2024</v>
      </c>
      <c r="G684">
        <f>MONTH(C684)</f>
        <v>6</v>
      </c>
      <c r="H684" t="str">
        <f>F684&amp;"-"&amp;G684</f>
        <v>2024-6</v>
      </c>
    </row>
    <row r="685">
      <c r="A685" t="s">
        <v>15</v>
      </c>
      <c r="B685" t="s">
        <v>383</v>
      </c>
      <c r="C685" t="s">
        <v>384</v>
      </c>
      <c r="D685">
        <v>99096</v>
      </c>
      <c r="E685">
        <v>3</v>
      </c>
      <c r="F685">
        <f>YEAR(C685)</f>
        <v>2024</v>
      </c>
      <c r="G685">
        <f>MONTH(C685)</f>
        <v>7</v>
      </c>
      <c r="H685" t="str">
        <f>F685&amp;"-"&amp;G685</f>
        <v>2024-7</v>
      </c>
    </row>
    <row r="686">
      <c r="A686" t="s">
        <v>43</v>
      </c>
      <c r="B686" t="s">
        <v>207</v>
      </c>
      <c r="C686" t="s">
        <v>384</v>
      </c>
      <c r="D686">
        <v>84635</v>
      </c>
      <c r="E686">
        <v>9</v>
      </c>
      <c r="F686">
        <f>YEAR(C686)</f>
        <v>2024</v>
      </c>
      <c r="G686">
        <f>MONTH(C686)</f>
        <v>7</v>
      </c>
      <c r="H686" t="str">
        <f>F686&amp;"-"&amp;G686</f>
        <v>2024-7</v>
      </c>
    </row>
    <row r="687">
      <c r="A687" t="s">
        <v>5</v>
      </c>
      <c r="B687" t="s">
        <v>105</v>
      </c>
      <c r="C687" t="s">
        <v>384</v>
      </c>
      <c r="D687">
        <v>29970</v>
      </c>
      <c r="E687">
        <v>5</v>
      </c>
      <c r="F687">
        <f>YEAR(C687)</f>
        <v>2024</v>
      </c>
      <c r="G687">
        <f>MONTH(C687)</f>
        <v>7</v>
      </c>
      <c r="H687" t="str">
        <f>F687&amp;"-"&amp;G687</f>
        <v>2024-7</v>
      </c>
    </row>
    <row r="688">
      <c r="A688" t="s">
        <v>17</v>
      </c>
      <c r="B688" t="s">
        <v>30</v>
      </c>
      <c r="C688" t="s">
        <v>384</v>
      </c>
      <c r="D688">
        <v>17640</v>
      </c>
      <c r="E688">
        <v>4</v>
      </c>
      <c r="F688">
        <f>YEAR(C688)</f>
        <v>2024</v>
      </c>
      <c r="G688">
        <f>MONTH(C688)</f>
        <v>7</v>
      </c>
      <c r="H688" t="str">
        <f>F688&amp;"-"&amp;G688</f>
        <v>2024-7</v>
      </c>
    </row>
    <row r="689">
      <c r="A689" t="s">
        <v>28</v>
      </c>
      <c r="B689" t="s">
        <v>241</v>
      </c>
      <c r="C689" t="s">
        <v>385</v>
      </c>
      <c r="D689">
        <v>98677</v>
      </c>
      <c r="E689">
        <v>7</v>
      </c>
      <c r="F689">
        <f>YEAR(C689)</f>
        <v>2024</v>
      </c>
      <c r="G689">
        <f>MONTH(C689)</f>
        <v>8</v>
      </c>
      <c r="H689" t="str">
        <f>F689&amp;"-"&amp;G689</f>
        <v>2024-8</v>
      </c>
    </row>
    <row r="690">
      <c r="A690" t="s">
        <v>43</v>
      </c>
      <c r="B690" t="s">
        <v>12</v>
      </c>
      <c r="C690" t="s">
        <v>385</v>
      </c>
      <c r="D690">
        <v>31621</v>
      </c>
      <c r="E690">
        <v>7</v>
      </c>
      <c r="F690">
        <f>YEAR(C690)</f>
        <v>2024</v>
      </c>
      <c r="G690">
        <f>MONTH(C690)</f>
        <v>8</v>
      </c>
      <c r="H690" t="str">
        <f>F690&amp;"-"&amp;G690</f>
        <v>2024-8</v>
      </c>
    </row>
    <row r="691">
      <c r="A691" t="s">
        <v>8</v>
      </c>
      <c r="B691" t="s">
        <v>59</v>
      </c>
      <c r="C691" t="s">
        <v>385</v>
      </c>
      <c r="D691">
        <v>72431</v>
      </c>
      <c r="E691">
        <v>3</v>
      </c>
      <c r="F691">
        <f>YEAR(C691)</f>
        <v>2024</v>
      </c>
      <c r="G691">
        <f>MONTH(C691)</f>
        <v>8</v>
      </c>
      <c r="H691" t="str">
        <f>F691&amp;"-"&amp;G691</f>
        <v>2024-8</v>
      </c>
    </row>
    <row r="692">
      <c r="A692" t="s">
        <v>8</v>
      </c>
      <c r="B692" t="s">
        <v>79</v>
      </c>
      <c r="C692" t="s">
        <v>386</v>
      </c>
      <c r="D692">
        <v>15039</v>
      </c>
      <c r="E692">
        <v>7</v>
      </c>
      <c r="F692">
        <f>YEAR(C692)</f>
        <v>2024</v>
      </c>
      <c r="G692">
        <f>MONTH(C692)</f>
        <v>9</v>
      </c>
      <c r="H692" t="str">
        <f>F692&amp;"-"&amp;G692</f>
        <v>2024-9</v>
      </c>
    </row>
    <row r="693">
      <c r="A693" t="s">
        <v>43</v>
      </c>
      <c r="B693" t="s">
        <v>190</v>
      </c>
      <c r="C693" t="s">
        <v>386</v>
      </c>
      <c r="D693">
        <v>35373</v>
      </c>
      <c r="E693">
        <v>9</v>
      </c>
      <c r="F693">
        <f>YEAR(C693)</f>
        <v>2024</v>
      </c>
      <c r="G693">
        <f>MONTH(C693)</f>
        <v>9</v>
      </c>
      <c r="H693" t="str">
        <f>F693&amp;"-"&amp;G693</f>
        <v>2024-9</v>
      </c>
    </row>
    <row r="694">
      <c r="A694" t="s">
        <v>5</v>
      </c>
      <c r="B694" t="s">
        <v>214</v>
      </c>
      <c r="C694" t="s">
        <v>387</v>
      </c>
      <c r="D694">
        <v>64773</v>
      </c>
      <c r="E694">
        <v>7</v>
      </c>
      <c r="F694">
        <f>YEAR(C694)</f>
        <v>2024</v>
      </c>
      <c r="G694">
        <f>MONTH(C694)</f>
        <v>10</v>
      </c>
      <c r="H694" t="str">
        <f>F694&amp;"-"&amp;G694</f>
        <v>2024-10</v>
      </c>
    </row>
    <row r="695">
      <c r="A695" t="s">
        <v>5</v>
      </c>
      <c r="B695" t="s">
        <v>172</v>
      </c>
      <c r="C695" t="s">
        <v>387</v>
      </c>
      <c r="D695">
        <v>80012</v>
      </c>
      <c r="E695">
        <v>8</v>
      </c>
      <c r="F695">
        <f>YEAR(C695)</f>
        <v>2024</v>
      </c>
      <c r="G695">
        <f>MONTH(C695)</f>
        <v>10</v>
      </c>
      <c r="H695" t="str">
        <f>F695&amp;"-"&amp;G695</f>
        <v>2024-10</v>
      </c>
    </row>
    <row r="696">
      <c r="A696" t="s">
        <v>43</v>
      </c>
      <c r="B696" t="s">
        <v>22</v>
      </c>
      <c r="C696" t="s">
        <v>387</v>
      </c>
      <c r="D696">
        <v>73367</v>
      </c>
      <c r="E696">
        <v>8</v>
      </c>
      <c r="F696">
        <f>YEAR(C696)</f>
        <v>2024</v>
      </c>
      <c r="G696">
        <f>MONTH(C696)</f>
        <v>10</v>
      </c>
      <c r="H696" t="str">
        <f>F696&amp;"-"&amp;G696</f>
        <v>2024-10</v>
      </c>
    </row>
    <row r="697">
      <c r="A697" t="s">
        <v>57</v>
      </c>
      <c r="B697" t="s">
        <v>161</v>
      </c>
      <c r="C697" t="s">
        <v>388</v>
      </c>
      <c r="D697">
        <v>23831</v>
      </c>
      <c r="E697">
        <v>8</v>
      </c>
      <c r="F697" t="e">
        <f>YEAR(C697)</f>
        <v>#VALUE!</v>
      </c>
      <c r="G697" t="e">
        <f>MONTH(C697)</f>
        <v>#VALUE!</v>
      </c>
      <c r="H697" t="e">
        <f>F697&amp;"-"&amp;G697</f>
        <v>#VALUE!</v>
      </c>
    </row>
    <row r="698">
      <c r="A698" t="s">
        <v>28</v>
      </c>
      <c r="B698" t="s">
        <v>56</v>
      </c>
      <c r="C698" t="s">
        <v>388</v>
      </c>
      <c r="D698">
        <v>17447</v>
      </c>
      <c r="E698">
        <v>9</v>
      </c>
      <c r="F698" t="e">
        <f>YEAR(C698)</f>
        <v>#VALUE!</v>
      </c>
      <c r="G698" t="e">
        <f>MONTH(C698)</f>
        <v>#VALUE!</v>
      </c>
      <c r="H698" t="e">
        <f>F698&amp;"-"&amp;G698</f>
        <v>#VALUE!</v>
      </c>
    </row>
    <row r="699">
      <c r="A699" t="s">
        <v>13</v>
      </c>
      <c r="B699" t="s">
        <v>147</v>
      </c>
      <c r="C699" t="s">
        <v>388</v>
      </c>
      <c r="D699">
        <v>45917</v>
      </c>
      <c r="E699">
        <v>3</v>
      </c>
      <c r="F699" t="e">
        <f>YEAR(C699)</f>
        <v>#VALUE!</v>
      </c>
      <c r="G699" t="e">
        <f>MONTH(C699)</f>
        <v>#VALUE!</v>
      </c>
      <c r="H699" t="e">
        <f>F699&amp;"-"&amp;G699</f>
        <v>#VALUE!</v>
      </c>
    </row>
    <row r="700">
      <c r="A700" t="s">
        <v>24</v>
      </c>
      <c r="B700" t="s">
        <v>42</v>
      </c>
      <c r="C700" t="s">
        <v>388</v>
      </c>
      <c r="D700">
        <v>79961</v>
      </c>
      <c r="E700">
        <v>7</v>
      </c>
      <c r="F700" t="e">
        <f>YEAR(C700)</f>
        <v>#VALUE!</v>
      </c>
      <c r="G700" t="e">
        <f>MONTH(C700)</f>
        <v>#VALUE!</v>
      </c>
      <c r="H700" t="e">
        <f>F700&amp;"-"&amp;G700</f>
        <v>#VALUE!</v>
      </c>
    </row>
    <row r="701">
      <c r="A701" t="s">
        <v>8</v>
      </c>
      <c r="B701" t="s">
        <v>123</v>
      </c>
      <c r="C701" t="s">
        <v>388</v>
      </c>
      <c r="D701">
        <v>20982</v>
      </c>
      <c r="E701">
        <v>0</v>
      </c>
      <c r="F701" t="e">
        <f>YEAR(C701)</f>
        <v>#VALUE!</v>
      </c>
      <c r="G701" t="e">
        <f>MONTH(C701)</f>
        <v>#VALUE!</v>
      </c>
      <c r="H701" t="e">
        <f>F701&amp;"-"&amp;G701</f>
        <v>#VALUE!</v>
      </c>
    </row>
    <row r="702">
      <c r="A702" t="s">
        <v>17</v>
      </c>
      <c r="B702" t="s">
        <v>92</v>
      </c>
      <c r="C702" t="s">
        <v>388</v>
      </c>
      <c r="D702">
        <v>73303</v>
      </c>
      <c r="E702">
        <v>7</v>
      </c>
      <c r="F702" t="e">
        <f>YEAR(C702)</f>
        <v>#VALUE!</v>
      </c>
      <c r="G702" t="e">
        <f>MONTH(C702)</f>
        <v>#VALUE!</v>
      </c>
      <c r="H702" t="e">
        <f>F702&amp;"-"&amp;G702</f>
        <v>#VALUE!</v>
      </c>
    </row>
    <row r="703">
      <c r="A703" t="s">
        <v>11</v>
      </c>
      <c r="B703" t="s">
        <v>80</v>
      </c>
      <c r="C703" t="s">
        <v>388</v>
      </c>
      <c r="D703">
        <v>14213</v>
      </c>
      <c r="E703">
        <v>6</v>
      </c>
      <c r="F703" t="e">
        <f>YEAR(C703)</f>
        <v>#VALUE!</v>
      </c>
      <c r="G703" t="e">
        <f>MONTH(C703)</f>
        <v>#VALUE!</v>
      </c>
      <c r="H703" t="e">
        <f>F703&amp;"-"&amp;G703</f>
        <v>#VALUE!</v>
      </c>
    </row>
    <row r="704">
      <c r="A704" t="s">
        <v>11</v>
      </c>
      <c r="B704" t="s">
        <v>6</v>
      </c>
      <c r="C704" t="s">
        <v>388</v>
      </c>
      <c r="D704">
        <v>78883</v>
      </c>
      <c r="E704">
        <v>7</v>
      </c>
      <c r="F704" t="e">
        <f>YEAR(C704)</f>
        <v>#VALUE!</v>
      </c>
      <c r="G704" t="e">
        <f>MONTH(C704)</f>
        <v>#VALUE!</v>
      </c>
      <c r="H704" t="e">
        <f>F704&amp;"-"&amp;G704</f>
        <v>#VALUE!</v>
      </c>
    </row>
    <row r="705">
      <c r="A705" t="s">
        <v>28</v>
      </c>
      <c r="B705" t="s">
        <v>257</v>
      </c>
      <c r="C705" t="s">
        <v>388</v>
      </c>
      <c r="D705">
        <v>80624</v>
      </c>
      <c r="E705">
        <v>6</v>
      </c>
      <c r="F705" t="e">
        <f>YEAR(C705)</f>
        <v>#VALUE!</v>
      </c>
      <c r="G705" t="e">
        <f>MONTH(C705)</f>
        <v>#VALUE!</v>
      </c>
      <c r="H705" t="e">
        <f>F705&amp;"-"&amp;G705</f>
        <v>#VALUE!</v>
      </c>
    </row>
    <row r="706">
      <c r="A706" t="s">
        <v>47</v>
      </c>
      <c r="B706" t="s">
        <v>291</v>
      </c>
      <c r="C706" t="s">
        <v>389</v>
      </c>
      <c r="D706">
        <v>86037</v>
      </c>
      <c r="E706">
        <v>8</v>
      </c>
      <c r="F706" t="e">
        <f>YEAR(C706)</f>
        <v>#VALUE!</v>
      </c>
      <c r="G706" t="e">
        <f>MONTH(C706)</f>
        <v>#VALUE!</v>
      </c>
      <c r="H706" t="e">
        <f>F706&amp;"-"&amp;G706</f>
        <v>#VALUE!</v>
      </c>
    </row>
    <row r="707">
      <c r="A707" t="s">
        <v>57</v>
      </c>
      <c r="B707" t="s">
        <v>196</v>
      </c>
      <c r="C707" t="s">
        <v>389</v>
      </c>
      <c r="D707">
        <v>23154</v>
      </c>
      <c r="E707">
        <v>8</v>
      </c>
      <c r="F707" t="e">
        <f>YEAR(C707)</f>
        <v>#VALUE!</v>
      </c>
      <c r="G707" t="e">
        <f>MONTH(C707)</f>
        <v>#VALUE!</v>
      </c>
      <c r="H707" t="e">
        <f>F707&amp;"-"&amp;G707</f>
        <v>#VALUE!</v>
      </c>
    </row>
    <row r="708">
      <c r="A708" t="s">
        <v>8</v>
      </c>
      <c r="B708" t="s">
        <v>257</v>
      </c>
      <c r="C708" t="s">
        <v>390</v>
      </c>
      <c r="D708">
        <v>43102</v>
      </c>
      <c r="E708">
        <v>1</v>
      </c>
      <c r="F708" t="e">
        <f>YEAR(C708)</f>
        <v>#VALUE!</v>
      </c>
      <c r="G708" t="e">
        <f>MONTH(C708)</f>
        <v>#VALUE!</v>
      </c>
      <c r="H708" t="e">
        <f>F708&amp;"-"&amp;G708</f>
        <v>#VALUE!</v>
      </c>
    </row>
    <row r="709">
      <c r="A709" t="s">
        <v>43</v>
      </c>
      <c r="B709" t="s">
        <v>91</v>
      </c>
      <c r="C709" t="s">
        <v>390</v>
      </c>
      <c r="D709">
        <v>86730</v>
      </c>
      <c r="E709">
        <v>6</v>
      </c>
      <c r="F709" t="e">
        <f>YEAR(C709)</f>
        <v>#VALUE!</v>
      </c>
      <c r="G709" t="e">
        <f>MONTH(C709)</f>
        <v>#VALUE!</v>
      </c>
      <c r="H709" t="e">
        <f>F709&amp;"-"&amp;G709</f>
        <v>#VALUE!</v>
      </c>
    </row>
    <row r="710">
      <c r="A710" t="s">
        <v>13</v>
      </c>
      <c r="B710" t="s">
        <v>291</v>
      </c>
      <c r="C710" t="s">
        <v>390</v>
      </c>
      <c r="D710">
        <v>46982</v>
      </c>
      <c r="E710">
        <v>8</v>
      </c>
      <c r="F710" t="e">
        <f>YEAR(C710)</f>
        <v>#VALUE!</v>
      </c>
      <c r="G710" t="e">
        <f>MONTH(C710)</f>
        <v>#VALUE!</v>
      </c>
      <c r="H710" t="e">
        <f>F710&amp;"-"&amp;G710</f>
        <v>#VALUE!</v>
      </c>
    </row>
    <row r="711">
      <c r="A711" t="s">
        <v>8</v>
      </c>
      <c r="B711" t="s">
        <v>302</v>
      </c>
      <c r="C711" t="s">
        <v>391</v>
      </c>
      <c r="D711">
        <v>38167</v>
      </c>
      <c r="E711">
        <v>8</v>
      </c>
      <c r="F711" t="e">
        <f>YEAR(C711)</f>
        <v>#VALUE!</v>
      </c>
      <c r="G711" t="e">
        <f>MONTH(C711)</f>
        <v>#VALUE!</v>
      </c>
      <c r="H711" t="e">
        <f>F711&amp;"-"&amp;G711</f>
        <v>#VALUE!</v>
      </c>
    </row>
    <row r="712">
      <c r="A712" t="s">
        <v>15</v>
      </c>
      <c r="B712" t="s">
        <v>61</v>
      </c>
      <c r="C712" t="s">
        <v>391</v>
      </c>
      <c r="D712">
        <v>14691</v>
      </c>
      <c r="E712">
        <v>8</v>
      </c>
      <c r="F712" t="e">
        <f>YEAR(C712)</f>
        <v>#VALUE!</v>
      </c>
      <c r="G712" t="e">
        <f>MONTH(C712)</f>
        <v>#VALUE!</v>
      </c>
      <c r="H712" t="e">
        <f>F712&amp;"-"&amp;G712</f>
        <v>#VALUE!</v>
      </c>
    </row>
    <row r="713">
      <c r="A713" t="s">
        <v>15</v>
      </c>
      <c r="B713" t="s">
        <v>144</v>
      </c>
      <c r="C713" t="s">
        <v>392</v>
      </c>
      <c r="D713">
        <v>29589</v>
      </c>
      <c r="E713">
        <v>5</v>
      </c>
      <c r="F713" t="e">
        <f>YEAR(C713)</f>
        <v>#VALUE!</v>
      </c>
      <c r="G713" t="e">
        <f>MONTH(C713)</f>
        <v>#VALUE!</v>
      </c>
      <c r="H713" t="e">
        <f>F713&amp;"-"&amp;G713</f>
        <v>#VALUE!</v>
      </c>
    </row>
    <row r="714">
      <c r="A714" t="s">
        <v>5</v>
      </c>
      <c r="B714" t="s">
        <v>153</v>
      </c>
      <c r="C714" t="s">
        <v>392</v>
      </c>
      <c r="D714">
        <v>12292</v>
      </c>
      <c r="E714">
        <v>9</v>
      </c>
      <c r="F714" t="e">
        <f>YEAR(C714)</f>
        <v>#VALUE!</v>
      </c>
      <c r="G714" t="e">
        <f>MONTH(C714)</f>
        <v>#VALUE!</v>
      </c>
      <c r="H714" t="e">
        <f>F714&amp;"-"&amp;G714</f>
        <v>#VALUE!</v>
      </c>
    </row>
    <row r="715">
      <c r="A715" t="s">
        <v>13</v>
      </c>
      <c r="B715" t="s">
        <v>284</v>
      </c>
      <c r="C715" t="s">
        <v>392</v>
      </c>
      <c r="D715">
        <v>97170</v>
      </c>
      <c r="E715">
        <v>6</v>
      </c>
      <c r="F715" t="e">
        <f>YEAR(C715)</f>
        <v>#VALUE!</v>
      </c>
      <c r="G715" t="e">
        <f>MONTH(C715)</f>
        <v>#VALUE!</v>
      </c>
      <c r="H715" t="e">
        <f>F715&amp;"-"&amp;G715</f>
        <v>#VALUE!</v>
      </c>
    </row>
    <row r="716">
      <c r="A716" t="s">
        <v>57</v>
      </c>
      <c r="B716" t="s">
        <v>382</v>
      </c>
      <c r="C716" t="s">
        <v>392</v>
      </c>
      <c r="D716">
        <v>56047</v>
      </c>
      <c r="E716">
        <v>6</v>
      </c>
      <c r="F716" t="e">
        <f>YEAR(C716)</f>
        <v>#VALUE!</v>
      </c>
      <c r="G716" t="e">
        <f>MONTH(C716)</f>
        <v>#VALUE!</v>
      </c>
      <c r="H716" t="e">
        <f>F716&amp;"-"&amp;G716</f>
        <v>#VALUE!</v>
      </c>
    </row>
    <row r="717">
      <c r="A717" t="s">
        <v>57</v>
      </c>
      <c r="B717" t="s">
        <v>123</v>
      </c>
      <c r="C717" t="s">
        <v>392</v>
      </c>
      <c r="D717">
        <v>60594</v>
      </c>
      <c r="E717">
        <v>3</v>
      </c>
      <c r="F717" t="e">
        <f>YEAR(C717)</f>
        <v>#VALUE!</v>
      </c>
      <c r="G717" t="e">
        <f>MONTH(C717)</f>
        <v>#VALUE!</v>
      </c>
      <c r="H717" t="e">
        <f>F717&amp;"-"&amp;G717</f>
        <v>#VALUE!</v>
      </c>
    </row>
    <row r="718">
      <c r="A718" t="s">
        <v>8</v>
      </c>
      <c r="B718" t="s">
        <v>185</v>
      </c>
      <c r="C718" t="s">
        <v>392</v>
      </c>
      <c r="D718">
        <v>24455</v>
      </c>
      <c r="E718">
        <v>8</v>
      </c>
      <c r="F718" t="e">
        <f>YEAR(C718)</f>
        <v>#VALUE!</v>
      </c>
      <c r="G718" t="e">
        <f>MONTH(C718)</f>
        <v>#VALUE!</v>
      </c>
      <c r="H718" t="e">
        <f>F718&amp;"-"&amp;G718</f>
        <v>#VALUE!</v>
      </c>
    </row>
    <row r="719">
      <c r="A719" t="s">
        <v>43</v>
      </c>
      <c r="B719" t="s">
        <v>257</v>
      </c>
      <c r="C719" t="s">
        <v>392</v>
      </c>
      <c r="D719">
        <v>63659</v>
      </c>
      <c r="E719">
        <v>5</v>
      </c>
      <c r="F719" t="e">
        <f>YEAR(C719)</f>
        <v>#VALUE!</v>
      </c>
      <c r="G719" t="e">
        <f>MONTH(C719)</f>
        <v>#VALUE!</v>
      </c>
      <c r="H719" t="e">
        <f>F719&amp;"-"&amp;G719</f>
        <v>#VALUE!</v>
      </c>
    </row>
    <row r="720">
      <c r="A720" t="s">
        <v>13</v>
      </c>
      <c r="B720" t="s">
        <v>310</v>
      </c>
      <c r="C720" t="s">
        <v>392</v>
      </c>
      <c r="D720">
        <v>71646</v>
      </c>
      <c r="E720">
        <v>6</v>
      </c>
      <c r="F720" t="e">
        <f>YEAR(C720)</f>
        <v>#VALUE!</v>
      </c>
      <c r="G720" t="e">
        <f>MONTH(C720)</f>
        <v>#VALUE!</v>
      </c>
      <c r="H720" t="e">
        <f>F720&amp;"-"&amp;G720</f>
        <v>#VALUE!</v>
      </c>
    </row>
    <row r="721">
      <c r="A721" t="s">
        <v>47</v>
      </c>
      <c r="B721" t="s">
        <v>95</v>
      </c>
      <c r="C721" t="s">
        <v>392</v>
      </c>
      <c r="D721">
        <v>94426</v>
      </c>
      <c r="E721">
        <v>7</v>
      </c>
      <c r="F721" t="e">
        <f>YEAR(C721)</f>
        <v>#VALUE!</v>
      </c>
      <c r="G721" t="e">
        <f>MONTH(C721)</f>
        <v>#VALUE!</v>
      </c>
      <c r="H721" t="e">
        <f>F721&amp;"-"&amp;G721</f>
        <v>#VALUE!</v>
      </c>
    </row>
    <row r="722">
      <c r="A722" t="s">
        <v>5</v>
      </c>
      <c r="B722" t="s">
        <v>85</v>
      </c>
      <c r="C722" t="s">
        <v>392</v>
      </c>
      <c r="D722">
        <v>83418</v>
      </c>
      <c r="E722">
        <v>8</v>
      </c>
      <c r="F722" t="e">
        <f>YEAR(C722)</f>
        <v>#VALUE!</v>
      </c>
      <c r="G722" t="e">
        <f>MONTH(C722)</f>
        <v>#VALUE!</v>
      </c>
      <c r="H722" t="e">
        <f>F722&amp;"-"&amp;G722</f>
        <v>#VALUE!</v>
      </c>
    </row>
    <row r="723">
      <c r="A723" t="s">
        <v>57</v>
      </c>
      <c r="B723" t="s">
        <v>246</v>
      </c>
      <c r="C723" t="s">
        <v>393</v>
      </c>
      <c r="D723">
        <v>16217</v>
      </c>
      <c r="E723">
        <v>10</v>
      </c>
      <c r="F723" t="e">
        <f>YEAR(C723)</f>
        <v>#VALUE!</v>
      </c>
      <c r="G723" t="e">
        <f>MONTH(C723)</f>
        <v>#VALUE!</v>
      </c>
      <c r="H723" t="e">
        <f>F723&amp;"-"&amp;G723</f>
        <v>#VALUE!</v>
      </c>
    </row>
    <row r="724">
      <c r="A724" t="s">
        <v>47</v>
      </c>
      <c r="B724" t="s">
        <v>147</v>
      </c>
      <c r="C724" t="s">
        <v>393</v>
      </c>
      <c r="D724">
        <v>15194</v>
      </c>
      <c r="E724">
        <v>3</v>
      </c>
      <c r="F724" t="e">
        <f>YEAR(C724)</f>
        <v>#VALUE!</v>
      </c>
      <c r="G724" t="e">
        <f>MONTH(C724)</f>
        <v>#VALUE!</v>
      </c>
      <c r="H724" t="e">
        <f>F724&amp;"-"&amp;G724</f>
        <v>#VALUE!</v>
      </c>
    </row>
    <row r="725">
      <c r="A725" t="s">
        <v>17</v>
      </c>
      <c r="B725" t="s">
        <v>239</v>
      </c>
      <c r="C725" t="s">
        <v>394</v>
      </c>
      <c r="D725">
        <v>42878</v>
      </c>
      <c r="E725">
        <v>5</v>
      </c>
      <c r="F725" t="e">
        <f>YEAR(C725)</f>
        <v>#VALUE!</v>
      </c>
      <c r="G725" t="e">
        <f>MONTH(C725)</f>
        <v>#VALUE!</v>
      </c>
      <c r="H725" t="e">
        <f>F725&amp;"-"&amp;G725</f>
        <v>#VALUE!</v>
      </c>
    </row>
    <row r="726">
      <c r="A726" t="s">
        <v>8</v>
      </c>
      <c r="B726" t="s">
        <v>239</v>
      </c>
      <c r="C726" t="s">
        <v>395</v>
      </c>
      <c r="D726">
        <v>31082</v>
      </c>
      <c r="E726">
        <v>9</v>
      </c>
      <c r="F726" t="e">
        <f>YEAR(C726)</f>
        <v>#VALUE!</v>
      </c>
      <c r="G726" t="e">
        <f>MONTH(C726)</f>
        <v>#VALUE!</v>
      </c>
      <c r="H726" t="e">
        <f>F726&amp;"-"&amp;G726</f>
        <v>#VALUE!</v>
      </c>
    </row>
    <row r="727">
      <c r="A727" t="s">
        <v>11</v>
      </c>
      <c r="B727" t="s">
        <v>71</v>
      </c>
      <c r="C727" t="s">
        <v>395</v>
      </c>
      <c r="D727">
        <v>50088</v>
      </c>
      <c r="E727">
        <v>10</v>
      </c>
      <c r="F727" t="e">
        <f>YEAR(C727)</f>
        <v>#VALUE!</v>
      </c>
      <c r="G727" t="e">
        <f>MONTH(C727)</f>
        <v>#VALUE!</v>
      </c>
      <c r="H727" t="e">
        <f>F727&amp;"-"&amp;G727</f>
        <v>#VALUE!</v>
      </c>
    </row>
    <row r="728">
      <c r="A728" t="s">
        <v>11</v>
      </c>
      <c r="B728" t="s">
        <v>218</v>
      </c>
      <c r="C728" t="s">
        <v>395</v>
      </c>
      <c r="D728">
        <v>67593</v>
      </c>
      <c r="E728">
        <v>8</v>
      </c>
      <c r="F728" t="e">
        <f>YEAR(C728)</f>
        <v>#VALUE!</v>
      </c>
      <c r="G728" t="e">
        <f>MONTH(C728)</f>
        <v>#VALUE!</v>
      </c>
      <c r="H728" t="e">
        <f>F728&amp;"-"&amp;G728</f>
        <v>#VALUE!</v>
      </c>
    </row>
    <row r="729">
      <c r="A729" t="s">
        <v>47</v>
      </c>
      <c r="B729" t="s">
        <v>158</v>
      </c>
      <c r="C729" t="s">
        <v>396</v>
      </c>
      <c r="D729">
        <v>79557</v>
      </c>
      <c r="E729">
        <v>8</v>
      </c>
      <c r="F729" t="e">
        <f>YEAR(C729)</f>
        <v>#VALUE!</v>
      </c>
      <c r="G729" t="e">
        <f>MONTH(C729)</f>
        <v>#VALUE!</v>
      </c>
      <c r="H729" t="e">
        <f>F729&amp;"-"&amp;G729</f>
        <v>#VALUE!</v>
      </c>
    </row>
    <row r="730">
      <c r="A730" t="s">
        <v>11</v>
      </c>
      <c r="B730" t="s">
        <v>149</v>
      </c>
      <c r="C730" t="s">
        <v>396</v>
      </c>
      <c r="D730">
        <v>86160</v>
      </c>
      <c r="E730">
        <v>4</v>
      </c>
      <c r="F730" t="e">
        <f>YEAR(C730)</f>
        <v>#VALUE!</v>
      </c>
      <c r="G730" t="e">
        <f>MONTH(C730)</f>
        <v>#VALUE!</v>
      </c>
      <c r="H730" t="e">
        <f>F730&amp;"-"&amp;G730</f>
        <v>#VALUE!</v>
      </c>
    </row>
    <row r="731">
      <c r="A731" t="s">
        <v>28</v>
      </c>
      <c r="B731" t="s">
        <v>39</v>
      </c>
      <c r="C731" t="s">
        <v>397</v>
      </c>
      <c r="D731">
        <v>53771</v>
      </c>
      <c r="E731">
        <v>9</v>
      </c>
      <c r="F731" t="e">
        <f>YEAR(C731)</f>
        <v>#VALUE!</v>
      </c>
      <c r="G731" t="e">
        <f>MONTH(C731)</f>
        <v>#VALUE!</v>
      </c>
      <c r="H731" t="e">
        <f>F731&amp;"-"&amp;G731</f>
        <v>#VALUE!</v>
      </c>
    </row>
    <row r="732">
      <c r="A732" t="s">
        <v>8</v>
      </c>
      <c r="B732" t="s">
        <v>299</v>
      </c>
      <c r="C732" t="s">
        <v>397</v>
      </c>
      <c r="D732">
        <v>91804</v>
      </c>
      <c r="E732">
        <v>0</v>
      </c>
      <c r="F732" t="e">
        <f>YEAR(C732)</f>
        <v>#VALUE!</v>
      </c>
      <c r="G732" t="e">
        <f>MONTH(C732)</f>
        <v>#VALUE!</v>
      </c>
      <c r="H732" t="e">
        <f>F732&amp;"-"&amp;G732</f>
        <v>#VALUE!</v>
      </c>
    </row>
    <row r="733">
      <c r="A733" t="s">
        <v>8</v>
      </c>
      <c r="B733" t="s">
        <v>172</v>
      </c>
      <c r="C733" t="s">
        <v>397</v>
      </c>
      <c r="D733">
        <v>52740</v>
      </c>
      <c r="E733">
        <v>9</v>
      </c>
      <c r="F733" t="e">
        <f>YEAR(C733)</f>
        <v>#VALUE!</v>
      </c>
      <c r="G733" t="e">
        <f>MONTH(C733)</f>
        <v>#VALUE!</v>
      </c>
      <c r="H733" t="e">
        <f>F733&amp;"-"&amp;G733</f>
        <v>#VALUE!</v>
      </c>
    </row>
    <row r="734">
      <c r="A734" t="s">
        <v>17</v>
      </c>
      <c r="B734" t="s">
        <v>184</v>
      </c>
      <c r="C734" t="s">
        <v>397</v>
      </c>
      <c r="D734">
        <v>31855</v>
      </c>
      <c r="E734">
        <v>9</v>
      </c>
      <c r="F734" t="e">
        <f>YEAR(C734)</f>
        <v>#VALUE!</v>
      </c>
      <c r="G734" t="e">
        <f>MONTH(C734)</f>
        <v>#VALUE!</v>
      </c>
      <c r="H734" t="e">
        <f>F734&amp;"-"&amp;G734</f>
        <v>#VALUE!</v>
      </c>
    </row>
    <row r="735">
      <c r="A735" t="s">
        <v>17</v>
      </c>
      <c r="B735" t="s">
        <v>121</v>
      </c>
      <c r="C735" t="s">
        <v>397</v>
      </c>
      <c r="D735">
        <v>70117</v>
      </c>
      <c r="E735">
        <v>6</v>
      </c>
      <c r="F735" t="e">
        <f>YEAR(C735)</f>
        <v>#VALUE!</v>
      </c>
      <c r="G735" t="e">
        <f>MONTH(C735)</f>
        <v>#VALUE!</v>
      </c>
      <c r="H735" t="e">
        <f>F735&amp;"-"&amp;G735</f>
        <v>#VALUE!</v>
      </c>
    </row>
    <row r="736">
      <c r="A736" t="s">
        <v>24</v>
      </c>
      <c r="B736" t="s">
        <v>305</v>
      </c>
      <c r="C736" t="s">
        <v>397</v>
      </c>
      <c r="D736">
        <v>28749</v>
      </c>
      <c r="E736">
        <v>7</v>
      </c>
      <c r="F736" t="e">
        <f>YEAR(C736)</f>
        <v>#VALUE!</v>
      </c>
      <c r="G736" t="e">
        <f>MONTH(C736)</f>
        <v>#VALUE!</v>
      </c>
      <c r="H736" t="e">
        <f>F736&amp;"-"&amp;G736</f>
        <v>#VALUE!</v>
      </c>
    </row>
    <row r="737">
      <c r="A737" t="s">
        <v>17</v>
      </c>
      <c r="B737" t="s">
        <v>110</v>
      </c>
      <c r="C737" t="s">
        <v>397</v>
      </c>
      <c r="D737">
        <v>21622</v>
      </c>
      <c r="E737">
        <v>9</v>
      </c>
      <c r="F737" t="e">
        <f>YEAR(C737)</f>
        <v>#VALUE!</v>
      </c>
      <c r="G737" t="e">
        <f>MONTH(C737)</f>
        <v>#VALUE!</v>
      </c>
      <c r="H737" t="e">
        <f>F737&amp;"-"&amp;G737</f>
        <v>#VALUE!</v>
      </c>
    </row>
    <row r="738">
      <c r="A738" t="s">
        <v>28</v>
      </c>
      <c r="B738" t="s">
        <v>97</v>
      </c>
      <c r="C738" t="s">
        <v>397</v>
      </c>
      <c r="D738">
        <v>22930</v>
      </c>
      <c r="E738">
        <v>6</v>
      </c>
      <c r="F738" t="e">
        <f>YEAR(C738)</f>
        <v>#VALUE!</v>
      </c>
      <c r="G738" t="e">
        <f>MONTH(C738)</f>
        <v>#VALUE!</v>
      </c>
      <c r="H738" t="e">
        <f>F738&amp;"-"&amp;G738</f>
        <v>#VALUE!</v>
      </c>
    </row>
    <row r="739">
      <c r="A739" t="s">
        <v>24</v>
      </c>
      <c r="B739" t="s">
        <v>108</v>
      </c>
      <c r="C739" t="s">
        <v>397</v>
      </c>
      <c r="D739">
        <v>72299</v>
      </c>
      <c r="E739">
        <v>7</v>
      </c>
      <c r="F739" t="e">
        <f>YEAR(C739)</f>
        <v>#VALUE!</v>
      </c>
      <c r="G739" t="e">
        <f>MONTH(C739)</f>
        <v>#VALUE!</v>
      </c>
      <c r="H739" t="e">
        <f>F739&amp;"-"&amp;G739</f>
        <v>#VALUE!</v>
      </c>
    </row>
    <row r="740">
      <c r="A740" t="s">
        <v>13</v>
      </c>
      <c r="B740" t="s">
        <v>40</v>
      </c>
      <c r="C740" t="s">
        <v>397</v>
      </c>
      <c r="D740">
        <v>34282</v>
      </c>
      <c r="E740">
        <v>3</v>
      </c>
      <c r="F740" t="e">
        <f>YEAR(C740)</f>
        <v>#VALUE!</v>
      </c>
      <c r="G740" t="e">
        <f>MONTH(C740)</f>
        <v>#VALUE!</v>
      </c>
      <c r="H740" t="e">
        <f>F740&amp;"-"&amp;G740</f>
        <v>#VALUE!</v>
      </c>
    </row>
    <row r="741">
      <c r="A741" t="s">
        <v>8</v>
      </c>
      <c r="B741" t="s">
        <v>200</v>
      </c>
      <c r="C741" t="s">
        <v>398</v>
      </c>
      <c r="D741">
        <v>12139</v>
      </c>
      <c r="E741">
        <v>7</v>
      </c>
      <c r="F741" t="e">
        <f>YEAR(C741)</f>
        <v>#VALUE!</v>
      </c>
      <c r="G741" t="e">
        <f>MONTH(C741)</f>
        <v>#VALUE!</v>
      </c>
      <c r="H741" t="e">
        <f>F741&amp;"-"&amp;G741</f>
        <v>#VALUE!</v>
      </c>
    </row>
    <row r="742">
      <c r="A742" t="s">
        <v>21</v>
      </c>
      <c r="B742" t="s">
        <v>184</v>
      </c>
      <c r="C742" t="s">
        <v>399</v>
      </c>
      <c r="D742">
        <v>78261</v>
      </c>
      <c r="E742">
        <v>7</v>
      </c>
      <c r="F742" t="e">
        <f>YEAR(C742)</f>
        <v>#VALUE!</v>
      </c>
      <c r="G742" t="e">
        <f>MONTH(C742)</f>
        <v>#VALUE!</v>
      </c>
      <c r="H742" t="e">
        <f>F742&amp;"-"&amp;G742</f>
        <v>#VALUE!</v>
      </c>
    </row>
    <row r="743">
      <c r="A743" t="s">
        <v>47</v>
      </c>
      <c r="B743" t="s">
        <v>339</v>
      </c>
      <c r="C743" t="s">
        <v>399</v>
      </c>
      <c r="D743">
        <v>88063</v>
      </c>
      <c r="E743">
        <v>8</v>
      </c>
      <c r="F743" t="e">
        <f>YEAR(C743)</f>
        <v>#VALUE!</v>
      </c>
      <c r="G743" t="e">
        <f>MONTH(C743)</f>
        <v>#VALUE!</v>
      </c>
      <c r="H743" t="e">
        <f>F743&amp;"-"&amp;G743</f>
        <v>#VALUE!</v>
      </c>
    </row>
    <row r="744">
      <c r="A744" t="s">
        <v>8</v>
      </c>
      <c r="B744" t="s">
        <v>153</v>
      </c>
      <c r="C744" t="s">
        <v>400</v>
      </c>
      <c r="D744">
        <v>62353</v>
      </c>
      <c r="E744">
        <v>2</v>
      </c>
      <c r="F744" t="e">
        <f>YEAR(C744)</f>
        <v>#VALUE!</v>
      </c>
      <c r="G744" t="e">
        <f>MONTH(C744)</f>
        <v>#VALUE!</v>
      </c>
      <c r="H744" t="e">
        <f>F744&amp;"-"&amp;G744</f>
        <v>#VALUE!</v>
      </c>
    </row>
    <row r="745">
      <c r="A745" t="s">
        <v>24</v>
      </c>
      <c r="B745" t="s">
        <v>172</v>
      </c>
      <c r="C745" t="s">
        <v>400</v>
      </c>
      <c r="D745">
        <v>13123</v>
      </c>
      <c r="E745">
        <v>9</v>
      </c>
      <c r="F745" t="e">
        <f>YEAR(C745)</f>
        <v>#VALUE!</v>
      </c>
      <c r="G745" t="e">
        <f>MONTH(C745)</f>
        <v>#VALUE!</v>
      </c>
      <c r="H745" t="e">
        <f>F745&amp;"-"&amp;G745</f>
        <v>#VALUE!</v>
      </c>
    </row>
    <row r="746">
      <c r="A746" t="s">
        <v>13</v>
      </c>
      <c r="B746" t="s">
        <v>69</v>
      </c>
      <c r="C746" t="s">
        <v>400</v>
      </c>
      <c r="D746">
        <v>61175</v>
      </c>
      <c r="E746">
        <v>8</v>
      </c>
      <c r="F746" t="e">
        <f>YEAR(C746)</f>
        <v>#VALUE!</v>
      </c>
      <c r="G746" t="e">
        <f>MONTH(C746)</f>
        <v>#VALUE!</v>
      </c>
      <c r="H746" t="e">
        <f>F746&amp;"-"&amp;G746</f>
        <v>#VALUE!</v>
      </c>
    </row>
    <row r="747">
      <c r="A747" t="s">
        <v>47</v>
      </c>
      <c r="B747" t="s">
        <v>18</v>
      </c>
      <c r="C747" t="s">
        <v>400</v>
      </c>
      <c r="D747">
        <v>17556</v>
      </c>
      <c r="E747">
        <v>5</v>
      </c>
      <c r="F747" t="e">
        <f>YEAR(C747)</f>
        <v>#VALUE!</v>
      </c>
      <c r="G747" t="e">
        <f>MONTH(C747)</f>
        <v>#VALUE!</v>
      </c>
      <c r="H747" t="e">
        <f>F747&amp;"-"&amp;G747</f>
        <v>#VALUE!</v>
      </c>
    </row>
    <row r="748">
      <c r="A748" t="s">
        <v>8</v>
      </c>
      <c r="B748" t="s">
        <v>223</v>
      </c>
      <c r="C748" t="s">
        <v>401</v>
      </c>
      <c r="D748">
        <v>22237</v>
      </c>
      <c r="E748">
        <v>7</v>
      </c>
      <c r="F748" t="e">
        <f>YEAR(C748)</f>
        <v>#VALUE!</v>
      </c>
      <c r="G748" t="e">
        <f>MONTH(C748)</f>
        <v>#VALUE!</v>
      </c>
      <c r="H748" t="e">
        <f>F748&amp;"-"&amp;G748</f>
        <v>#VALUE!</v>
      </c>
    </row>
    <row r="749">
      <c r="A749" t="s">
        <v>8</v>
      </c>
      <c r="B749" t="s">
        <v>241</v>
      </c>
      <c r="C749" t="s">
        <v>402</v>
      </c>
      <c r="D749">
        <v>74944</v>
      </c>
      <c r="E749">
        <v>8</v>
      </c>
      <c r="F749">
        <f>YEAR(C749)</f>
        <v>2024</v>
      </c>
      <c r="G749">
        <f>MONTH(C749)</f>
        <v>3</v>
      </c>
      <c r="H749" t="str">
        <f>F749&amp;"-"&amp;G749</f>
        <v>2024-3</v>
      </c>
    </row>
    <row r="750">
      <c r="A750" t="s">
        <v>17</v>
      </c>
      <c r="B750" t="s">
        <v>98</v>
      </c>
      <c r="C750" t="s">
        <v>402</v>
      </c>
      <c r="D750">
        <v>93472</v>
      </c>
      <c r="E750">
        <v>1</v>
      </c>
      <c r="F750">
        <f>YEAR(C750)</f>
        <v>2024</v>
      </c>
      <c r="G750">
        <f>MONTH(C750)</f>
        <v>3</v>
      </c>
      <c r="H750" t="str">
        <f>F750&amp;"-"&amp;G750</f>
        <v>2024-3</v>
      </c>
    </row>
    <row r="751">
      <c r="A751" t="s">
        <v>57</v>
      </c>
      <c r="B751" t="s">
        <v>58</v>
      </c>
      <c r="C751" t="s">
        <v>402</v>
      </c>
      <c r="D751">
        <v>53525</v>
      </c>
      <c r="E751">
        <v>6</v>
      </c>
      <c r="F751">
        <f>YEAR(C751)</f>
        <v>2024</v>
      </c>
      <c r="G751">
        <f>MONTH(C751)</f>
        <v>3</v>
      </c>
      <c r="H751" t="str">
        <f>F751&amp;"-"&amp;G751</f>
        <v>2024-3</v>
      </c>
    </row>
    <row r="752">
      <c r="A752" t="s">
        <v>24</v>
      </c>
      <c r="B752" t="s">
        <v>153</v>
      </c>
      <c r="C752" t="s">
        <v>402</v>
      </c>
      <c r="D752">
        <v>22055</v>
      </c>
      <c r="E752">
        <v>7</v>
      </c>
      <c r="F752">
        <f>YEAR(C752)</f>
        <v>2024</v>
      </c>
      <c r="G752">
        <f>MONTH(C752)</f>
        <v>3</v>
      </c>
      <c r="H752" t="str">
        <f>F752&amp;"-"&amp;G752</f>
        <v>2024-3</v>
      </c>
    </row>
    <row r="753">
      <c r="A753" t="s">
        <v>5</v>
      </c>
      <c r="B753" t="s">
        <v>65</v>
      </c>
      <c r="C753" t="s">
        <v>402</v>
      </c>
      <c r="D753">
        <v>60212</v>
      </c>
      <c r="E753">
        <v>5</v>
      </c>
      <c r="F753">
        <f>YEAR(C753)</f>
        <v>2024</v>
      </c>
      <c r="G753">
        <f>MONTH(C753)</f>
        <v>3</v>
      </c>
      <c r="H753" t="str">
        <f>F753&amp;"-"&amp;G753</f>
        <v>2024-3</v>
      </c>
    </row>
    <row r="754">
      <c r="A754" t="s">
        <v>8</v>
      </c>
      <c r="B754" t="s">
        <v>30</v>
      </c>
      <c r="C754" t="s">
        <v>402</v>
      </c>
      <c r="D754">
        <v>23593</v>
      </c>
      <c r="E754">
        <v>5</v>
      </c>
      <c r="F754">
        <f>YEAR(C754)</f>
        <v>2024</v>
      </c>
      <c r="G754">
        <f>MONTH(C754)</f>
        <v>3</v>
      </c>
      <c r="H754" t="str">
        <f>F754&amp;"-"&amp;G754</f>
        <v>2024-3</v>
      </c>
    </row>
    <row r="755">
      <c r="A755" t="s">
        <v>5</v>
      </c>
      <c r="B755" t="s">
        <v>189</v>
      </c>
      <c r="C755" t="s">
        <v>402</v>
      </c>
      <c r="D755">
        <v>28432</v>
      </c>
      <c r="E755">
        <v>8</v>
      </c>
      <c r="F755">
        <f>YEAR(C755)</f>
        <v>2024</v>
      </c>
      <c r="G755">
        <f>MONTH(C755)</f>
        <v>3</v>
      </c>
      <c r="H755" t="str">
        <f>F755&amp;"-"&amp;G755</f>
        <v>2024-3</v>
      </c>
    </row>
    <row r="756">
      <c r="A756" t="s">
        <v>47</v>
      </c>
      <c r="B756" t="s">
        <v>63</v>
      </c>
      <c r="C756" t="s">
        <v>402</v>
      </c>
      <c r="D756">
        <v>97115</v>
      </c>
      <c r="E756">
        <v>7</v>
      </c>
      <c r="F756">
        <f>YEAR(C756)</f>
        <v>2024</v>
      </c>
      <c r="G756">
        <f>MONTH(C756)</f>
        <v>3</v>
      </c>
      <c r="H756" t="str">
        <f>F756&amp;"-"&amp;G756</f>
        <v>2024-3</v>
      </c>
    </row>
    <row r="757">
      <c r="A757" t="s">
        <v>21</v>
      </c>
      <c r="B757" t="s">
        <v>344</v>
      </c>
      <c r="C757" t="s">
        <v>402</v>
      </c>
      <c r="D757">
        <v>83742</v>
      </c>
      <c r="E757">
        <v>7</v>
      </c>
      <c r="F757">
        <f>YEAR(C757)</f>
        <v>2024</v>
      </c>
      <c r="G757">
        <f>MONTH(C757)</f>
        <v>3</v>
      </c>
      <c r="H757" t="str">
        <f>F757&amp;"-"&amp;G757</f>
        <v>2024-3</v>
      </c>
    </row>
    <row r="758">
      <c r="A758" t="s">
        <v>24</v>
      </c>
      <c r="B758" t="s">
        <v>403</v>
      </c>
      <c r="C758" t="s">
        <v>402</v>
      </c>
      <c r="D758">
        <v>26873</v>
      </c>
      <c r="E758">
        <v>7</v>
      </c>
      <c r="F758">
        <f>YEAR(C758)</f>
        <v>2024</v>
      </c>
      <c r="G758">
        <f>MONTH(C758)</f>
        <v>3</v>
      </c>
      <c r="H758" t="str">
        <f>F758&amp;"-"&amp;G758</f>
        <v>2024-3</v>
      </c>
    </row>
    <row r="759">
      <c r="A759" t="s">
        <v>47</v>
      </c>
      <c r="B759" t="s">
        <v>78</v>
      </c>
      <c r="C759" t="s">
        <v>402</v>
      </c>
      <c r="D759">
        <v>73628</v>
      </c>
      <c r="E759">
        <v>8</v>
      </c>
      <c r="F759">
        <f>YEAR(C759)</f>
        <v>2024</v>
      </c>
      <c r="G759">
        <f>MONTH(C759)</f>
        <v>3</v>
      </c>
      <c r="H759" t="str">
        <f>F759&amp;"-"&amp;G759</f>
        <v>2024-3</v>
      </c>
    </row>
    <row r="760">
      <c r="A760" t="s">
        <v>57</v>
      </c>
      <c r="B760" t="s">
        <v>52</v>
      </c>
      <c r="C760" t="s">
        <v>402</v>
      </c>
      <c r="D760">
        <v>83507</v>
      </c>
      <c r="E760">
        <v>7</v>
      </c>
      <c r="F760">
        <f>YEAR(C760)</f>
        <v>2024</v>
      </c>
      <c r="G760">
        <f>MONTH(C760)</f>
        <v>3</v>
      </c>
      <c r="H760" t="str">
        <f>F760&amp;"-"&amp;G760</f>
        <v>2024-3</v>
      </c>
    </row>
    <row r="761">
      <c r="A761" t="s">
        <v>8</v>
      </c>
      <c r="B761" t="s">
        <v>113</v>
      </c>
      <c r="C761" t="s">
        <v>402</v>
      </c>
      <c r="D761">
        <v>35458</v>
      </c>
      <c r="E761">
        <v>7</v>
      </c>
      <c r="F761">
        <f>YEAR(C761)</f>
        <v>2024</v>
      </c>
      <c r="G761">
        <f>MONTH(C761)</f>
        <v>3</v>
      </c>
      <c r="H761" t="str">
        <f>F761&amp;"-"&amp;G761</f>
        <v>2024-3</v>
      </c>
    </row>
    <row r="762">
      <c r="A762" t="s">
        <v>43</v>
      </c>
      <c r="B762" t="s">
        <v>186</v>
      </c>
      <c r="C762" t="s">
        <v>402</v>
      </c>
      <c r="D762">
        <v>95382</v>
      </c>
      <c r="E762">
        <v>6</v>
      </c>
      <c r="F762">
        <f>YEAR(C762)</f>
        <v>2024</v>
      </c>
      <c r="G762">
        <f>MONTH(C762)</f>
        <v>3</v>
      </c>
      <c r="H762" t="str">
        <f>F762&amp;"-"&amp;G762</f>
        <v>2024-3</v>
      </c>
    </row>
    <row r="763">
      <c r="A763" t="s">
        <v>57</v>
      </c>
      <c r="B763" t="s">
        <v>316</v>
      </c>
      <c r="C763" t="s">
        <v>404</v>
      </c>
      <c r="D763">
        <v>36884</v>
      </c>
      <c r="E763">
        <v>8</v>
      </c>
      <c r="F763">
        <f>YEAR(C763)</f>
        <v>2024</v>
      </c>
      <c r="G763">
        <f>MONTH(C763)</f>
        <v>4</v>
      </c>
      <c r="H763" t="str">
        <f>F763&amp;"-"&amp;G763</f>
        <v>2024-4</v>
      </c>
    </row>
    <row r="764">
      <c r="A764" t="s">
        <v>17</v>
      </c>
      <c r="B764" t="s">
        <v>29</v>
      </c>
      <c r="C764" t="s">
        <v>405</v>
      </c>
      <c r="D764">
        <v>80338</v>
      </c>
      <c r="E764">
        <v>2</v>
      </c>
      <c r="F764">
        <f>YEAR(C764)</f>
        <v>2024</v>
      </c>
      <c r="G764">
        <f>MONTH(C764)</f>
        <v>5</v>
      </c>
      <c r="H764" t="str">
        <f>F764&amp;"-"&amp;G764</f>
        <v>2024-5</v>
      </c>
    </row>
    <row r="765">
      <c r="A765" t="s">
        <v>21</v>
      </c>
      <c r="B765" t="s">
        <v>124</v>
      </c>
      <c r="C765" t="s">
        <v>405</v>
      </c>
      <c r="D765">
        <v>20963</v>
      </c>
      <c r="E765">
        <v>6</v>
      </c>
      <c r="F765">
        <f>YEAR(C765)</f>
        <v>2024</v>
      </c>
      <c r="G765">
        <f>MONTH(C765)</f>
        <v>5</v>
      </c>
      <c r="H765" t="str">
        <f>F765&amp;"-"&amp;G765</f>
        <v>2024-5</v>
      </c>
    </row>
    <row r="766">
      <c r="A766" t="s">
        <v>57</v>
      </c>
      <c r="B766" t="s">
        <v>130</v>
      </c>
      <c r="C766" t="s">
        <v>405</v>
      </c>
      <c r="D766">
        <v>93272</v>
      </c>
      <c r="E766">
        <v>4</v>
      </c>
      <c r="F766">
        <f>YEAR(C766)</f>
        <v>2024</v>
      </c>
      <c r="G766">
        <f>MONTH(C766)</f>
        <v>5</v>
      </c>
      <c r="H766" t="str">
        <f>F766&amp;"-"&amp;G766</f>
        <v>2024-5</v>
      </c>
    </row>
    <row r="767">
      <c r="A767" t="s">
        <v>28</v>
      </c>
      <c r="B767" t="s">
        <v>71</v>
      </c>
      <c r="C767" t="s">
        <v>405</v>
      </c>
      <c r="D767">
        <v>21356</v>
      </c>
      <c r="E767">
        <v>2</v>
      </c>
      <c r="F767">
        <f>YEAR(C767)</f>
        <v>2024</v>
      </c>
      <c r="G767">
        <f>MONTH(C767)</f>
        <v>5</v>
      </c>
      <c r="H767" t="str">
        <f>F767&amp;"-"&amp;G767</f>
        <v>2024-5</v>
      </c>
    </row>
    <row r="768">
      <c r="A768" t="s">
        <v>13</v>
      </c>
      <c r="B768" t="s">
        <v>231</v>
      </c>
      <c r="C768" t="s">
        <v>405</v>
      </c>
      <c r="D768">
        <v>12069</v>
      </c>
      <c r="E768">
        <v>2</v>
      </c>
      <c r="F768">
        <f>YEAR(C768)</f>
        <v>2024</v>
      </c>
      <c r="G768">
        <f>MONTH(C768)</f>
        <v>5</v>
      </c>
      <c r="H768" t="str">
        <f>F768&amp;"-"&amp;G768</f>
        <v>2024-5</v>
      </c>
    </row>
    <row r="769">
      <c r="A769" t="s">
        <v>17</v>
      </c>
      <c r="B769" t="s">
        <v>263</v>
      </c>
      <c r="C769" t="s">
        <v>405</v>
      </c>
      <c r="D769">
        <v>61510</v>
      </c>
      <c r="E769">
        <v>0</v>
      </c>
      <c r="F769">
        <f>YEAR(C769)</f>
        <v>2024</v>
      </c>
      <c r="G769">
        <f>MONTH(C769)</f>
        <v>5</v>
      </c>
      <c r="H769" t="str">
        <f>F769&amp;"-"&amp;G769</f>
        <v>2024-5</v>
      </c>
    </row>
    <row r="770">
      <c r="A770" t="s">
        <v>28</v>
      </c>
      <c r="B770" t="s">
        <v>222</v>
      </c>
      <c r="C770" t="s">
        <v>406</v>
      </c>
      <c r="D770">
        <v>34102</v>
      </c>
      <c r="E770">
        <v>6</v>
      </c>
      <c r="F770">
        <f>YEAR(C770)</f>
        <v>2024</v>
      </c>
      <c r="G770">
        <f>MONTH(C770)</f>
        <v>6</v>
      </c>
      <c r="H770" t="str">
        <f>F770&amp;"-"&amp;G770</f>
        <v>2024-6</v>
      </c>
    </row>
    <row r="771">
      <c r="A771" t="s">
        <v>24</v>
      </c>
      <c r="B771" t="s">
        <v>184</v>
      </c>
      <c r="C771" t="s">
        <v>407</v>
      </c>
      <c r="D771">
        <v>68497</v>
      </c>
      <c r="E771">
        <v>10</v>
      </c>
      <c r="F771">
        <f>YEAR(C771)</f>
        <v>2024</v>
      </c>
      <c r="G771">
        <f>MONTH(C771)</f>
        <v>7</v>
      </c>
      <c r="H771" t="str">
        <f>F771&amp;"-"&amp;G771</f>
        <v>2024-7</v>
      </c>
    </row>
    <row r="772">
      <c r="A772" t="s">
        <v>47</v>
      </c>
      <c r="B772" t="s">
        <v>256</v>
      </c>
      <c r="C772" t="s">
        <v>407</v>
      </c>
      <c r="D772">
        <v>28677</v>
      </c>
      <c r="E772">
        <v>5</v>
      </c>
      <c r="F772">
        <f>YEAR(C772)</f>
        <v>2024</v>
      </c>
      <c r="G772">
        <f>MONTH(C772)</f>
        <v>7</v>
      </c>
      <c r="H772" t="str">
        <f>F772&amp;"-"&amp;G772</f>
        <v>2024-7</v>
      </c>
    </row>
    <row r="773">
      <c r="A773" t="s">
        <v>15</v>
      </c>
      <c r="B773" t="s">
        <v>6</v>
      </c>
      <c r="C773" t="s">
        <v>407</v>
      </c>
      <c r="D773">
        <v>43199</v>
      </c>
      <c r="E773">
        <v>2</v>
      </c>
      <c r="F773">
        <f>YEAR(C773)</f>
        <v>2024</v>
      </c>
      <c r="G773">
        <f>MONTH(C773)</f>
        <v>7</v>
      </c>
      <c r="H773" t="str">
        <f>F773&amp;"-"&amp;G773</f>
        <v>2024-7</v>
      </c>
    </row>
    <row r="774">
      <c r="A774" t="s">
        <v>21</v>
      </c>
      <c r="B774" t="s">
        <v>102</v>
      </c>
      <c r="C774" t="s">
        <v>408</v>
      </c>
      <c r="D774">
        <v>24148</v>
      </c>
      <c r="E774">
        <v>8</v>
      </c>
      <c r="F774">
        <f>YEAR(C774)</f>
        <v>2024</v>
      </c>
      <c r="G774">
        <f>MONTH(C774)</f>
        <v>10</v>
      </c>
      <c r="H774" t="str">
        <f>F774&amp;"-"&amp;G774</f>
        <v>2024-10</v>
      </c>
    </row>
    <row r="775">
      <c r="A775" t="s">
        <v>5</v>
      </c>
      <c r="B775" t="s">
        <v>265</v>
      </c>
      <c r="C775" t="s">
        <v>408</v>
      </c>
      <c r="D775">
        <v>76622</v>
      </c>
      <c r="E775">
        <v>2</v>
      </c>
      <c r="F775">
        <f>YEAR(C775)</f>
        <v>2024</v>
      </c>
      <c r="G775">
        <f>MONTH(C775)</f>
        <v>10</v>
      </c>
      <c r="H775" t="str">
        <f>F775&amp;"-"&amp;G775</f>
        <v>2024-10</v>
      </c>
    </row>
    <row r="776">
      <c r="A776" t="s">
        <v>11</v>
      </c>
      <c r="B776" t="s">
        <v>20</v>
      </c>
      <c r="C776" t="s">
        <v>408</v>
      </c>
      <c r="D776">
        <v>83252</v>
      </c>
      <c r="E776">
        <v>4</v>
      </c>
      <c r="F776">
        <f>YEAR(C776)</f>
        <v>2024</v>
      </c>
      <c r="G776">
        <f>MONTH(C776)</f>
        <v>10</v>
      </c>
      <c r="H776" t="str">
        <f>F776&amp;"-"&amp;G776</f>
        <v>2024-10</v>
      </c>
    </row>
    <row r="777">
      <c r="A777" t="s">
        <v>28</v>
      </c>
      <c r="B777" t="s">
        <v>45</v>
      </c>
      <c r="C777" t="s">
        <v>408</v>
      </c>
      <c r="D777">
        <v>93973</v>
      </c>
      <c r="E777">
        <v>3</v>
      </c>
      <c r="F777">
        <f>YEAR(C777)</f>
        <v>2024</v>
      </c>
      <c r="G777">
        <f>MONTH(C777)</f>
        <v>10</v>
      </c>
      <c r="H777" t="str">
        <f>F777&amp;"-"&amp;G777</f>
        <v>2024-10</v>
      </c>
    </row>
    <row r="778">
      <c r="A778" t="s">
        <v>43</v>
      </c>
      <c r="B778" t="s">
        <v>170</v>
      </c>
      <c r="C778" t="s">
        <v>408</v>
      </c>
      <c r="D778">
        <v>53500</v>
      </c>
      <c r="E778">
        <v>4</v>
      </c>
      <c r="F778">
        <f>YEAR(C778)</f>
        <v>2024</v>
      </c>
      <c r="G778">
        <f>MONTH(C778)</f>
        <v>10</v>
      </c>
      <c r="H778" t="str">
        <f>F778&amp;"-"&amp;G778</f>
        <v>2024-10</v>
      </c>
    </row>
    <row r="779">
      <c r="A779" t="s">
        <v>15</v>
      </c>
      <c r="B779" t="s">
        <v>137</v>
      </c>
      <c r="C779" t="s">
        <v>408</v>
      </c>
      <c r="D779">
        <v>72651</v>
      </c>
      <c r="E779">
        <v>5</v>
      </c>
      <c r="F779">
        <f>YEAR(C779)</f>
        <v>2024</v>
      </c>
      <c r="G779">
        <f>MONTH(C779)</f>
        <v>10</v>
      </c>
      <c r="H779" t="str">
        <f>F779&amp;"-"&amp;G779</f>
        <v>2024-10</v>
      </c>
    </row>
    <row r="780">
      <c r="A780" t="s">
        <v>5</v>
      </c>
      <c r="B780" t="s">
        <v>55</v>
      </c>
      <c r="C780" t="s">
        <v>408</v>
      </c>
      <c r="D780">
        <v>41319</v>
      </c>
      <c r="E780">
        <v>6</v>
      </c>
      <c r="F780">
        <f>YEAR(C780)</f>
        <v>2024</v>
      </c>
      <c r="G780">
        <f>MONTH(C780)</f>
        <v>10</v>
      </c>
      <c r="H780" t="str">
        <f>F780&amp;"-"&amp;G780</f>
        <v>2024-10</v>
      </c>
    </row>
    <row r="781">
      <c r="A781" t="s">
        <v>28</v>
      </c>
      <c r="B781" t="s">
        <v>214</v>
      </c>
      <c r="C781" t="s">
        <v>409</v>
      </c>
      <c r="D781">
        <v>55391</v>
      </c>
      <c r="E781">
        <v>6</v>
      </c>
      <c r="F781">
        <f>YEAR(C781)</f>
        <v>2024</v>
      </c>
      <c r="G781">
        <f>MONTH(C781)</f>
        <v>11</v>
      </c>
      <c r="H781" t="str">
        <f>F781&amp;"-"&amp;G781</f>
        <v>2024-11</v>
      </c>
    </row>
    <row r="782">
      <c r="A782" t="s">
        <v>5</v>
      </c>
      <c r="B782" t="s">
        <v>147</v>
      </c>
      <c r="C782" t="s">
        <v>409</v>
      </c>
      <c r="D782">
        <v>61378</v>
      </c>
      <c r="E782">
        <v>6</v>
      </c>
      <c r="F782">
        <f>YEAR(C782)</f>
        <v>2024</v>
      </c>
      <c r="G782">
        <f>MONTH(C782)</f>
        <v>11</v>
      </c>
      <c r="H782" t="str">
        <f>F782&amp;"-"&amp;G782</f>
        <v>2024-11</v>
      </c>
    </row>
    <row r="783">
      <c r="A783" t="s">
        <v>21</v>
      </c>
      <c r="B783" t="s">
        <v>160</v>
      </c>
      <c r="C783" t="s">
        <v>409</v>
      </c>
      <c r="D783">
        <v>48427</v>
      </c>
      <c r="E783">
        <v>8</v>
      </c>
      <c r="F783">
        <f>YEAR(C783)</f>
        <v>2024</v>
      </c>
      <c r="G783">
        <f>MONTH(C783)</f>
        <v>11</v>
      </c>
      <c r="H783" t="str">
        <f>F783&amp;"-"&amp;G783</f>
        <v>2024-11</v>
      </c>
    </row>
    <row r="784">
      <c r="A784" t="s">
        <v>11</v>
      </c>
      <c r="B784" t="s">
        <v>255</v>
      </c>
      <c r="C784" t="s">
        <v>409</v>
      </c>
      <c r="D784">
        <v>26016</v>
      </c>
      <c r="E784">
        <v>5</v>
      </c>
      <c r="F784">
        <f>YEAR(C784)</f>
        <v>2024</v>
      </c>
      <c r="G784">
        <f>MONTH(C784)</f>
        <v>11</v>
      </c>
      <c r="H784" t="str">
        <f>F784&amp;"-"&amp;G784</f>
        <v>2024-11</v>
      </c>
    </row>
    <row r="785">
      <c r="A785" t="s">
        <v>5</v>
      </c>
      <c r="B785" t="s">
        <v>321</v>
      </c>
      <c r="C785" t="s">
        <v>410</v>
      </c>
      <c r="D785">
        <v>48198</v>
      </c>
      <c r="E785">
        <v>3</v>
      </c>
      <c r="F785">
        <f>YEAR(C785)</f>
        <v>2024</v>
      </c>
      <c r="G785">
        <f>MONTH(C785)</f>
        <v>12</v>
      </c>
      <c r="H785" t="str">
        <f>F785&amp;"-"&amp;G785</f>
        <v>2024-12</v>
      </c>
    </row>
    <row r="786">
      <c r="A786" t="s">
        <v>43</v>
      </c>
      <c r="B786" t="s">
        <v>217</v>
      </c>
      <c r="C786" t="s">
        <v>410</v>
      </c>
      <c r="D786">
        <v>58895</v>
      </c>
      <c r="E786">
        <v>7</v>
      </c>
      <c r="F786">
        <f>YEAR(C786)</f>
        <v>2024</v>
      </c>
      <c r="G786">
        <f>MONTH(C786)</f>
        <v>12</v>
      </c>
      <c r="H786" t="str">
        <f>F786&amp;"-"&amp;G786</f>
        <v>2024-12</v>
      </c>
    </row>
    <row r="787">
      <c r="A787" t="s">
        <v>11</v>
      </c>
      <c r="B787" t="s">
        <v>212</v>
      </c>
      <c r="C787" t="s">
        <v>410</v>
      </c>
      <c r="D787">
        <v>23178</v>
      </c>
      <c r="E787">
        <v>7</v>
      </c>
      <c r="F787">
        <f>YEAR(C787)</f>
        <v>2024</v>
      </c>
      <c r="G787">
        <f>MONTH(C787)</f>
        <v>12</v>
      </c>
      <c r="H787" t="str">
        <f>F787&amp;"-"&amp;G787</f>
        <v>2024-12</v>
      </c>
    </row>
    <row r="788">
      <c r="A788" t="s">
        <v>28</v>
      </c>
      <c r="B788" t="s">
        <v>209</v>
      </c>
      <c r="C788" t="s">
        <v>410</v>
      </c>
      <c r="D788">
        <v>25304</v>
      </c>
      <c r="E788">
        <v>5</v>
      </c>
      <c r="F788">
        <f>YEAR(C788)</f>
        <v>2024</v>
      </c>
      <c r="G788">
        <f>MONTH(C788)</f>
        <v>12</v>
      </c>
      <c r="H788" t="str">
        <f>F788&amp;"-"&amp;G788</f>
        <v>2024-12</v>
      </c>
    </row>
    <row r="789">
      <c r="A789" t="s">
        <v>17</v>
      </c>
      <c r="B789" t="s">
        <v>50</v>
      </c>
      <c r="C789" t="s">
        <v>410</v>
      </c>
      <c r="D789">
        <v>88572</v>
      </c>
      <c r="E789">
        <v>8</v>
      </c>
      <c r="F789">
        <f>YEAR(C789)</f>
        <v>2024</v>
      </c>
      <c r="G789">
        <f>MONTH(C789)</f>
        <v>12</v>
      </c>
      <c r="H789" t="str">
        <f>F789&amp;"-"&amp;G789</f>
        <v>2024-12</v>
      </c>
    </row>
    <row r="790">
      <c r="A790" t="s">
        <v>17</v>
      </c>
      <c r="B790" t="s">
        <v>212</v>
      </c>
      <c r="C790" t="s">
        <v>410</v>
      </c>
      <c r="D790">
        <v>74116</v>
      </c>
      <c r="E790">
        <v>0</v>
      </c>
      <c r="F790">
        <f>YEAR(C790)</f>
        <v>2024</v>
      </c>
      <c r="G790">
        <f>MONTH(C790)</f>
        <v>12</v>
      </c>
      <c r="H790" t="str">
        <f>F790&amp;"-"&amp;G790</f>
        <v>2024-12</v>
      </c>
    </row>
    <row r="791">
      <c r="A791" t="s">
        <v>24</v>
      </c>
      <c r="B791" t="s">
        <v>270</v>
      </c>
      <c r="C791" t="s">
        <v>411</v>
      </c>
      <c r="D791">
        <v>85964</v>
      </c>
      <c r="E791">
        <v>7</v>
      </c>
      <c r="F791" t="e">
        <f>YEAR(C791)</f>
        <v>#VALUE!</v>
      </c>
      <c r="G791" t="e">
        <f>MONTH(C791)</f>
        <v>#VALUE!</v>
      </c>
      <c r="H791" t="e">
        <f>F791&amp;"-"&amp;G791</f>
        <v>#VALUE!</v>
      </c>
    </row>
    <row r="792">
      <c r="A792" t="s">
        <v>28</v>
      </c>
      <c r="B792" t="s">
        <v>316</v>
      </c>
      <c r="C792" t="s">
        <v>411</v>
      </c>
      <c r="D792">
        <v>82603</v>
      </c>
      <c r="E792">
        <v>9</v>
      </c>
      <c r="F792" t="e">
        <f>YEAR(C792)</f>
        <v>#VALUE!</v>
      </c>
      <c r="G792" t="e">
        <f>MONTH(C792)</f>
        <v>#VALUE!</v>
      </c>
      <c r="H792" t="e">
        <f>F792&amp;"-"&amp;G792</f>
        <v>#VALUE!</v>
      </c>
    </row>
    <row r="793">
      <c r="A793" t="s">
        <v>43</v>
      </c>
      <c r="B793" t="s">
        <v>96</v>
      </c>
      <c r="C793" t="s">
        <v>411</v>
      </c>
      <c r="D793">
        <v>88170</v>
      </c>
      <c r="E793">
        <v>5</v>
      </c>
      <c r="F793" t="e">
        <f>YEAR(C793)</f>
        <v>#VALUE!</v>
      </c>
      <c r="G793" t="e">
        <f>MONTH(C793)</f>
        <v>#VALUE!</v>
      </c>
      <c r="H793" t="e">
        <f>F793&amp;"-"&amp;G793</f>
        <v>#VALUE!</v>
      </c>
    </row>
    <row r="794">
      <c r="A794" t="s">
        <v>13</v>
      </c>
      <c r="B794" t="s">
        <v>186</v>
      </c>
      <c r="C794" t="s">
        <v>412</v>
      </c>
      <c r="D794">
        <v>79633</v>
      </c>
      <c r="E794">
        <v>5</v>
      </c>
      <c r="F794" t="e">
        <f>YEAR(C794)</f>
        <v>#VALUE!</v>
      </c>
      <c r="G794" t="e">
        <f>MONTH(C794)</f>
        <v>#VALUE!</v>
      </c>
      <c r="H794" t="e">
        <f>F794&amp;"-"&amp;G794</f>
        <v>#VALUE!</v>
      </c>
    </row>
    <row r="795">
      <c r="A795" t="s">
        <v>28</v>
      </c>
      <c r="B795" t="s">
        <v>299</v>
      </c>
      <c r="C795" t="s">
        <v>412</v>
      </c>
      <c r="D795">
        <v>66178</v>
      </c>
      <c r="E795">
        <v>7</v>
      </c>
      <c r="F795" t="e">
        <f>YEAR(C795)</f>
        <v>#VALUE!</v>
      </c>
      <c r="G795" t="e">
        <f>MONTH(C795)</f>
        <v>#VALUE!</v>
      </c>
      <c r="H795" t="e">
        <f>F795&amp;"-"&amp;G795</f>
        <v>#VALUE!</v>
      </c>
    </row>
    <row r="796">
      <c r="A796" t="s">
        <v>15</v>
      </c>
      <c r="B796" t="s">
        <v>168</v>
      </c>
      <c r="C796" t="s">
        <v>412</v>
      </c>
      <c r="D796">
        <v>47702</v>
      </c>
      <c r="E796">
        <v>6</v>
      </c>
      <c r="F796" t="e">
        <f>YEAR(C796)</f>
        <v>#VALUE!</v>
      </c>
      <c r="G796" t="e">
        <f>MONTH(C796)</f>
        <v>#VALUE!</v>
      </c>
      <c r="H796" t="e">
        <f>F796&amp;"-"&amp;G796</f>
        <v>#VALUE!</v>
      </c>
    </row>
    <row r="797">
      <c r="A797" t="s">
        <v>47</v>
      </c>
      <c r="B797" t="s">
        <v>212</v>
      </c>
      <c r="C797" t="s">
        <v>412</v>
      </c>
      <c r="D797">
        <v>80042</v>
      </c>
      <c r="E797">
        <v>8</v>
      </c>
      <c r="F797" t="e">
        <f>YEAR(C797)</f>
        <v>#VALUE!</v>
      </c>
      <c r="G797" t="e">
        <f>MONTH(C797)</f>
        <v>#VALUE!</v>
      </c>
      <c r="H797" t="e">
        <f>F797&amp;"-"&amp;G797</f>
        <v>#VALUE!</v>
      </c>
    </row>
    <row r="798">
      <c r="A798" t="s">
        <v>17</v>
      </c>
      <c r="B798" t="s">
        <v>184</v>
      </c>
      <c r="C798" t="s">
        <v>412</v>
      </c>
      <c r="D798">
        <v>59245</v>
      </c>
      <c r="E798">
        <v>7</v>
      </c>
      <c r="F798" t="e">
        <f>YEAR(C798)</f>
        <v>#VALUE!</v>
      </c>
      <c r="G798" t="e">
        <f>MONTH(C798)</f>
        <v>#VALUE!</v>
      </c>
      <c r="H798" t="e">
        <f>F798&amp;"-"&amp;G798</f>
        <v>#VALUE!</v>
      </c>
    </row>
    <row r="799">
      <c r="A799" t="s">
        <v>57</v>
      </c>
      <c r="B799" t="s">
        <v>362</v>
      </c>
      <c r="C799" t="s">
        <v>413</v>
      </c>
      <c r="D799">
        <v>63615</v>
      </c>
      <c r="E799">
        <v>2</v>
      </c>
      <c r="F799" t="e">
        <f>YEAR(C799)</f>
        <v>#VALUE!</v>
      </c>
      <c r="G799" t="e">
        <f>MONTH(C799)</f>
        <v>#VALUE!</v>
      </c>
      <c r="H799" t="e">
        <f>F799&amp;"-"&amp;G799</f>
        <v>#VALUE!</v>
      </c>
    </row>
    <row r="800">
      <c r="A800" t="s">
        <v>24</v>
      </c>
      <c r="B800" t="s">
        <v>174</v>
      </c>
      <c r="C800" t="s">
        <v>413</v>
      </c>
      <c r="D800">
        <v>32064</v>
      </c>
      <c r="E800">
        <v>6</v>
      </c>
      <c r="F800" t="e">
        <f>YEAR(C800)</f>
        <v>#VALUE!</v>
      </c>
      <c r="G800" t="e">
        <f>MONTH(C800)</f>
        <v>#VALUE!</v>
      </c>
      <c r="H800" t="e">
        <f>F800&amp;"-"&amp;G800</f>
        <v>#VALUE!</v>
      </c>
    </row>
    <row r="801">
      <c r="A801" t="s">
        <v>47</v>
      </c>
      <c r="B801" t="s">
        <v>35</v>
      </c>
      <c r="C801" t="s">
        <v>413</v>
      </c>
      <c r="D801">
        <v>70451</v>
      </c>
      <c r="E801">
        <v>6</v>
      </c>
      <c r="F801" t="e">
        <f>YEAR(C801)</f>
        <v>#VALUE!</v>
      </c>
      <c r="G801" t="e">
        <f>MONTH(C801)</f>
        <v>#VALUE!</v>
      </c>
      <c r="H801" t="e">
        <f>F801&amp;"-"&amp;G801</f>
        <v>#VALUE!</v>
      </c>
    </row>
    <row r="802">
      <c r="A802" t="s">
        <v>11</v>
      </c>
      <c r="B802" t="s">
        <v>265</v>
      </c>
      <c r="C802" t="s">
        <v>413</v>
      </c>
      <c r="D802">
        <v>29396</v>
      </c>
      <c r="E802">
        <v>7</v>
      </c>
      <c r="F802" t="e">
        <f>YEAR(C802)</f>
        <v>#VALUE!</v>
      </c>
      <c r="G802" t="e">
        <f>MONTH(C802)</f>
        <v>#VALUE!</v>
      </c>
      <c r="H802" t="e">
        <f>F802&amp;"-"&amp;G802</f>
        <v>#VALUE!</v>
      </c>
    </row>
    <row r="803">
      <c r="A803" t="s">
        <v>57</v>
      </c>
      <c r="B803" t="s">
        <v>119</v>
      </c>
      <c r="C803" t="s">
        <v>413</v>
      </c>
      <c r="D803">
        <v>72998</v>
      </c>
      <c r="E803">
        <v>8</v>
      </c>
      <c r="F803" t="e">
        <f>YEAR(C803)</f>
        <v>#VALUE!</v>
      </c>
      <c r="G803" t="e">
        <f>MONTH(C803)</f>
        <v>#VALUE!</v>
      </c>
      <c r="H803" t="e">
        <f>F803&amp;"-"&amp;G803</f>
        <v>#VALUE!</v>
      </c>
    </row>
    <row r="804">
      <c r="A804" t="s">
        <v>8</v>
      </c>
      <c r="B804" t="s">
        <v>68</v>
      </c>
      <c r="C804" t="s">
        <v>413</v>
      </c>
      <c r="D804">
        <v>11509</v>
      </c>
      <c r="E804">
        <v>8</v>
      </c>
      <c r="F804" t="e">
        <f>YEAR(C804)</f>
        <v>#VALUE!</v>
      </c>
      <c r="G804" t="e">
        <f>MONTH(C804)</f>
        <v>#VALUE!</v>
      </c>
      <c r="H804" t="e">
        <f>F804&amp;"-"&amp;G804</f>
        <v>#VALUE!</v>
      </c>
    </row>
    <row r="805">
      <c r="A805" t="s">
        <v>5</v>
      </c>
      <c r="B805" t="s">
        <v>146</v>
      </c>
      <c r="C805" t="s">
        <v>413</v>
      </c>
      <c r="D805">
        <v>31831</v>
      </c>
      <c r="E805">
        <v>7</v>
      </c>
      <c r="F805" t="e">
        <f>YEAR(C805)</f>
        <v>#VALUE!</v>
      </c>
      <c r="G805" t="e">
        <f>MONTH(C805)</f>
        <v>#VALUE!</v>
      </c>
      <c r="H805" t="e">
        <f>F805&amp;"-"&amp;G805</f>
        <v>#VALUE!</v>
      </c>
    </row>
    <row r="806">
      <c r="A806" t="s">
        <v>8</v>
      </c>
      <c r="B806" t="s">
        <v>83</v>
      </c>
      <c r="C806" t="s">
        <v>413</v>
      </c>
      <c r="D806">
        <v>49907</v>
      </c>
      <c r="E806">
        <v>4</v>
      </c>
      <c r="F806" t="e">
        <f>YEAR(C806)</f>
        <v>#VALUE!</v>
      </c>
      <c r="G806" t="e">
        <f>MONTH(C806)</f>
        <v>#VALUE!</v>
      </c>
      <c r="H806" t="e">
        <f>F806&amp;"-"&amp;G806</f>
        <v>#VALUE!</v>
      </c>
    </row>
    <row r="807">
      <c r="A807" t="s">
        <v>21</v>
      </c>
      <c r="B807" t="s">
        <v>110</v>
      </c>
      <c r="C807" t="s">
        <v>413</v>
      </c>
      <c r="D807">
        <v>77682</v>
      </c>
      <c r="E807">
        <v>7</v>
      </c>
      <c r="F807" t="e">
        <f>YEAR(C807)</f>
        <v>#VALUE!</v>
      </c>
      <c r="G807" t="e">
        <f>MONTH(C807)</f>
        <v>#VALUE!</v>
      </c>
      <c r="H807" t="e">
        <f>F807&amp;"-"&amp;G807</f>
        <v>#VALUE!</v>
      </c>
    </row>
    <row r="808">
      <c r="A808" t="s">
        <v>43</v>
      </c>
      <c r="B808" t="s">
        <v>227</v>
      </c>
      <c r="C808" t="s">
        <v>414</v>
      </c>
      <c r="D808">
        <v>69157</v>
      </c>
      <c r="E808">
        <v>8</v>
      </c>
      <c r="F808" t="e">
        <f>YEAR(C808)</f>
        <v>#VALUE!</v>
      </c>
      <c r="G808" t="e">
        <f>MONTH(C808)</f>
        <v>#VALUE!</v>
      </c>
      <c r="H808" t="e">
        <f>F808&amp;"-"&amp;G808</f>
        <v>#VALUE!</v>
      </c>
    </row>
    <row r="809">
      <c r="A809" t="s">
        <v>15</v>
      </c>
      <c r="B809" t="s">
        <v>110</v>
      </c>
      <c r="C809" t="s">
        <v>415</v>
      </c>
      <c r="D809">
        <v>59108</v>
      </c>
      <c r="E809">
        <v>6</v>
      </c>
      <c r="F809" t="e">
        <f>YEAR(C809)</f>
        <v>#VALUE!</v>
      </c>
      <c r="G809" t="e">
        <f>MONTH(C809)</f>
        <v>#VALUE!</v>
      </c>
      <c r="H809" t="e">
        <f>F809&amp;"-"&amp;G809</f>
        <v>#VALUE!</v>
      </c>
    </row>
    <row r="810">
      <c r="A810" t="s">
        <v>28</v>
      </c>
      <c r="B810" t="s">
        <v>192</v>
      </c>
      <c r="C810" t="s">
        <v>415</v>
      </c>
      <c r="D810">
        <v>11680</v>
      </c>
      <c r="E810">
        <v>8</v>
      </c>
      <c r="F810" t="e">
        <f>YEAR(C810)</f>
        <v>#VALUE!</v>
      </c>
      <c r="G810" t="e">
        <f>MONTH(C810)</f>
        <v>#VALUE!</v>
      </c>
      <c r="H810" t="e">
        <f>F810&amp;"-"&amp;G810</f>
        <v>#VALUE!</v>
      </c>
    </row>
    <row r="811">
      <c r="A811" t="s">
        <v>8</v>
      </c>
      <c r="B811" t="s">
        <v>119</v>
      </c>
      <c r="C811" t="s">
        <v>415</v>
      </c>
      <c r="D811">
        <v>97760</v>
      </c>
      <c r="E811">
        <v>2</v>
      </c>
      <c r="F811" t="e">
        <f>YEAR(C811)</f>
        <v>#VALUE!</v>
      </c>
      <c r="G811" t="e">
        <f>MONTH(C811)</f>
        <v>#VALUE!</v>
      </c>
      <c r="H811" t="e">
        <f>F811&amp;"-"&amp;G811</f>
        <v>#VALUE!</v>
      </c>
    </row>
    <row r="812">
      <c r="A812" t="s">
        <v>11</v>
      </c>
      <c r="B812" t="s">
        <v>160</v>
      </c>
      <c r="C812" t="s">
        <v>416</v>
      </c>
      <c r="D812">
        <v>26668</v>
      </c>
      <c r="E812">
        <v>7</v>
      </c>
      <c r="F812" t="e">
        <f>YEAR(C812)</f>
        <v>#VALUE!</v>
      </c>
      <c r="G812" t="e">
        <f>MONTH(C812)</f>
        <v>#VALUE!</v>
      </c>
      <c r="H812" t="e">
        <f>F812&amp;"-"&amp;G812</f>
        <v>#VALUE!</v>
      </c>
    </row>
    <row r="813">
      <c r="A813" t="s">
        <v>17</v>
      </c>
      <c r="B813" t="s">
        <v>200</v>
      </c>
      <c r="C813" t="s">
        <v>416</v>
      </c>
      <c r="D813">
        <v>84772</v>
      </c>
      <c r="E813">
        <v>7</v>
      </c>
      <c r="F813" t="e">
        <f>YEAR(C813)</f>
        <v>#VALUE!</v>
      </c>
      <c r="G813" t="e">
        <f>MONTH(C813)</f>
        <v>#VALUE!</v>
      </c>
      <c r="H813" t="e">
        <f>F813&amp;"-"&amp;G813</f>
        <v>#VALUE!</v>
      </c>
    </row>
    <row r="814">
      <c r="A814" t="s">
        <v>13</v>
      </c>
      <c r="B814" t="s">
        <v>316</v>
      </c>
      <c r="C814" t="s">
        <v>416</v>
      </c>
      <c r="D814">
        <v>10049</v>
      </c>
      <c r="E814">
        <v>9</v>
      </c>
      <c r="F814" t="e">
        <f>YEAR(C814)</f>
        <v>#VALUE!</v>
      </c>
      <c r="G814" t="e">
        <f>MONTH(C814)</f>
        <v>#VALUE!</v>
      </c>
      <c r="H814" t="e">
        <f>F814&amp;"-"&amp;G814</f>
        <v>#VALUE!</v>
      </c>
    </row>
    <row r="815">
      <c r="A815" t="s">
        <v>17</v>
      </c>
      <c r="B815" t="s">
        <v>265</v>
      </c>
      <c r="C815" t="s">
        <v>416</v>
      </c>
      <c r="D815">
        <v>17327</v>
      </c>
      <c r="E815">
        <v>9</v>
      </c>
      <c r="F815" t="e">
        <f>YEAR(C815)</f>
        <v>#VALUE!</v>
      </c>
      <c r="G815" t="e">
        <f>MONTH(C815)</f>
        <v>#VALUE!</v>
      </c>
      <c r="H815" t="e">
        <f>F815&amp;"-"&amp;G815</f>
        <v>#VALUE!</v>
      </c>
    </row>
    <row r="816">
      <c r="A816" t="s">
        <v>5</v>
      </c>
      <c r="B816" t="s">
        <v>31</v>
      </c>
      <c r="C816" t="s">
        <v>416</v>
      </c>
      <c r="D816">
        <v>55557</v>
      </c>
      <c r="E816">
        <v>7</v>
      </c>
      <c r="F816" t="e">
        <f>YEAR(C816)</f>
        <v>#VALUE!</v>
      </c>
      <c r="G816" t="e">
        <f>MONTH(C816)</f>
        <v>#VALUE!</v>
      </c>
      <c r="H816" t="e">
        <f>F816&amp;"-"&amp;G816</f>
        <v>#VALUE!</v>
      </c>
    </row>
    <row r="817">
      <c r="A817" t="s">
        <v>43</v>
      </c>
      <c r="B817" t="s">
        <v>215</v>
      </c>
      <c r="C817" t="s">
        <v>416</v>
      </c>
      <c r="D817">
        <v>15322</v>
      </c>
      <c r="E817">
        <v>3</v>
      </c>
      <c r="F817" t="e">
        <f>YEAR(C817)</f>
        <v>#VALUE!</v>
      </c>
      <c r="G817" t="e">
        <f>MONTH(C817)</f>
        <v>#VALUE!</v>
      </c>
      <c r="H817" t="e">
        <f>F817&amp;"-"&amp;G817</f>
        <v>#VALUE!</v>
      </c>
    </row>
    <row r="818">
      <c r="A818" t="s">
        <v>24</v>
      </c>
      <c r="B818" t="s">
        <v>70</v>
      </c>
      <c r="C818" t="s">
        <v>416</v>
      </c>
      <c r="D818">
        <v>92072</v>
      </c>
      <c r="E818">
        <v>7</v>
      </c>
      <c r="F818" t="e">
        <f>YEAR(C818)</f>
        <v>#VALUE!</v>
      </c>
      <c r="G818" t="e">
        <f>MONTH(C818)</f>
        <v>#VALUE!</v>
      </c>
      <c r="H818" t="e">
        <f>F818&amp;"-"&amp;G818</f>
        <v>#VALUE!</v>
      </c>
    </row>
    <row r="819">
      <c r="A819" t="s">
        <v>11</v>
      </c>
      <c r="B819" t="s">
        <v>208</v>
      </c>
      <c r="C819" t="s">
        <v>416</v>
      </c>
      <c r="D819">
        <v>91085</v>
      </c>
      <c r="E819">
        <v>4</v>
      </c>
      <c r="F819" t="e">
        <f>YEAR(C819)</f>
        <v>#VALUE!</v>
      </c>
      <c r="G819" t="e">
        <f>MONTH(C819)</f>
        <v>#VALUE!</v>
      </c>
      <c r="H819" t="e">
        <f>F819&amp;"-"&amp;G819</f>
        <v>#VALUE!</v>
      </c>
    </row>
    <row r="820">
      <c r="A820" t="s">
        <v>24</v>
      </c>
      <c r="B820" t="s">
        <v>37</v>
      </c>
      <c r="C820" t="s">
        <v>417</v>
      </c>
      <c r="D820">
        <v>66031</v>
      </c>
      <c r="E820">
        <v>5</v>
      </c>
      <c r="F820" t="e">
        <f>YEAR(C820)</f>
        <v>#VALUE!</v>
      </c>
      <c r="G820" t="e">
        <f>MONTH(C820)</f>
        <v>#VALUE!</v>
      </c>
      <c r="H820" t="e">
        <f>F820&amp;"-"&amp;G820</f>
        <v>#VALUE!</v>
      </c>
    </row>
    <row r="821">
      <c r="A821" t="s">
        <v>11</v>
      </c>
      <c r="B821" t="s">
        <v>308</v>
      </c>
      <c r="C821" t="s">
        <v>417</v>
      </c>
      <c r="D821">
        <v>74981</v>
      </c>
      <c r="E821">
        <v>3</v>
      </c>
      <c r="F821" t="e">
        <f>YEAR(C821)</f>
        <v>#VALUE!</v>
      </c>
      <c r="G821" t="e">
        <f>MONTH(C821)</f>
        <v>#VALUE!</v>
      </c>
      <c r="H821" t="e">
        <f>F821&amp;"-"&amp;G821</f>
        <v>#VALUE!</v>
      </c>
    </row>
    <row r="822">
      <c r="A822" t="s">
        <v>11</v>
      </c>
      <c r="B822" t="s">
        <v>192</v>
      </c>
      <c r="C822" t="s">
        <v>417</v>
      </c>
      <c r="D822">
        <v>83728</v>
      </c>
      <c r="E822">
        <v>9</v>
      </c>
      <c r="F822" t="e">
        <f>YEAR(C822)</f>
        <v>#VALUE!</v>
      </c>
      <c r="G822" t="e">
        <f>MONTH(C822)</f>
        <v>#VALUE!</v>
      </c>
      <c r="H822" t="e">
        <f>F822&amp;"-"&amp;G822</f>
        <v>#VALUE!</v>
      </c>
    </row>
    <row r="823">
      <c r="A823" t="s">
        <v>17</v>
      </c>
      <c r="B823" t="s">
        <v>265</v>
      </c>
      <c r="C823" t="s">
        <v>417</v>
      </c>
      <c r="D823">
        <v>49832</v>
      </c>
      <c r="E823">
        <v>5</v>
      </c>
      <c r="F823" t="e">
        <f>YEAR(C823)</f>
        <v>#VALUE!</v>
      </c>
      <c r="G823" t="e">
        <f>MONTH(C823)</f>
        <v>#VALUE!</v>
      </c>
      <c r="H823" t="e">
        <f>F823&amp;"-"&amp;G823</f>
        <v>#VALUE!</v>
      </c>
    </row>
    <row r="824">
      <c r="A824" t="s">
        <v>15</v>
      </c>
      <c r="B824" t="s">
        <v>172</v>
      </c>
      <c r="C824" t="s">
        <v>417</v>
      </c>
      <c r="D824">
        <v>43583</v>
      </c>
      <c r="E824">
        <v>3</v>
      </c>
      <c r="F824" t="e">
        <f>YEAR(C824)</f>
        <v>#VALUE!</v>
      </c>
      <c r="G824" t="e">
        <f>MONTH(C824)</f>
        <v>#VALUE!</v>
      </c>
      <c r="H824" t="e">
        <f>F824&amp;"-"&amp;G824</f>
        <v>#VALUE!</v>
      </c>
    </row>
    <row r="825">
      <c r="A825" t="s">
        <v>47</v>
      </c>
      <c r="B825" t="s">
        <v>20</v>
      </c>
      <c r="C825" t="s">
        <v>418</v>
      </c>
      <c r="D825">
        <v>69280</v>
      </c>
      <c r="E825">
        <v>7</v>
      </c>
      <c r="F825" t="e">
        <f>YEAR(C825)</f>
        <v>#VALUE!</v>
      </c>
      <c r="G825" t="e">
        <f>MONTH(C825)</f>
        <v>#VALUE!</v>
      </c>
      <c r="H825" t="e">
        <f>F825&amp;"-"&amp;G825</f>
        <v>#VALUE!</v>
      </c>
    </row>
    <row r="826">
      <c r="A826" t="s">
        <v>21</v>
      </c>
      <c r="B826" t="s">
        <v>12</v>
      </c>
      <c r="C826" t="s">
        <v>418</v>
      </c>
      <c r="D826">
        <v>99189</v>
      </c>
      <c r="E826">
        <v>7</v>
      </c>
      <c r="F826" t="e">
        <f>YEAR(C826)</f>
        <v>#VALUE!</v>
      </c>
      <c r="G826" t="e">
        <f>MONTH(C826)</f>
        <v>#VALUE!</v>
      </c>
      <c r="H826" t="e">
        <f>F826&amp;"-"&amp;G826</f>
        <v>#VALUE!</v>
      </c>
    </row>
    <row r="827">
      <c r="A827" t="s">
        <v>5</v>
      </c>
      <c r="B827" t="s">
        <v>68</v>
      </c>
      <c r="C827" t="s">
        <v>418</v>
      </c>
      <c r="D827">
        <v>78405</v>
      </c>
      <c r="E827">
        <v>10</v>
      </c>
      <c r="F827" t="e">
        <f>YEAR(C827)</f>
        <v>#VALUE!</v>
      </c>
      <c r="G827" t="e">
        <f>MONTH(C827)</f>
        <v>#VALUE!</v>
      </c>
      <c r="H827" t="e">
        <f>F827&amp;"-"&amp;G827</f>
        <v>#VALUE!</v>
      </c>
    </row>
    <row r="828">
      <c r="A828" t="s">
        <v>5</v>
      </c>
      <c r="B828" t="s">
        <v>9</v>
      </c>
      <c r="C828" t="s">
        <v>418</v>
      </c>
      <c r="D828">
        <v>68960</v>
      </c>
      <c r="E828">
        <v>6</v>
      </c>
      <c r="F828" t="e">
        <f>YEAR(C828)</f>
        <v>#VALUE!</v>
      </c>
      <c r="G828" t="e">
        <f>MONTH(C828)</f>
        <v>#VALUE!</v>
      </c>
      <c r="H828" t="e">
        <f>F828&amp;"-"&amp;G828</f>
        <v>#VALUE!</v>
      </c>
    </row>
    <row r="829">
      <c r="A829" t="s">
        <v>15</v>
      </c>
      <c r="B829" t="s">
        <v>207</v>
      </c>
      <c r="C829" t="s">
        <v>418</v>
      </c>
      <c r="D829">
        <v>48200</v>
      </c>
      <c r="E829">
        <v>3</v>
      </c>
      <c r="F829" t="e">
        <f>YEAR(C829)</f>
        <v>#VALUE!</v>
      </c>
      <c r="G829" t="e">
        <f>MONTH(C829)</f>
        <v>#VALUE!</v>
      </c>
      <c r="H829" t="e">
        <f>F829&amp;"-"&amp;G829</f>
        <v>#VALUE!</v>
      </c>
    </row>
    <row r="830">
      <c r="A830" t="s">
        <v>15</v>
      </c>
      <c r="B830" t="s">
        <v>280</v>
      </c>
      <c r="C830" t="s">
        <v>418</v>
      </c>
      <c r="D830">
        <v>16259</v>
      </c>
      <c r="E830">
        <v>8</v>
      </c>
      <c r="F830" t="e">
        <f>YEAR(C830)</f>
        <v>#VALUE!</v>
      </c>
      <c r="G830" t="e">
        <f>MONTH(C830)</f>
        <v>#VALUE!</v>
      </c>
      <c r="H830" t="e">
        <f>F830&amp;"-"&amp;G830</f>
        <v>#VALUE!</v>
      </c>
    </row>
    <row r="831">
      <c r="A831" t="s">
        <v>24</v>
      </c>
      <c r="B831" t="s">
        <v>192</v>
      </c>
      <c r="C831" t="s">
        <v>418</v>
      </c>
      <c r="D831">
        <v>57760</v>
      </c>
      <c r="E831">
        <v>7</v>
      </c>
      <c r="F831" t="e">
        <f>YEAR(C831)</f>
        <v>#VALUE!</v>
      </c>
      <c r="G831" t="e">
        <f>MONTH(C831)</f>
        <v>#VALUE!</v>
      </c>
      <c r="H831" t="e">
        <f>F831&amp;"-"&amp;G831</f>
        <v>#VALUE!</v>
      </c>
    </row>
    <row r="832">
      <c r="A832" t="s">
        <v>11</v>
      </c>
      <c r="B832" t="s">
        <v>6</v>
      </c>
      <c r="C832" t="s">
        <v>418</v>
      </c>
      <c r="D832">
        <v>14737</v>
      </c>
      <c r="E832">
        <v>2</v>
      </c>
      <c r="F832" t="e">
        <f>YEAR(C832)</f>
        <v>#VALUE!</v>
      </c>
      <c r="G832" t="e">
        <f>MONTH(C832)</f>
        <v>#VALUE!</v>
      </c>
      <c r="H832" t="e">
        <f>F832&amp;"-"&amp;G832</f>
        <v>#VALUE!</v>
      </c>
    </row>
    <row r="833">
      <c r="A833" t="s">
        <v>21</v>
      </c>
      <c r="B833" t="s">
        <v>272</v>
      </c>
      <c r="C833" t="s">
        <v>419</v>
      </c>
      <c r="D833">
        <v>64945</v>
      </c>
      <c r="E833">
        <v>6</v>
      </c>
      <c r="F833" t="e">
        <f>YEAR(C833)</f>
        <v>#VALUE!</v>
      </c>
      <c r="G833" t="e">
        <f>MONTH(C833)</f>
        <v>#VALUE!</v>
      </c>
      <c r="H833" t="e">
        <f>F833&amp;"-"&amp;G833</f>
        <v>#VALUE!</v>
      </c>
    </row>
    <row r="834">
      <c r="A834" t="s">
        <v>5</v>
      </c>
      <c r="B834" t="s">
        <v>315</v>
      </c>
      <c r="C834" t="s">
        <v>419</v>
      </c>
      <c r="D834">
        <v>69406</v>
      </c>
      <c r="E834">
        <v>8</v>
      </c>
      <c r="F834" t="e">
        <f>YEAR(C834)</f>
        <v>#VALUE!</v>
      </c>
      <c r="G834" t="e">
        <f>MONTH(C834)</f>
        <v>#VALUE!</v>
      </c>
      <c r="H834" t="e">
        <f>F834&amp;"-"&amp;G834</f>
        <v>#VALUE!</v>
      </c>
    </row>
    <row r="835">
      <c r="A835" t="s">
        <v>47</v>
      </c>
      <c r="B835" t="s">
        <v>35</v>
      </c>
      <c r="C835" t="s">
        <v>420</v>
      </c>
      <c r="D835">
        <v>55819</v>
      </c>
      <c r="E835">
        <v>8</v>
      </c>
      <c r="F835" t="e">
        <f>YEAR(C835)</f>
        <v>#VALUE!</v>
      </c>
      <c r="G835" t="e">
        <f>MONTH(C835)</f>
        <v>#VALUE!</v>
      </c>
      <c r="H835" t="e">
        <f>F835&amp;"-"&amp;G835</f>
        <v>#VALUE!</v>
      </c>
    </row>
    <row r="836">
      <c r="A836" t="s">
        <v>28</v>
      </c>
      <c r="B836" t="s">
        <v>115</v>
      </c>
      <c r="C836" t="s">
        <v>421</v>
      </c>
      <c r="D836">
        <v>70310</v>
      </c>
      <c r="E836">
        <v>7</v>
      </c>
      <c r="F836" t="e">
        <f>YEAR(C836)</f>
        <v>#VALUE!</v>
      </c>
      <c r="G836" t="e">
        <f>MONTH(C836)</f>
        <v>#VALUE!</v>
      </c>
      <c r="H836" t="e">
        <f>F836&amp;"-"&amp;G836</f>
        <v>#VALUE!</v>
      </c>
    </row>
    <row r="837">
      <c r="A837" t="s">
        <v>57</v>
      </c>
      <c r="B837" t="s">
        <v>239</v>
      </c>
      <c r="C837" t="s">
        <v>421</v>
      </c>
      <c r="D837">
        <v>84901</v>
      </c>
      <c r="E837">
        <v>9</v>
      </c>
      <c r="F837" t="e">
        <f>YEAR(C837)</f>
        <v>#VALUE!</v>
      </c>
      <c r="G837" t="e">
        <f>MONTH(C837)</f>
        <v>#VALUE!</v>
      </c>
      <c r="H837" t="e">
        <f>F837&amp;"-"&amp;G837</f>
        <v>#VALUE!</v>
      </c>
    </row>
    <row r="838">
      <c r="A838" t="s">
        <v>13</v>
      </c>
      <c r="B838" t="s">
        <v>218</v>
      </c>
      <c r="C838" t="s">
        <v>421</v>
      </c>
      <c r="D838">
        <v>47564</v>
      </c>
      <c r="E838">
        <v>5</v>
      </c>
      <c r="F838" t="e">
        <f>YEAR(C838)</f>
        <v>#VALUE!</v>
      </c>
      <c r="G838" t="e">
        <f>MONTH(C838)</f>
        <v>#VALUE!</v>
      </c>
      <c r="H838" t="e">
        <f>F838&amp;"-"&amp;G838</f>
        <v>#VALUE!</v>
      </c>
    </row>
    <row r="839">
      <c r="A839" t="s">
        <v>21</v>
      </c>
      <c r="B839" t="s">
        <v>175</v>
      </c>
      <c r="C839" t="s">
        <v>422</v>
      </c>
      <c r="D839">
        <v>82272</v>
      </c>
      <c r="E839">
        <v>2</v>
      </c>
      <c r="F839" t="e">
        <f>YEAR(C839)</f>
        <v>#VALUE!</v>
      </c>
      <c r="G839" t="e">
        <f>MONTH(C839)</f>
        <v>#VALUE!</v>
      </c>
      <c r="H839" t="e">
        <f>F839&amp;"-"&amp;G839</f>
        <v>#VALUE!</v>
      </c>
    </row>
    <row r="840">
      <c r="A840" t="s">
        <v>8</v>
      </c>
      <c r="B840" t="s">
        <v>223</v>
      </c>
      <c r="C840" t="s">
        <v>422</v>
      </c>
      <c r="D840">
        <v>69695</v>
      </c>
      <c r="E840">
        <v>6</v>
      </c>
      <c r="F840" t="e">
        <f>YEAR(C840)</f>
        <v>#VALUE!</v>
      </c>
      <c r="G840" t="e">
        <f>MONTH(C840)</f>
        <v>#VALUE!</v>
      </c>
      <c r="H840" t="e">
        <f>F840&amp;"-"&amp;G840</f>
        <v>#VALUE!</v>
      </c>
    </row>
    <row r="841">
      <c r="A841" t="s">
        <v>17</v>
      </c>
      <c r="B841" t="s">
        <v>342</v>
      </c>
      <c r="C841" t="s">
        <v>422</v>
      </c>
      <c r="D841">
        <v>31290</v>
      </c>
      <c r="E841">
        <v>3</v>
      </c>
      <c r="F841" t="e">
        <f>YEAR(C841)</f>
        <v>#VALUE!</v>
      </c>
      <c r="G841" t="e">
        <f>MONTH(C841)</f>
        <v>#VALUE!</v>
      </c>
      <c r="H841" t="e">
        <f>F841&amp;"-"&amp;G841</f>
        <v>#VALUE!</v>
      </c>
    </row>
    <row r="842">
      <c r="A842" t="s">
        <v>15</v>
      </c>
      <c r="B842" t="s">
        <v>161</v>
      </c>
      <c r="C842" t="s">
        <v>423</v>
      </c>
      <c r="D842">
        <v>13710</v>
      </c>
      <c r="E842">
        <v>5</v>
      </c>
      <c r="F842">
        <f>YEAR(C842)</f>
        <v>2024</v>
      </c>
      <c r="G842">
        <f>MONTH(C842)</f>
        <v>1</v>
      </c>
      <c r="H842" t="str">
        <f>F842&amp;"-"&amp;G842</f>
        <v>2024-1</v>
      </c>
    </row>
    <row r="843">
      <c r="A843" t="s">
        <v>24</v>
      </c>
      <c r="B843" t="s">
        <v>115</v>
      </c>
      <c r="C843" t="s">
        <v>423</v>
      </c>
      <c r="D843">
        <v>99728</v>
      </c>
      <c r="E843">
        <v>3</v>
      </c>
      <c r="F843">
        <f>YEAR(C843)</f>
        <v>2024</v>
      </c>
      <c r="G843">
        <f>MONTH(C843)</f>
        <v>1</v>
      </c>
      <c r="H843" t="str">
        <f>F843&amp;"-"&amp;G843</f>
        <v>2024-1</v>
      </c>
    </row>
    <row r="844">
      <c r="A844" t="s">
        <v>47</v>
      </c>
      <c r="B844" t="s">
        <v>69</v>
      </c>
      <c r="C844" t="s">
        <v>423</v>
      </c>
      <c r="D844">
        <v>30292</v>
      </c>
      <c r="E844">
        <v>6</v>
      </c>
      <c r="F844">
        <f>YEAR(C844)</f>
        <v>2024</v>
      </c>
      <c r="G844">
        <f>MONTH(C844)</f>
        <v>1</v>
      </c>
      <c r="H844" t="str">
        <f>F844&amp;"-"&amp;G844</f>
        <v>2024-1</v>
      </c>
    </row>
    <row r="845">
      <c r="A845" t="s">
        <v>5</v>
      </c>
      <c r="B845" t="s">
        <v>227</v>
      </c>
      <c r="C845" t="s">
        <v>424</v>
      </c>
      <c r="D845">
        <v>63093</v>
      </c>
      <c r="E845">
        <v>7</v>
      </c>
      <c r="F845">
        <f>YEAR(C845)</f>
        <v>2024</v>
      </c>
      <c r="G845">
        <f>MONTH(C845)</f>
        <v>2</v>
      </c>
      <c r="H845" t="str">
        <f>F845&amp;"-"&amp;G845</f>
        <v>2024-2</v>
      </c>
    </row>
    <row r="846">
      <c r="A846" t="s">
        <v>13</v>
      </c>
      <c r="B846" t="s">
        <v>267</v>
      </c>
      <c r="C846" t="s">
        <v>425</v>
      </c>
      <c r="D846">
        <v>83040</v>
      </c>
      <c r="E846">
        <v>6</v>
      </c>
      <c r="F846">
        <f>YEAR(C846)</f>
        <v>2024</v>
      </c>
      <c r="G846">
        <f>MONTH(C846)</f>
        <v>3</v>
      </c>
      <c r="H846" t="str">
        <f>F846&amp;"-"&amp;G846</f>
        <v>2024-3</v>
      </c>
    </row>
    <row r="847">
      <c r="A847" t="s">
        <v>28</v>
      </c>
      <c r="B847" t="s">
        <v>119</v>
      </c>
      <c r="C847" t="s">
        <v>425</v>
      </c>
      <c r="D847">
        <v>74492</v>
      </c>
      <c r="E847">
        <v>4</v>
      </c>
      <c r="F847">
        <f>YEAR(C847)</f>
        <v>2024</v>
      </c>
      <c r="G847">
        <f>MONTH(C847)</f>
        <v>3</v>
      </c>
      <c r="H847" t="str">
        <f>F847&amp;"-"&amp;G847</f>
        <v>2024-3</v>
      </c>
    </row>
    <row r="848">
      <c r="A848" t="s">
        <v>43</v>
      </c>
      <c r="B848" t="s">
        <v>208</v>
      </c>
      <c r="C848" t="s">
        <v>426</v>
      </c>
      <c r="D848">
        <v>66644</v>
      </c>
      <c r="E848">
        <v>8</v>
      </c>
      <c r="F848">
        <f>YEAR(C848)</f>
        <v>2024</v>
      </c>
      <c r="G848">
        <f>MONTH(C848)</f>
        <v>4</v>
      </c>
      <c r="H848" t="str">
        <f>F848&amp;"-"&amp;G848</f>
        <v>2024-4</v>
      </c>
    </row>
    <row r="849">
      <c r="A849" t="s">
        <v>17</v>
      </c>
      <c r="B849" t="s">
        <v>158</v>
      </c>
      <c r="C849" t="s">
        <v>427</v>
      </c>
      <c r="D849">
        <v>54935</v>
      </c>
      <c r="E849">
        <v>7</v>
      </c>
      <c r="F849">
        <f>YEAR(C849)</f>
        <v>2024</v>
      </c>
      <c r="G849">
        <f>MONTH(C849)</f>
        <v>5</v>
      </c>
      <c r="H849" t="str">
        <f>F849&amp;"-"&amp;G849</f>
        <v>2024-5</v>
      </c>
    </row>
    <row r="850">
      <c r="A850" t="s">
        <v>5</v>
      </c>
      <c r="B850" t="s">
        <v>254</v>
      </c>
      <c r="C850" t="s">
        <v>427</v>
      </c>
      <c r="D850">
        <v>95620</v>
      </c>
      <c r="E850">
        <v>5</v>
      </c>
      <c r="F850">
        <f>YEAR(C850)</f>
        <v>2024</v>
      </c>
      <c r="G850">
        <f>MONTH(C850)</f>
        <v>5</v>
      </c>
      <c r="H850" t="str">
        <f>F850&amp;"-"&amp;G850</f>
        <v>2024-5</v>
      </c>
    </row>
    <row r="851">
      <c r="A851" t="s">
        <v>43</v>
      </c>
      <c r="B851" t="s">
        <v>67</v>
      </c>
      <c r="C851" t="s">
        <v>427</v>
      </c>
      <c r="D851">
        <v>89986</v>
      </c>
      <c r="E851">
        <v>9</v>
      </c>
      <c r="F851">
        <f>YEAR(C851)</f>
        <v>2024</v>
      </c>
      <c r="G851">
        <f>MONTH(C851)</f>
        <v>5</v>
      </c>
      <c r="H851" t="str">
        <f>F851&amp;"-"&amp;G851</f>
        <v>2024-5</v>
      </c>
    </row>
    <row r="852">
      <c r="A852" t="s">
        <v>21</v>
      </c>
      <c r="B852" t="s">
        <v>80</v>
      </c>
      <c r="C852" t="s">
        <v>427</v>
      </c>
      <c r="D852">
        <v>97393</v>
      </c>
      <c r="E852">
        <v>8</v>
      </c>
      <c r="F852">
        <f>YEAR(C852)</f>
        <v>2024</v>
      </c>
      <c r="G852">
        <f>MONTH(C852)</f>
        <v>5</v>
      </c>
      <c r="H852" t="str">
        <f>F852&amp;"-"&amp;G852</f>
        <v>2024-5</v>
      </c>
    </row>
    <row r="853">
      <c r="A853" t="s">
        <v>47</v>
      </c>
      <c r="B853" t="s">
        <v>65</v>
      </c>
      <c r="C853" t="s">
        <v>428</v>
      </c>
      <c r="D853">
        <v>13878</v>
      </c>
      <c r="E853">
        <v>6</v>
      </c>
      <c r="F853">
        <f>YEAR(C853)</f>
        <v>2024</v>
      </c>
      <c r="G853">
        <f>MONTH(C853)</f>
        <v>8</v>
      </c>
      <c r="H853" t="str">
        <f>F853&amp;"-"&amp;G853</f>
        <v>2024-8</v>
      </c>
    </row>
    <row r="854">
      <c r="A854" t="s">
        <v>13</v>
      </c>
      <c r="B854" t="s">
        <v>222</v>
      </c>
      <c r="C854" t="s">
        <v>428</v>
      </c>
      <c r="D854">
        <v>90496</v>
      </c>
      <c r="E854">
        <v>7</v>
      </c>
      <c r="F854">
        <f>YEAR(C854)</f>
        <v>2024</v>
      </c>
      <c r="G854">
        <f>MONTH(C854)</f>
        <v>8</v>
      </c>
      <c r="H854" t="str">
        <f>F854&amp;"-"&amp;G854</f>
        <v>2024-8</v>
      </c>
    </row>
    <row r="855">
      <c r="A855" t="s">
        <v>21</v>
      </c>
      <c r="B855" t="s">
        <v>154</v>
      </c>
      <c r="C855" t="s">
        <v>428</v>
      </c>
      <c r="D855">
        <v>79306</v>
      </c>
      <c r="E855">
        <v>9</v>
      </c>
      <c r="F855">
        <f>YEAR(C855)</f>
        <v>2024</v>
      </c>
      <c r="G855">
        <f>MONTH(C855)</f>
        <v>8</v>
      </c>
      <c r="H855" t="str">
        <f>F855&amp;"-"&amp;G855</f>
        <v>2024-8</v>
      </c>
    </row>
    <row r="856">
      <c r="A856" t="s">
        <v>28</v>
      </c>
      <c r="B856" t="s">
        <v>299</v>
      </c>
      <c r="C856" t="s">
        <v>428</v>
      </c>
      <c r="D856">
        <v>69635</v>
      </c>
      <c r="E856">
        <v>8</v>
      </c>
      <c r="F856">
        <f>YEAR(C856)</f>
        <v>2024</v>
      </c>
      <c r="G856">
        <f>MONTH(C856)</f>
        <v>8</v>
      </c>
      <c r="H856" t="str">
        <f>F856&amp;"-"&amp;G856</f>
        <v>2024-8</v>
      </c>
    </row>
    <row r="857">
      <c r="A857" t="s">
        <v>21</v>
      </c>
      <c r="B857" t="s">
        <v>254</v>
      </c>
      <c r="C857" t="s">
        <v>428</v>
      </c>
      <c r="D857">
        <v>61033</v>
      </c>
      <c r="E857">
        <v>4</v>
      </c>
      <c r="F857">
        <f>YEAR(C857)</f>
        <v>2024</v>
      </c>
      <c r="G857">
        <f>MONTH(C857)</f>
        <v>8</v>
      </c>
      <c r="H857" t="str">
        <f>F857&amp;"-"&amp;G857</f>
        <v>2024-8</v>
      </c>
    </row>
    <row r="858">
      <c r="A858" t="s">
        <v>5</v>
      </c>
      <c r="B858" t="s">
        <v>178</v>
      </c>
      <c r="C858" t="s">
        <v>428</v>
      </c>
      <c r="D858">
        <v>78795</v>
      </c>
      <c r="E858">
        <v>7</v>
      </c>
      <c r="F858">
        <f>YEAR(C858)</f>
        <v>2024</v>
      </c>
      <c r="G858">
        <f>MONTH(C858)</f>
        <v>8</v>
      </c>
      <c r="H858" t="str">
        <f>F858&amp;"-"&amp;G858</f>
        <v>2024-8</v>
      </c>
    </row>
    <row r="859">
      <c r="A859" t="s">
        <v>8</v>
      </c>
      <c r="B859" t="s">
        <v>168</v>
      </c>
      <c r="C859" t="s">
        <v>428</v>
      </c>
      <c r="D859">
        <v>47222</v>
      </c>
      <c r="E859">
        <v>6</v>
      </c>
      <c r="F859">
        <f>YEAR(C859)</f>
        <v>2024</v>
      </c>
      <c r="G859">
        <f>MONTH(C859)</f>
        <v>8</v>
      </c>
      <c r="H859" t="str">
        <f>F859&amp;"-"&amp;G859</f>
        <v>2024-8</v>
      </c>
    </row>
    <row r="860">
      <c r="A860" t="s">
        <v>13</v>
      </c>
      <c r="B860" t="s">
        <v>171</v>
      </c>
      <c r="C860" t="s">
        <v>428</v>
      </c>
      <c r="D860">
        <v>94680</v>
      </c>
      <c r="E860">
        <v>8</v>
      </c>
      <c r="F860">
        <f>YEAR(C860)</f>
        <v>2024</v>
      </c>
      <c r="G860">
        <f>MONTH(C860)</f>
        <v>8</v>
      </c>
      <c r="H860" t="str">
        <f>F860&amp;"-"&amp;G860</f>
        <v>2024-8</v>
      </c>
    </row>
    <row r="861">
      <c r="A861" t="s">
        <v>5</v>
      </c>
      <c r="B861" t="s">
        <v>246</v>
      </c>
      <c r="C861" t="s">
        <v>429</v>
      </c>
      <c r="D861">
        <v>91852</v>
      </c>
      <c r="E861">
        <v>5</v>
      </c>
      <c r="F861">
        <f>YEAR(C861)</f>
        <v>2024</v>
      </c>
      <c r="G861">
        <f>MONTH(C861)</f>
        <v>9</v>
      </c>
      <c r="H861" t="str">
        <f>F861&amp;"-"&amp;G861</f>
        <v>2024-9</v>
      </c>
    </row>
    <row r="862">
      <c r="A862" t="s">
        <v>47</v>
      </c>
      <c r="B862" t="s">
        <v>185</v>
      </c>
      <c r="C862" t="s">
        <v>430</v>
      </c>
      <c r="D862">
        <v>44683</v>
      </c>
      <c r="E862">
        <v>4</v>
      </c>
      <c r="F862">
        <f>YEAR(C862)</f>
        <v>2024</v>
      </c>
      <c r="G862">
        <f>MONTH(C862)</f>
        <v>10</v>
      </c>
      <c r="H862" t="str">
        <f>F862&amp;"-"&amp;G862</f>
        <v>2024-10</v>
      </c>
    </row>
    <row r="863">
      <c r="A863" t="s">
        <v>11</v>
      </c>
      <c r="B863" t="s">
        <v>241</v>
      </c>
      <c r="C863" t="s">
        <v>430</v>
      </c>
      <c r="D863">
        <v>67846</v>
      </c>
      <c r="E863">
        <v>9</v>
      </c>
      <c r="F863">
        <f>YEAR(C863)</f>
        <v>2024</v>
      </c>
      <c r="G863">
        <f>MONTH(C863)</f>
        <v>10</v>
      </c>
      <c r="H863" t="str">
        <f>F863&amp;"-"&amp;G863</f>
        <v>2024-10</v>
      </c>
    </row>
    <row r="864">
      <c r="A864" t="s">
        <v>21</v>
      </c>
      <c r="B864" t="s">
        <v>16</v>
      </c>
      <c r="C864" t="s">
        <v>430</v>
      </c>
      <c r="D864">
        <v>58869</v>
      </c>
      <c r="E864">
        <v>4</v>
      </c>
      <c r="F864">
        <f>YEAR(C864)</f>
        <v>2024</v>
      </c>
      <c r="G864">
        <f>MONTH(C864)</f>
        <v>10</v>
      </c>
      <c r="H864" t="str">
        <f>F864&amp;"-"&amp;G864</f>
        <v>2024-10</v>
      </c>
    </row>
    <row r="865">
      <c r="A865" t="s">
        <v>21</v>
      </c>
      <c r="B865" t="s">
        <v>144</v>
      </c>
      <c r="C865" t="s">
        <v>430</v>
      </c>
      <c r="D865">
        <v>98473</v>
      </c>
      <c r="E865">
        <v>7</v>
      </c>
      <c r="F865">
        <f>YEAR(C865)</f>
        <v>2024</v>
      </c>
      <c r="G865">
        <f>MONTH(C865)</f>
        <v>10</v>
      </c>
      <c r="H865" t="str">
        <f>F865&amp;"-"&amp;G865</f>
        <v>2024-10</v>
      </c>
    </row>
    <row r="866">
      <c r="A866" t="s">
        <v>5</v>
      </c>
      <c r="B866" t="s">
        <v>39</v>
      </c>
      <c r="C866" t="s">
        <v>430</v>
      </c>
      <c r="D866">
        <v>99120</v>
      </c>
      <c r="E866">
        <v>7</v>
      </c>
      <c r="F866">
        <f>YEAR(C866)</f>
        <v>2024</v>
      </c>
      <c r="G866">
        <f>MONTH(C866)</f>
        <v>10</v>
      </c>
      <c r="H866" t="str">
        <f>F866&amp;"-"&amp;G866</f>
        <v>2024-10</v>
      </c>
    </row>
    <row r="867">
      <c r="A867" t="s">
        <v>8</v>
      </c>
      <c r="B867" t="s">
        <v>93</v>
      </c>
      <c r="C867" t="s">
        <v>430</v>
      </c>
      <c r="D867">
        <v>83194</v>
      </c>
      <c r="E867">
        <v>7</v>
      </c>
      <c r="F867">
        <f>YEAR(C867)</f>
        <v>2024</v>
      </c>
      <c r="G867">
        <f>MONTH(C867)</f>
        <v>10</v>
      </c>
      <c r="H867" t="str">
        <f>F867&amp;"-"&amp;G867</f>
        <v>2024-10</v>
      </c>
    </row>
    <row r="868">
      <c r="A868" t="s">
        <v>28</v>
      </c>
      <c r="B868" t="s">
        <v>20</v>
      </c>
      <c r="C868" t="s">
        <v>431</v>
      </c>
      <c r="D868">
        <v>79521</v>
      </c>
      <c r="E868">
        <v>8</v>
      </c>
      <c r="F868">
        <f>YEAR(C868)</f>
        <v>2024</v>
      </c>
      <c r="G868">
        <f>MONTH(C868)</f>
        <v>11</v>
      </c>
      <c r="H868" t="str">
        <f>F868&amp;"-"&amp;G868</f>
        <v>2024-11</v>
      </c>
    </row>
    <row r="869">
      <c r="A869" t="s">
        <v>15</v>
      </c>
      <c r="B869" t="s">
        <v>142</v>
      </c>
      <c r="C869" t="s">
        <v>432</v>
      </c>
      <c r="D869">
        <v>97020</v>
      </c>
      <c r="E869">
        <v>5</v>
      </c>
      <c r="F869">
        <f>YEAR(C869)</f>
        <v>2024</v>
      </c>
      <c r="G869">
        <f>MONTH(C869)</f>
        <v>12</v>
      </c>
      <c r="H869" t="str">
        <f>F869&amp;"-"&amp;G869</f>
        <v>2024-12</v>
      </c>
    </row>
    <row r="870">
      <c r="A870" t="s">
        <v>11</v>
      </c>
      <c r="B870" t="s">
        <v>239</v>
      </c>
      <c r="C870" t="s">
        <v>432</v>
      </c>
      <c r="D870">
        <v>26445</v>
      </c>
      <c r="E870">
        <v>8</v>
      </c>
      <c r="F870">
        <f>YEAR(C870)</f>
        <v>2024</v>
      </c>
      <c r="G870">
        <f>MONTH(C870)</f>
        <v>12</v>
      </c>
      <c r="H870" t="str">
        <f>F870&amp;"-"&amp;G870</f>
        <v>2024-12</v>
      </c>
    </row>
    <row r="871">
      <c r="A871" t="s">
        <v>21</v>
      </c>
      <c r="B871" t="s">
        <v>93</v>
      </c>
      <c r="C871" t="s">
        <v>432</v>
      </c>
      <c r="D871">
        <v>23534</v>
      </c>
      <c r="E871">
        <v>5</v>
      </c>
      <c r="F871">
        <f>YEAR(C871)</f>
        <v>2024</v>
      </c>
      <c r="G871">
        <f>MONTH(C871)</f>
        <v>12</v>
      </c>
      <c r="H871" t="str">
        <f>F871&amp;"-"&amp;G871</f>
        <v>2024-12</v>
      </c>
    </row>
    <row r="872">
      <c r="A872" t="s">
        <v>8</v>
      </c>
      <c r="B872" t="s">
        <v>234</v>
      </c>
      <c r="C872" t="s">
        <v>432</v>
      </c>
      <c r="D872">
        <v>57036</v>
      </c>
      <c r="E872">
        <v>7</v>
      </c>
      <c r="F872">
        <f>YEAR(C872)</f>
        <v>2024</v>
      </c>
      <c r="G872">
        <f>MONTH(C872)</f>
        <v>12</v>
      </c>
      <c r="H872" t="str">
        <f>F872&amp;"-"&amp;G872</f>
        <v>2024-12</v>
      </c>
    </row>
    <row r="873">
      <c r="A873" t="s">
        <v>15</v>
      </c>
      <c r="B873" t="s">
        <v>135</v>
      </c>
      <c r="C873" t="s">
        <v>432</v>
      </c>
      <c r="D873">
        <v>60237</v>
      </c>
      <c r="E873">
        <v>9</v>
      </c>
      <c r="F873">
        <f>YEAR(C873)</f>
        <v>2024</v>
      </c>
      <c r="G873">
        <f>MONTH(C873)</f>
        <v>12</v>
      </c>
      <c r="H873" t="str">
        <f>F873&amp;"-"&amp;G873</f>
        <v>2024-12</v>
      </c>
    </row>
    <row r="874">
      <c r="A874" t="s">
        <v>13</v>
      </c>
      <c r="B874" t="s">
        <v>149</v>
      </c>
      <c r="C874" t="s">
        <v>433</v>
      </c>
      <c r="D874">
        <v>74021</v>
      </c>
      <c r="E874">
        <v>4</v>
      </c>
      <c r="F874" t="e">
        <f>YEAR(C874)</f>
        <v>#VALUE!</v>
      </c>
      <c r="G874" t="e">
        <f>MONTH(C874)</f>
        <v>#VALUE!</v>
      </c>
      <c r="H874" t="e">
        <f>F874&amp;"-"&amp;G874</f>
        <v>#VALUE!</v>
      </c>
    </row>
    <row r="875">
      <c r="A875" t="s">
        <v>57</v>
      </c>
      <c r="B875" t="s">
        <v>172</v>
      </c>
      <c r="C875" t="s">
        <v>433</v>
      </c>
      <c r="D875">
        <v>55590</v>
      </c>
      <c r="E875">
        <v>7</v>
      </c>
      <c r="F875" t="e">
        <f>YEAR(C875)</f>
        <v>#VALUE!</v>
      </c>
      <c r="G875" t="e">
        <f>MONTH(C875)</f>
        <v>#VALUE!</v>
      </c>
      <c r="H875" t="e">
        <f>F875&amp;"-"&amp;G875</f>
        <v>#VALUE!</v>
      </c>
    </row>
    <row r="876">
      <c r="A876" t="s">
        <v>21</v>
      </c>
      <c r="B876" t="s">
        <v>196</v>
      </c>
      <c r="C876" t="s">
        <v>433</v>
      </c>
      <c r="D876">
        <v>66401</v>
      </c>
      <c r="E876">
        <v>8</v>
      </c>
      <c r="F876" t="e">
        <f>YEAR(C876)</f>
        <v>#VALUE!</v>
      </c>
      <c r="G876" t="e">
        <f>MONTH(C876)</f>
        <v>#VALUE!</v>
      </c>
      <c r="H876" t="e">
        <f>F876&amp;"-"&amp;G876</f>
        <v>#VALUE!</v>
      </c>
    </row>
    <row r="877">
      <c r="A877" t="s">
        <v>15</v>
      </c>
      <c r="B877" t="s">
        <v>96</v>
      </c>
      <c r="C877" t="s">
        <v>433</v>
      </c>
      <c r="D877">
        <v>20327</v>
      </c>
      <c r="E877">
        <v>9</v>
      </c>
      <c r="F877" t="e">
        <f>YEAR(C877)</f>
        <v>#VALUE!</v>
      </c>
      <c r="G877" t="e">
        <f>MONTH(C877)</f>
        <v>#VALUE!</v>
      </c>
      <c r="H877" t="e">
        <f>F877&amp;"-"&amp;G877</f>
        <v>#VALUE!</v>
      </c>
    </row>
    <row r="878">
      <c r="A878" t="s">
        <v>28</v>
      </c>
      <c r="B878" t="s">
        <v>103</v>
      </c>
      <c r="C878" t="s">
        <v>433</v>
      </c>
      <c r="D878">
        <v>73203</v>
      </c>
      <c r="E878">
        <v>8</v>
      </c>
      <c r="F878" t="e">
        <f>YEAR(C878)</f>
        <v>#VALUE!</v>
      </c>
      <c r="G878" t="e">
        <f>MONTH(C878)</f>
        <v>#VALUE!</v>
      </c>
      <c r="H878" t="e">
        <f>F878&amp;"-"&amp;G878</f>
        <v>#VALUE!</v>
      </c>
    </row>
    <row r="879">
      <c r="A879" t="s">
        <v>21</v>
      </c>
      <c r="B879" t="s">
        <v>256</v>
      </c>
      <c r="C879" t="s">
        <v>433</v>
      </c>
      <c r="D879">
        <v>10623</v>
      </c>
      <c r="E879">
        <v>8</v>
      </c>
      <c r="F879" t="e">
        <f>YEAR(C879)</f>
        <v>#VALUE!</v>
      </c>
      <c r="G879" t="e">
        <f>MONTH(C879)</f>
        <v>#VALUE!</v>
      </c>
      <c r="H879" t="e">
        <f>F879&amp;"-"&amp;G879</f>
        <v>#VALUE!</v>
      </c>
    </row>
    <row r="880">
      <c r="A880" t="s">
        <v>24</v>
      </c>
      <c r="B880" t="s">
        <v>215</v>
      </c>
      <c r="C880" t="s">
        <v>433</v>
      </c>
      <c r="D880">
        <v>57033</v>
      </c>
      <c r="E880">
        <v>5</v>
      </c>
      <c r="F880" t="e">
        <f>YEAR(C880)</f>
        <v>#VALUE!</v>
      </c>
      <c r="G880" t="e">
        <f>MONTH(C880)</f>
        <v>#VALUE!</v>
      </c>
      <c r="H880" t="e">
        <f>F880&amp;"-"&amp;G880</f>
        <v>#VALUE!</v>
      </c>
    </row>
    <row r="881">
      <c r="A881" t="s">
        <v>21</v>
      </c>
      <c r="B881" t="s">
        <v>209</v>
      </c>
      <c r="C881" t="s">
        <v>433</v>
      </c>
      <c r="D881">
        <v>35498</v>
      </c>
      <c r="E881">
        <v>3</v>
      </c>
      <c r="F881" t="e">
        <f>YEAR(C881)</f>
        <v>#VALUE!</v>
      </c>
      <c r="G881" t="e">
        <f>MONTH(C881)</f>
        <v>#VALUE!</v>
      </c>
      <c r="H881" t="e">
        <f>F881&amp;"-"&amp;G881</f>
        <v>#VALUE!</v>
      </c>
    </row>
    <row r="882">
      <c r="A882" t="s">
        <v>28</v>
      </c>
      <c r="B882" t="s">
        <v>61</v>
      </c>
      <c r="C882" t="s">
        <v>433</v>
      </c>
      <c r="D882">
        <v>19608</v>
      </c>
      <c r="E882">
        <v>8</v>
      </c>
      <c r="F882" t="e">
        <f>YEAR(C882)</f>
        <v>#VALUE!</v>
      </c>
      <c r="G882" t="e">
        <f>MONTH(C882)</f>
        <v>#VALUE!</v>
      </c>
      <c r="H882" t="e">
        <f>F882&amp;"-"&amp;G882</f>
        <v>#VALUE!</v>
      </c>
    </row>
    <row r="883">
      <c r="A883" t="s">
        <v>11</v>
      </c>
      <c r="B883" t="s">
        <v>239</v>
      </c>
      <c r="C883" t="s">
        <v>434</v>
      </c>
      <c r="D883">
        <v>45229</v>
      </c>
      <c r="E883">
        <v>8</v>
      </c>
      <c r="F883" t="e">
        <f>YEAR(C883)</f>
        <v>#VALUE!</v>
      </c>
      <c r="G883" t="e">
        <f>MONTH(C883)</f>
        <v>#VALUE!</v>
      </c>
      <c r="H883" t="e">
        <f>F883&amp;"-"&amp;G883</f>
        <v>#VALUE!</v>
      </c>
    </row>
    <row r="884">
      <c r="A884" t="s">
        <v>17</v>
      </c>
      <c r="B884" t="s">
        <v>41</v>
      </c>
      <c r="C884" t="s">
        <v>434</v>
      </c>
      <c r="D884">
        <v>24411</v>
      </c>
      <c r="E884">
        <v>7</v>
      </c>
      <c r="F884" t="e">
        <f>YEAR(C884)</f>
        <v>#VALUE!</v>
      </c>
      <c r="G884" t="e">
        <f>MONTH(C884)</f>
        <v>#VALUE!</v>
      </c>
      <c r="H884" t="e">
        <f>F884&amp;"-"&amp;G884</f>
        <v>#VALUE!</v>
      </c>
    </row>
    <row r="885">
      <c r="A885" t="s">
        <v>47</v>
      </c>
      <c r="B885" t="s">
        <v>63</v>
      </c>
      <c r="C885" t="s">
        <v>435</v>
      </c>
      <c r="D885">
        <v>79170</v>
      </c>
      <c r="E885">
        <v>6</v>
      </c>
      <c r="F885" t="e">
        <f>YEAR(C885)</f>
        <v>#VALUE!</v>
      </c>
      <c r="G885" t="e">
        <f>MONTH(C885)</f>
        <v>#VALUE!</v>
      </c>
      <c r="H885" t="e">
        <f>F885&amp;"-"&amp;G885</f>
        <v>#VALUE!</v>
      </c>
    </row>
    <row r="886">
      <c r="A886" t="s">
        <v>8</v>
      </c>
      <c r="B886" t="s">
        <v>98</v>
      </c>
      <c r="C886" t="s">
        <v>436</v>
      </c>
      <c r="D886">
        <v>87825</v>
      </c>
      <c r="E886">
        <v>7</v>
      </c>
      <c r="F886" t="e">
        <f>YEAR(C886)</f>
        <v>#VALUE!</v>
      </c>
      <c r="G886" t="e">
        <f>MONTH(C886)</f>
        <v>#VALUE!</v>
      </c>
      <c r="H886" t="e">
        <f>F886&amp;"-"&amp;G886</f>
        <v>#VALUE!</v>
      </c>
    </row>
    <row r="887">
      <c r="A887" t="s">
        <v>17</v>
      </c>
      <c r="B887" t="s">
        <v>102</v>
      </c>
      <c r="C887" t="s">
        <v>437</v>
      </c>
      <c r="D887">
        <v>27253</v>
      </c>
      <c r="E887">
        <v>9</v>
      </c>
      <c r="F887" t="e">
        <f>YEAR(C887)</f>
        <v>#VALUE!</v>
      </c>
      <c r="G887" t="e">
        <f>MONTH(C887)</f>
        <v>#VALUE!</v>
      </c>
      <c r="H887" t="e">
        <f>F887&amp;"-"&amp;G887</f>
        <v>#VALUE!</v>
      </c>
    </row>
    <row r="888">
      <c r="A888" t="s">
        <v>15</v>
      </c>
      <c r="B888" t="s">
        <v>257</v>
      </c>
      <c r="C888" t="s">
        <v>437</v>
      </c>
      <c r="D888">
        <v>92005</v>
      </c>
      <c r="E888">
        <v>6</v>
      </c>
      <c r="F888" t="e">
        <f>YEAR(C888)</f>
        <v>#VALUE!</v>
      </c>
      <c r="G888" t="e">
        <f>MONTH(C888)</f>
        <v>#VALUE!</v>
      </c>
      <c r="H888" t="e">
        <f>F888&amp;"-"&amp;G888</f>
        <v>#VALUE!</v>
      </c>
    </row>
    <row r="889">
      <c r="A889" t="s">
        <v>13</v>
      </c>
      <c r="B889" t="s">
        <v>138</v>
      </c>
      <c r="C889" t="s">
        <v>437</v>
      </c>
      <c r="D889">
        <v>17515</v>
      </c>
      <c r="E889">
        <v>3</v>
      </c>
      <c r="F889" t="e">
        <f>YEAR(C889)</f>
        <v>#VALUE!</v>
      </c>
      <c r="G889" t="e">
        <f>MONTH(C889)</f>
        <v>#VALUE!</v>
      </c>
      <c r="H889" t="e">
        <f>F889&amp;"-"&amp;G889</f>
        <v>#VALUE!</v>
      </c>
    </row>
    <row r="890">
      <c r="A890" t="s">
        <v>17</v>
      </c>
      <c r="B890" t="s">
        <v>284</v>
      </c>
      <c r="C890" t="s">
        <v>437</v>
      </c>
      <c r="D890">
        <v>54900</v>
      </c>
      <c r="E890">
        <v>7</v>
      </c>
      <c r="F890" t="e">
        <f>YEAR(C890)</f>
        <v>#VALUE!</v>
      </c>
      <c r="G890" t="e">
        <f>MONTH(C890)</f>
        <v>#VALUE!</v>
      </c>
      <c r="H890" t="e">
        <f>F890&amp;"-"&amp;G890</f>
        <v>#VALUE!</v>
      </c>
    </row>
    <row r="891">
      <c r="A891" t="s">
        <v>24</v>
      </c>
      <c r="B891" t="s">
        <v>383</v>
      </c>
      <c r="C891" t="s">
        <v>437</v>
      </c>
      <c r="D891">
        <v>16773</v>
      </c>
      <c r="E891">
        <v>8</v>
      </c>
      <c r="F891" t="e">
        <f>YEAR(C891)</f>
        <v>#VALUE!</v>
      </c>
      <c r="G891" t="e">
        <f>MONTH(C891)</f>
        <v>#VALUE!</v>
      </c>
      <c r="H891" t="e">
        <f>F891&amp;"-"&amp;G891</f>
        <v>#VALUE!</v>
      </c>
    </row>
    <row r="892">
      <c r="A892" t="s">
        <v>47</v>
      </c>
      <c r="B892" t="s">
        <v>140</v>
      </c>
      <c r="C892" t="s">
        <v>437</v>
      </c>
      <c r="D892">
        <v>58506</v>
      </c>
      <c r="E892">
        <v>8</v>
      </c>
      <c r="F892" t="e">
        <f>YEAR(C892)</f>
        <v>#VALUE!</v>
      </c>
      <c r="G892" t="e">
        <f>MONTH(C892)</f>
        <v>#VALUE!</v>
      </c>
      <c r="H892" t="e">
        <f>F892&amp;"-"&amp;G892</f>
        <v>#VALUE!</v>
      </c>
    </row>
    <row r="893">
      <c r="A893" t="s">
        <v>13</v>
      </c>
      <c r="B893" t="s">
        <v>73</v>
      </c>
      <c r="C893" t="s">
        <v>437</v>
      </c>
      <c r="D893">
        <v>95335</v>
      </c>
      <c r="E893">
        <v>4</v>
      </c>
      <c r="F893" t="e">
        <f>YEAR(C893)</f>
        <v>#VALUE!</v>
      </c>
      <c r="G893" t="e">
        <f>MONTH(C893)</f>
        <v>#VALUE!</v>
      </c>
      <c r="H893" t="e">
        <f>F893&amp;"-"&amp;G893</f>
        <v>#VALUE!</v>
      </c>
    </row>
    <row r="894">
      <c r="A894" t="s">
        <v>43</v>
      </c>
      <c r="B894" t="s">
        <v>265</v>
      </c>
      <c r="C894" t="s">
        <v>437</v>
      </c>
      <c r="D894">
        <v>93427</v>
      </c>
      <c r="E894">
        <v>7</v>
      </c>
      <c r="F894" t="e">
        <f>YEAR(C894)</f>
        <v>#VALUE!</v>
      </c>
      <c r="G894" t="e">
        <f>MONTH(C894)</f>
        <v>#VALUE!</v>
      </c>
      <c r="H894" t="e">
        <f>F894&amp;"-"&amp;G894</f>
        <v>#VALUE!</v>
      </c>
    </row>
    <row r="895">
      <c r="A895" t="s">
        <v>13</v>
      </c>
      <c r="B895" t="s">
        <v>14</v>
      </c>
      <c r="C895" t="s">
        <v>437</v>
      </c>
      <c r="D895">
        <v>57822</v>
      </c>
      <c r="E895">
        <v>3</v>
      </c>
      <c r="F895" t="e">
        <f>YEAR(C895)</f>
        <v>#VALUE!</v>
      </c>
      <c r="G895" t="e">
        <f>MONTH(C895)</f>
        <v>#VALUE!</v>
      </c>
      <c r="H895" t="e">
        <f>F895&amp;"-"&amp;G895</f>
        <v>#VALUE!</v>
      </c>
    </row>
    <row r="896">
      <c r="A896" t="s">
        <v>11</v>
      </c>
      <c r="B896" t="s">
        <v>160</v>
      </c>
      <c r="C896" t="s">
        <v>437</v>
      </c>
      <c r="D896">
        <v>13385</v>
      </c>
      <c r="E896">
        <v>8</v>
      </c>
      <c r="F896" t="e">
        <f>YEAR(C896)</f>
        <v>#VALUE!</v>
      </c>
      <c r="G896" t="e">
        <f>MONTH(C896)</f>
        <v>#VALUE!</v>
      </c>
      <c r="H896" t="e">
        <f>F896&amp;"-"&amp;G896</f>
        <v>#VALUE!</v>
      </c>
    </row>
    <row r="897">
      <c r="A897" t="s">
        <v>8</v>
      </c>
      <c r="B897" t="s">
        <v>272</v>
      </c>
      <c r="C897" t="s">
        <v>438</v>
      </c>
      <c r="D897">
        <v>35600</v>
      </c>
      <c r="E897">
        <v>6</v>
      </c>
      <c r="F897" t="e">
        <f>YEAR(C897)</f>
        <v>#VALUE!</v>
      </c>
      <c r="G897" t="e">
        <f>MONTH(C897)</f>
        <v>#VALUE!</v>
      </c>
      <c r="H897" t="e">
        <f>F897&amp;"-"&amp;G897</f>
        <v>#VALUE!</v>
      </c>
    </row>
    <row r="898">
      <c r="A898" t="s">
        <v>13</v>
      </c>
      <c r="B898" t="s">
        <v>192</v>
      </c>
      <c r="C898" t="s">
        <v>438</v>
      </c>
      <c r="D898">
        <v>49106</v>
      </c>
      <c r="E898">
        <v>7</v>
      </c>
      <c r="F898" t="e">
        <f>YEAR(C898)</f>
        <v>#VALUE!</v>
      </c>
      <c r="G898" t="e">
        <f>MONTH(C898)</f>
        <v>#VALUE!</v>
      </c>
      <c r="H898" t="e">
        <f>F898&amp;"-"&amp;G898</f>
        <v>#VALUE!</v>
      </c>
    </row>
    <row r="899">
      <c r="A899" t="s">
        <v>43</v>
      </c>
      <c r="B899" t="s">
        <v>291</v>
      </c>
      <c r="C899" t="s">
        <v>439</v>
      </c>
      <c r="D899">
        <v>48296</v>
      </c>
      <c r="E899">
        <v>10</v>
      </c>
      <c r="F899" t="e">
        <f>YEAR(C899)</f>
        <v>#VALUE!</v>
      </c>
      <c r="G899" t="e">
        <f>MONTH(C899)</f>
        <v>#VALUE!</v>
      </c>
      <c r="H899" t="e">
        <f>F899&amp;"-"&amp;G899</f>
        <v>#VALUE!</v>
      </c>
    </row>
    <row r="900">
      <c r="A900" t="s">
        <v>43</v>
      </c>
      <c r="B900" t="s">
        <v>56</v>
      </c>
      <c r="C900" t="s">
        <v>439</v>
      </c>
      <c r="D900">
        <v>48796</v>
      </c>
      <c r="E900">
        <v>8</v>
      </c>
      <c r="F900" t="e">
        <f>YEAR(C900)</f>
        <v>#VALUE!</v>
      </c>
      <c r="G900" t="e">
        <f>MONTH(C900)</f>
        <v>#VALUE!</v>
      </c>
      <c r="H900" t="e">
        <f>F900&amp;"-"&amp;G900</f>
        <v>#VALUE!</v>
      </c>
    </row>
    <row r="901">
      <c r="A901" t="s">
        <v>47</v>
      </c>
      <c r="B901" t="s">
        <v>273</v>
      </c>
      <c r="C901" t="s">
        <v>439</v>
      </c>
      <c r="D901">
        <v>20082</v>
      </c>
      <c r="E901">
        <v>4</v>
      </c>
      <c r="F901" t="e">
        <f>YEAR(C901)</f>
        <v>#VALUE!</v>
      </c>
      <c r="G901" t="e">
        <f>MONTH(C901)</f>
        <v>#VALUE!</v>
      </c>
      <c r="H901" t="e">
        <f>F901&amp;"-"&amp;G901</f>
        <v>#VALUE!</v>
      </c>
    </row>
    <row r="902">
      <c r="A902" t="s">
        <v>57</v>
      </c>
      <c r="B902" t="s">
        <v>190</v>
      </c>
      <c r="C902" t="s">
        <v>440</v>
      </c>
      <c r="D902">
        <v>59374</v>
      </c>
      <c r="E902">
        <v>0</v>
      </c>
      <c r="F902" t="e">
        <f>YEAR(C902)</f>
        <v>#VALUE!</v>
      </c>
      <c r="G902" t="e">
        <f>MONTH(C902)</f>
        <v>#VALUE!</v>
      </c>
      <c r="H902" t="e">
        <f>F902&amp;"-"&amp;G902</f>
        <v>#VALUE!</v>
      </c>
    </row>
    <row r="903">
      <c r="A903" t="s">
        <v>57</v>
      </c>
      <c r="B903" t="s">
        <v>91</v>
      </c>
      <c r="C903" t="s">
        <v>440</v>
      </c>
      <c r="D903">
        <v>21862</v>
      </c>
      <c r="E903">
        <v>7</v>
      </c>
      <c r="F903" t="e">
        <f>YEAR(C903)</f>
        <v>#VALUE!</v>
      </c>
      <c r="G903" t="e">
        <f>MONTH(C903)</f>
        <v>#VALUE!</v>
      </c>
      <c r="H903" t="e">
        <f>F903&amp;"-"&amp;G903</f>
        <v>#VALUE!</v>
      </c>
    </row>
    <row r="904">
      <c r="A904" t="s">
        <v>15</v>
      </c>
      <c r="B904" t="s">
        <v>177</v>
      </c>
      <c r="C904" t="s">
        <v>441</v>
      </c>
      <c r="D904">
        <v>56210</v>
      </c>
      <c r="E904">
        <v>7</v>
      </c>
      <c r="F904" t="e">
        <f>YEAR(C904)</f>
        <v>#VALUE!</v>
      </c>
      <c r="G904" t="e">
        <f>MONTH(C904)</f>
        <v>#VALUE!</v>
      </c>
      <c r="H904" t="e">
        <f>F904&amp;"-"&amp;G904</f>
        <v>#VALUE!</v>
      </c>
    </row>
    <row r="905">
      <c r="A905" t="s">
        <v>11</v>
      </c>
      <c r="B905" t="s">
        <v>81</v>
      </c>
      <c r="C905" t="s">
        <v>441</v>
      </c>
      <c r="D905">
        <v>92258</v>
      </c>
      <c r="E905">
        <v>9</v>
      </c>
      <c r="F905" t="e">
        <f>YEAR(C905)</f>
        <v>#VALUE!</v>
      </c>
      <c r="G905" t="e">
        <f>MONTH(C905)</f>
        <v>#VALUE!</v>
      </c>
      <c r="H905" t="e">
        <f>F905&amp;"-"&amp;G905</f>
        <v>#VALUE!</v>
      </c>
    </row>
    <row r="906">
      <c r="A906" t="s">
        <v>28</v>
      </c>
      <c r="B906" t="s">
        <v>217</v>
      </c>
      <c r="C906" t="s">
        <v>441</v>
      </c>
      <c r="D906">
        <v>30225</v>
      </c>
      <c r="E906">
        <v>7</v>
      </c>
      <c r="F906" t="e">
        <f>YEAR(C906)</f>
        <v>#VALUE!</v>
      </c>
      <c r="G906" t="e">
        <f>MONTH(C906)</f>
        <v>#VALUE!</v>
      </c>
      <c r="H906" t="e">
        <f>F906&amp;"-"&amp;G906</f>
        <v>#VALUE!</v>
      </c>
    </row>
    <row r="907">
      <c r="A907" t="s">
        <v>17</v>
      </c>
      <c r="B907" t="s">
        <v>85</v>
      </c>
      <c r="C907" t="s">
        <v>441</v>
      </c>
      <c r="D907">
        <v>55450</v>
      </c>
      <c r="E907">
        <v>9</v>
      </c>
      <c r="F907" t="e">
        <f>YEAR(C907)</f>
        <v>#VALUE!</v>
      </c>
      <c r="G907" t="e">
        <f>MONTH(C907)</f>
        <v>#VALUE!</v>
      </c>
      <c r="H907" t="e">
        <f>F907&amp;"-"&amp;G907</f>
        <v>#VALUE!</v>
      </c>
    </row>
    <row r="908">
      <c r="A908" t="s">
        <v>11</v>
      </c>
      <c r="B908" t="s">
        <v>154</v>
      </c>
      <c r="C908" t="s">
        <v>441</v>
      </c>
      <c r="D908">
        <v>69698</v>
      </c>
      <c r="E908">
        <v>8</v>
      </c>
      <c r="F908" t="e">
        <f>YEAR(C908)</f>
        <v>#VALUE!</v>
      </c>
      <c r="G908" t="e">
        <f>MONTH(C908)</f>
        <v>#VALUE!</v>
      </c>
      <c r="H908" t="e">
        <f>F908&amp;"-"&amp;G908</f>
        <v>#VALUE!</v>
      </c>
    </row>
    <row r="909">
      <c r="A909" t="s">
        <v>21</v>
      </c>
      <c r="B909" t="s">
        <v>222</v>
      </c>
      <c r="C909" t="s">
        <v>442</v>
      </c>
      <c r="D909">
        <v>37929</v>
      </c>
      <c r="E909">
        <v>6</v>
      </c>
      <c r="F909" t="e">
        <f>YEAR(C909)</f>
        <v>#VALUE!</v>
      </c>
      <c r="G909" t="e">
        <f>MONTH(C909)</f>
        <v>#VALUE!</v>
      </c>
      <c r="H909" t="e">
        <f>F909&amp;"-"&amp;G909</f>
        <v>#VALUE!</v>
      </c>
    </row>
    <row r="910">
      <c r="A910" t="s">
        <v>24</v>
      </c>
      <c r="B910" t="s">
        <v>81</v>
      </c>
      <c r="C910" t="s">
        <v>442</v>
      </c>
      <c r="D910">
        <v>41495</v>
      </c>
      <c r="E910">
        <v>7</v>
      </c>
      <c r="F910" t="e">
        <f>YEAR(C910)</f>
        <v>#VALUE!</v>
      </c>
      <c r="G910" t="e">
        <f>MONTH(C910)</f>
        <v>#VALUE!</v>
      </c>
      <c r="H910" t="e">
        <f>F910&amp;"-"&amp;G910</f>
        <v>#VALUE!</v>
      </c>
    </row>
    <row r="911">
      <c r="A911" t="s">
        <v>28</v>
      </c>
      <c r="B911" t="s">
        <v>331</v>
      </c>
      <c r="C911" t="s">
        <v>442</v>
      </c>
      <c r="D911">
        <v>36514</v>
      </c>
      <c r="E911">
        <v>8</v>
      </c>
      <c r="F911" t="e">
        <f>YEAR(C911)</f>
        <v>#VALUE!</v>
      </c>
      <c r="G911" t="e">
        <f>MONTH(C911)</f>
        <v>#VALUE!</v>
      </c>
      <c r="H911" t="e">
        <f>F911&amp;"-"&amp;G911</f>
        <v>#VALUE!</v>
      </c>
    </row>
    <row r="912">
      <c r="A912" t="s">
        <v>15</v>
      </c>
      <c r="B912" t="s">
        <v>168</v>
      </c>
      <c r="C912" t="s">
        <v>442</v>
      </c>
      <c r="D912">
        <v>56651</v>
      </c>
      <c r="E912">
        <v>8</v>
      </c>
      <c r="F912" t="e">
        <f>YEAR(C912)</f>
        <v>#VALUE!</v>
      </c>
      <c r="G912" t="e">
        <f>MONTH(C912)</f>
        <v>#VALUE!</v>
      </c>
      <c r="H912" t="e">
        <f>F912&amp;"-"&amp;G912</f>
        <v>#VALUE!</v>
      </c>
    </row>
    <row r="913">
      <c r="A913" t="s">
        <v>17</v>
      </c>
      <c r="B913" t="s">
        <v>70</v>
      </c>
      <c r="C913" t="s">
        <v>442</v>
      </c>
      <c r="D913">
        <v>12297</v>
      </c>
      <c r="E913">
        <v>9</v>
      </c>
      <c r="F913" t="e">
        <f>YEAR(C913)</f>
        <v>#VALUE!</v>
      </c>
      <c r="G913" t="e">
        <f>MONTH(C913)</f>
        <v>#VALUE!</v>
      </c>
      <c r="H913" t="e">
        <f>F913&amp;"-"&amp;G913</f>
        <v>#VALUE!</v>
      </c>
    </row>
    <row r="914">
      <c r="A914" t="s">
        <v>17</v>
      </c>
      <c r="B914" t="s">
        <v>105</v>
      </c>
      <c r="C914" t="s">
        <v>442</v>
      </c>
      <c r="D914">
        <v>92689</v>
      </c>
      <c r="E914">
        <v>2</v>
      </c>
      <c r="F914" t="e">
        <f>YEAR(C914)</f>
        <v>#VALUE!</v>
      </c>
      <c r="G914" t="e">
        <f>MONTH(C914)</f>
        <v>#VALUE!</v>
      </c>
      <c r="H914" t="e">
        <f>F914&amp;"-"&amp;G914</f>
        <v>#VALUE!</v>
      </c>
    </row>
    <row r="915">
      <c r="A915" t="s">
        <v>13</v>
      </c>
      <c r="B915" t="s">
        <v>116</v>
      </c>
      <c r="C915" t="s">
        <v>443</v>
      </c>
      <c r="D915">
        <v>85407</v>
      </c>
      <c r="E915">
        <v>9</v>
      </c>
      <c r="F915" t="e">
        <f>YEAR(C915)</f>
        <v>#VALUE!</v>
      </c>
      <c r="G915" t="e">
        <f>MONTH(C915)</f>
        <v>#VALUE!</v>
      </c>
      <c r="H915" t="e">
        <f>F915&amp;"-"&amp;G915</f>
        <v>#VALUE!</v>
      </c>
    </row>
    <row r="916">
      <c r="A916" t="s">
        <v>47</v>
      </c>
      <c r="B916" t="s">
        <v>70</v>
      </c>
      <c r="C916" t="s">
        <v>443</v>
      </c>
      <c r="D916">
        <v>12525</v>
      </c>
      <c r="E916">
        <v>9</v>
      </c>
      <c r="F916" t="e">
        <f>YEAR(C916)</f>
        <v>#VALUE!</v>
      </c>
      <c r="G916" t="e">
        <f>MONTH(C916)</f>
        <v>#VALUE!</v>
      </c>
      <c r="H916" t="e">
        <f>F916&amp;"-"&amp;G916</f>
        <v>#VALUE!</v>
      </c>
    </row>
    <row r="917">
      <c r="A917" t="s">
        <v>13</v>
      </c>
      <c r="B917" t="s">
        <v>157</v>
      </c>
      <c r="C917" t="s">
        <v>443</v>
      </c>
      <c r="D917">
        <v>18380</v>
      </c>
      <c r="E917">
        <v>5</v>
      </c>
      <c r="F917" t="e">
        <f>YEAR(C917)</f>
        <v>#VALUE!</v>
      </c>
      <c r="G917" t="e">
        <f>MONTH(C917)</f>
        <v>#VALUE!</v>
      </c>
      <c r="H917" t="e">
        <f>F917&amp;"-"&amp;G917</f>
        <v>#VALUE!</v>
      </c>
    </row>
    <row r="918">
      <c r="A918" t="s">
        <v>13</v>
      </c>
      <c r="B918" t="s">
        <v>68</v>
      </c>
      <c r="C918" t="s">
        <v>443</v>
      </c>
      <c r="D918">
        <v>13246</v>
      </c>
      <c r="E918">
        <v>2</v>
      </c>
      <c r="F918" t="e">
        <f>YEAR(C918)</f>
        <v>#VALUE!</v>
      </c>
      <c r="G918" t="e">
        <f>MONTH(C918)</f>
        <v>#VALUE!</v>
      </c>
      <c r="H918" t="e">
        <f>F918&amp;"-"&amp;G918</f>
        <v>#VALUE!</v>
      </c>
    </row>
    <row r="919">
      <c r="A919" t="s">
        <v>47</v>
      </c>
      <c r="B919" t="s">
        <v>208</v>
      </c>
      <c r="C919" t="s">
        <v>444</v>
      </c>
      <c r="D919">
        <v>64304</v>
      </c>
      <c r="E919">
        <v>5</v>
      </c>
      <c r="F919">
        <f>YEAR(C919)</f>
        <v>2024</v>
      </c>
      <c r="G919">
        <f>MONTH(C919)</f>
        <v>1</v>
      </c>
      <c r="H919" t="str">
        <f>F919&amp;"-"&amp;G919</f>
        <v>2024-1</v>
      </c>
    </row>
    <row r="920">
      <c r="A920" t="s">
        <v>47</v>
      </c>
      <c r="B920" t="s">
        <v>131</v>
      </c>
      <c r="C920" t="s">
        <v>445</v>
      </c>
      <c r="D920">
        <v>32044</v>
      </c>
      <c r="E920">
        <v>7</v>
      </c>
      <c r="F920">
        <f>YEAR(C920)</f>
        <v>2024</v>
      </c>
      <c r="G920">
        <f>MONTH(C920)</f>
        <v>2</v>
      </c>
      <c r="H920" t="str">
        <f>F920&amp;"-"&amp;G920</f>
        <v>2024-2</v>
      </c>
    </row>
    <row r="921">
      <c r="A921" t="s">
        <v>57</v>
      </c>
      <c r="B921" t="s">
        <v>222</v>
      </c>
      <c r="C921" t="s">
        <v>446</v>
      </c>
      <c r="D921">
        <v>72249</v>
      </c>
      <c r="E921">
        <v>6</v>
      </c>
      <c r="F921">
        <f>YEAR(C921)</f>
        <v>2024</v>
      </c>
      <c r="G921">
        <f>MONTH(C921)</f>
        <v>5</v>
      </c>
      <c r="H921" t="str">
        <f>F921&amp;"-"&amp;G921</f>
        <v>2024-5</v>
      </c>
    </row>
    <row r="922">
      <c r="A922" t="s">
        <v>8</v>
      </c>
      <c r="B922" t="s">
        <v>75</v>
      </c>
      <c r="C922" t="s">
        <v>446</v>
      </c>
      <c r="D922">
        <v>71088</v>
      </c>
      <c r="E922">
        <v>10</v>
      </c>
      <c r="F922">
        <f>YEAR(C922)</f>
        <v>2024</v>
      </c>
      <c r="G922">
        <f>MONTH(C922)</f>
        <v>5</v>
      </c>
      <c r="H922" t="str">
        <f>F922&amp;"-"&amp;G922</f>
        <v>2024-5</v>
      </c>
    </row>
    <row r="923">
      <c r="A923" t="s">
        <v>21</v>
      </c>
      <c r="B923" t="s">
        <v>287</v>
      </c>
      <c r="C923" t="s">
        <v>446</v>
      </c>
      <c r="D923">
        <v>95725</v>
      </c>
      <c r="E923">
        <v>2</v>
      </c>
      <c r="F923">
        <f>YEAR(C923)</f>
        <v>2024</v>
      </c>
      <c r="G923">
        <f>MONTH(C923)</f>
        <v>5</v>
      </c>
      <c r="H923" t="str">
        <f>F923&amp;"-"&amp;G923</f>
        <v>2024-5</v>
      </c>
    </row>
    <row r="924">
      <c r="A924" t="s">
        <v>15</v>
      </c>
      <c r="B924" t="s">
        <v>305</v>
      </c>
      <c r="C924" t="s">
        <v>446</v>
      </c>
      <c r="D924">
        <v>25535</v>
      </c>
      <c r="E924">
        <v>5</v>
      </c>
      <c r="F924">
        <f>YEAR(C924)</f>
        <v>2024</v>
      </c>
      <c r="G924">
        <f>MONTH(C924)</f>
        <v>5</v>
      </c>
      <c r="H924" t="str">
        <f>F924&amp;"-"&amp;G924</f>
        <v>2024-5</v>
      </c>
    </row>
    <row r="925">
      <c r="A925" t="s">
        <v>11</v>
      </c>
      <c r="B925" t="s">
        <v>68</v>
      </c>
      <c r="C925" t="s">
        <v>446</v>
      </c>
      <c r="D925">
        <v>28968</v>
      </c>
      <c r="E925">
        <v>7</v>
      </c>
      <c r="F925">
        <f>YEAR(C925)</f>
        <v>2024</v>
      </c>
      <c r="G925">
        <f>MONTH(C925)</f>
        <v>5</v>
      </c>
      <c r="H925" t="str">
        <f>F925&amp;"-"&amp;G925</f>
        <v>2024-5</v>
      </c>
    </row>
    <row r="926">
      <c r="A926" t="s">
        <v>24</v>
      </c>
      <c r="B926" t="s">
        <v>270</v>
      </c>
      <c r="C926" t="s">
        <v>446</v>
      </c>
      <c r="D926">
        <v>44406</v>
      </c>
      <c r="E926">
        <v>8</v>
      </c>
      <c r="F926">
        <f>YEAR(C926)</f>
        <v>2024</v>
      </c>
      <c r="G926">
        <f>MONTH(C926)</f>
        <v>5</v>
      </c>
      <c r="H926" t="str">
        <f>F926&amp;"-"&amp;G926</f>
        <v>2024-5</v>
      </c>
    </row>
    <row r="927">
      <c r="A927" t="s">
        <v>13</v>
      </c>
      <c r="B927" t="s">
        <v>214</v>
      </c>
      <c r="C927" t="s">
        <v>446</v>
      </c>
      <c r="D927">
        <v>62254</v>
      </c>
      <c r="E927">
        <v>9</v>
      </c>
      <c r="F927">
        <f>YEAR(C927)</f>
        <v>2024</v>
      </c>
      <c r="G927">
        <f>MONTH(C927)</f>
        <v>5</v>
      </c>
      <c r="H927" t="str">
        <f>F927&amp;"-"&amp;G927</f>
        <v>2024-5</v>
      </c>
    </row>
    <row r="928">
      <c r="A928" t="s">
        <v>8</v>
      </c>
      <c r="B928" t="s">
        <v>222</v>
      </c>
      <c r="C928" t="s">
        <v>446</v>
      </c>
      <c r="D928">
        <v>41244</v>
      </c>
      <c r="E928">
        <v>4</v>
      </c>
      <c r="F928">
        <f>YEAR(C928)</f>
        <v>2024</v>
      </c>
      <c r="G928">
        <f>MONTH(C928)</f>
        <v>5</v>
      </c>
      <c r="H928" t="str">
        <f>F928&amp;"-"&amp;G928</f>
        <v>2024-5</v>
      </c>
    </row>
    <row r="929">
      <c r="A929" t="s">
        <v>5</v>
      </c>
      <c r="B929" t="s">
        <v>20</v>
      </c>
      <c r="C929" t="s">
        <v>446</v>
      </c>
      <c r="D929">
        <v>82115</v>
      </c>
      <c r="E929">
        <v>7</v>
      </c>
      <c r="F929">
        <f>YEAR(C929)</f>
        <v>2024</v>
      </c>
      <c r="G929">
        <f>MONTH(C929)</f>
        <v>5</v>
      </c>
      <c r="H929" t="str">
        <f>F929&amp;"-"&amp;G929</f>
        <v>2024-5</v>
      </c>
    </row>
    <row r="930">
      <c r="A930" t="s">
        <v>24</v>
      </c>
      <c r="B930" t="s">
        <v>302</v>
      </c>
      <c r="C930" t="s">
        <v>447</v>
      </c>
      <c r="D930">
        <v>31805</v>
      </c>
      <c r="E930">
        <v>9</v>
      </c>
      <c r="F930">
        <f>YEAR(C930)</f>
        <v>2024</v>
      </c>
      <c r="G930">
        <f>MONTH(C930)</f>
        <v>6</v>
      </c>
      <c r="H930" t="str">
        <f>F930&amp;"-"&amp;G930</f>
        <v>2024-6</v>
      </c>
    </row>
    <row r="931">
      <c r="A931" t="s">
        <v>43</v>
      </c>
      <c r="B931" t="s">
        <v>206</v>
      </c>
      <c r="C931" t="s">
        <v>447</v>
      </c>
      <c r="D931">
        <v>85215</v>
      </c>
      <c r="E931">
        <v>6</v>
      </c>
      <c r="F931">
        <f>YEAR(C931)</f>
        <v>2024</v>
      </c>
      <c r="G931">
        <f>MONTH(C931)</f>
        <v>6</v>
      </c>
      <c r="H931" t="str">
        <f>F931&amp;"-"&amp;G931</f>
        <v>2024-6</v>
      </c>
    </row>
    <row r="932">
      <c r="A932" t="s">
        <v>57</v>
      </c>
      <c r="B932" t="s">
        <v>185</v>
      </c>
      <c r="C932" t="s">
        <v>447</v>
      </c>
      <c r="D932">
        <v>19140</v>
      </c>
      <c r="E932">
        <v>7</v>
      </c>
      <c r="F932">
        <f>YEAR(C932)</f>
        <v>2024</v>
      </c>
      <c r="G932">
        <f>MONTH(C932)</f>
        <v>6</v>
      </c>
      <c r="H932" t="str">
        <f>F932&amp;"-"&amp;G932</f>
        <v>2024-6</v>
      </c>
    </row>
    <row r="933">
      <c r="A933" t="s">
        <v>5</v>
      </c>
      <c r="B933" t="s">
        <v>217</v>
      </c>
      <c r="C933" t="s">
        <v>447</v>
      </c>
      <c r="D933">
        <v>27186</v>
      </c>
      <c r="E933">
        <v>9</v>
      </c>
      <c r="F933">
        <f>YEAR(C933)</f>
        <v>2024</v>
      </c>
      <c r="G933">
        <f>MONTH(C933)</f>
        <v>6</v>
      </c>
      <c r="H933" t="str">
        <f>F933&amp;"-"&amp;G933</f>
        <v>2024-6</v>
      </c>
    </row>
    <row r="934">
      <c r="A934" t="s">
        <v>28</v>
      </c>
      <c r="B934" t="s">
        <v>103</v>
      </c>
      <c r="C934" t="s">
        <v>447</v>
      </c>
      <c r="D934">
        <v>65170</v>
      </c>
      <c r="E934">
        <v>4</v>
      </c>
      <c r="F934">
        <f>YEAR(C934)</f>
        <v>2024</v>
      </c>
      <c r="G934">
        <f>MONTH(C934)</f>
        <v>6</v>
      </c>
      <c r="H934" t="str">
        <f>F934&amp;"-"&amp;G934</f>
        <v>2024-6</v>
      </c>
    </row>
    <row r="935">
      <c r="A935" t="s">
        <v>17</v>
      </c>
      <c r="B935" t="s">
        <v>278</v>
      </c>
      <c r="C935" t="s">
        <v>448</v>
      </c>
      <c r="D935">
        <v>20341</v>
      </c>
      <c r="E935">
        <v>6</v>
      </c>
      <c r="F935">
        <f>YEAR(C935)</f>
        <v>2024</v>
      </c>
      <c r="G935">
        <f>MONTH(C935)</f>
        <v>7</v>
      </c>
      <c r="H935" t="str">
        <f>F935&amp;"-"&amp;G935</f>
        <v>2024-7</v>
      </c>
    </row>
    <row r="936">
      <c r="A936" t="s">
        <v>21</v>
      </c>
      <c r="B936" t="s">
        <v>227</v>
      </c>
      <c r="C936" t="s">
        <v>448</v>
      </c>
      <c r="D936">
        <v>14407</v>
      </c>
      <c r="E936">
        <v>6</v>
      </c>
      <c r="F936">
        <f>YEAR(C936)</f>
        <v>2024</v>
      </c>
      <c r="G936">
        <f>MONTH(C936)</f>
        <v>7</v>
      </c>
      <c r="H936" t="str">
        <f>F936&amp;"-"&amp;G936</f>
        <v>2024-7</v>
      </c>
    </row>
    <row r="937">
      <c r="A937" t="s">
        <v>8</v>
      </c>
      <c r="B937" t="s">
        <v>97</v>
      </c>
      <c r="C937" t="s">
        <v>448</v>
      </c>
      <c r="D937">
        <v>90825</v>
      </c>
      <c r="E937">
        <v>7</v>
      </c>
      <c r="F937">
        <f>YEAR(C937)</f>
        <v>2024</v>
      </c>
      <c r="G937">
        <f>MONTH(C937)</f>
        <v>7</v>
      </c>
      <c r="H937" t="str">
        <f>F937&amp;"-"&amp;G937</f>
        <v>2024-7</v>
      </c>
    </row>
    <row r="938">
      <c r="A938" t="s">
        <v>13</v>
      </c>
      <c r="B938" t="s">
        <v>344</v>
      </c>
      <c r="C938" t="s">
        <v>448</v>
      </c>
      <c r="D938">
        <v>86342</v>
      </c>
      <c r="E938">
        <v>5</v>
      </c>
      <c r="F938">
        <f>YEAR(C938)</f>
        <v>2024</v>
      </c>
      <c r="G938">
        <f>MONTH(C938)</f>
        <v>7</v>
      </c>
      <c r="H938" t="str">
        <f>F938&amp;"-"&amp;G938</f>
        <v>2024-7</v>
      </c>
    </row>
    <row r="939">
      <c r="A939" t="s">
        <v>57</v>
      </c>
      <c r="B939" t="s">
        <v>272</v>
      </c>
      <c r="C939" t="s">
        <v>449</v>
      </c>
      <c r="D939">
        <v>21682</v>
      </c>
      <c r="E939">
        <v>6</v>
      </c>
      <c r="F939">
        <f>YEAR(C939)</f>
        <v>2024</v>
      </c>
      <c r="G939">
        <f>MONTH(C939)</f>
        <v>8</v>
      </c>
      <c r="H939" t="str">
        <f>F939&amp;"-"&amp;G939</f>
        <v>2024-8</v>
      </c>
    </row>
    <row r="940">
      <c r="A940" t="s">
        <v>28</v>
      </c>
      <c r="B940" t="s">
        <v>204</v>
      </c>
      <c r="C940" t="s">
        <v>449</v>
      </c>
      <c r="D940">
        <v>43964</v>
      </c>
      <c r="E940">
        <v>7</v>
      </c>
      <c r="F940">
        <f>YEAR(C940)</f>
        <v>2024</v>
      </c>
      <c r="G940">
        <f>MONTH(C940)</f>
        <v>8</v>
      </c>
      <c r="H940" t="str">
        <f>F940&amp;"-"&amp;G940</f>
        <v>2024-8</v>
      </c>
    </row>
    <row r="941">
      <c r="A941" t="s">
        <v>21</v>
      </c>
      <c r="B941" t="s">
        <v>131</v>
      </c>
      <c r="C941" t="s">
        <v>449</v>
      </c>
      <c r="D941">
        <v>60614</v>
      </c>
      <c r="E941">
        <v>9</v>
      </c>
      <c r="F941">
        <f>YEAR(C941)</f>
        <v>2024</v>
      </c>
      <c r="G941">
        <f>MONTH(C941)</f>
        <v>8</v>
      </c>
      <c r="H941" t="str">
        <f>F941&amp;"-"&amp;G941</f>
        <v>2024-8</v>
      </c>
    </row>
    <row r="942">
      <c r="A942" t="s">
        <v>13</v>
      </c>
      <c r="B942" t="s">
        <v>87</v>
      </c>
      <c r="C942" t="s">
        <v>449</v>
      </c>
      <c r="D942">
        <v>81687</v>
      </c>
      <c r="E942">
        <v>9</v>
      </c>
      <c r="F942">
        <f>YEAR(C942)</f>
        <v>2024</v>
      </c>
      <c r="G942">
        <f>MONTH(C942)</f>
        <v>8</v>
      </c>
      <c r="H942" t="str">
        <f>F942&amp;"-"&amp;G942</f>
        <v>2024-8</v>
      </c>
    </row>
    <row r="943">
      <c r="A943" t="s">
        <v>11</v>
      </c>
      <c r="B943" t="s">
        <v>370</v>
      </c>
      <c r="C943" t="s">
        <v>449</v>
      </c>
      <c r="D943">
        <v>51926</v>
      </c>
      <c r="E943">
        <v>2</v>
      </c>
      <c r="F943">
        <f>YEAR(C943)</f>
        <v>2024</v>
      </c>
      <c r="G943">
        <f>MONTH(C943)</f>
        <v>8</v>
      </c>
      <c r="H943" t="str">
        <f>F943&amp;"-"&amp;G943</f>
        <v>2024-8</v>
      </c>
    </row>
    <row r="944">
      <c r="A944" t="s">
        <v>17</v>
      </c>
      <c r="B944" t="s">
        <v>16</v>
      </c>
      <c r="C944" t="s">
        <v>450</v>
      </c>
      <c r="D944">
        <v>30853</v>
      </c>
      <c r="E944">
        <v>7</v>
      </c>
      <c r="F944">
        <f>YEAR(C944)</f>
        <v>2024</v>
      </c>
      <c r="G944">
        <f>MONTH(C944)</f>
        <v>9</v>
      </c>
      <c r="H944" t="str">
        <f>F944&amp;"-"&amp;G944</f>
        <v>2024-9</v>
      </c>
    </row>
    <row r="945">
      <c r="A945" t="s">
        <v>17</v>
      </c>
      <c r="B945" t="s">
        <v>184</v>
      </c>
      <c r="C945" t="s">
        <v>450</v>
      </c>
      <c r="D945">
        <v>34319</v>
      </c>
      <c r="E945">
        <v>8</v>
      </c>
      <c r="F945">
        <f>YEAR(C945)</f>
        <v>2024</v>
      </c>
      <c r="G945">
        <f>MONTH(C945)</f>
        <v>9</v>
      </c>
      <c r="H945" t="str">
        <f>F945&amp;"-"&amp;G945</f>
        <v>2024-9</v>
      </c>
    </row>
    <row r="946">
      <c r="A946" t="s">
        <v>21</v>
      </c>
      <c r="B946" t="s">
        <v>69</v>
      </c>
      <c r="C946" t="s">
        <v>450</v>
      </c>
      <c r="D946">
        <v>78011</v>
      </c>
      <c r="E946">
        <v>2</v>
      </c>
      <c r="F946">
        <f>YEAR(C946)</f>
        <v>2024</v>
      </c>
      <c r="G946">
        <f>MONTH(C946)</f>
        <v>9</v>
      </c>
      <c r="H946" t="str">
        <f>F946&amp;"-"&amp;G946</f>
        <v>2024-9</v>
      </c>
    </row>
    <row r="947">
      <c r="A947" t="s">
        <v>21</v>
      </c>
      <c r="B947" t="s">
        <v>117</v>
      </c>
      <c r="C947" t="s">
        <v>451</v>
      </c>
      <c r="D947">
        <v>10279</v>
      </c>
      <c r="E947">
        <v>7</v>
      </c>
      <c r="F947">
        <f>YEAR(C947)</f>
        <v>2024</v>
      </c>
      <c r="G947">
        <f>MONTH(C947)</f>
        <v>12</v>
      </c>
      <c r="H947" t="str">
        <f>F947&amp;"-"&amp;G947</f>
        <v>2024-12</v>
      </c>
    </row>
    <row r="948">
      <c r="A948" t="s">
        <v>17</v>
      </c>
      <c r="B948" t="s">
        <v>272</v>
      </c>
      <c r="C948" t="s">
        <v>451</v>
      </c>
      <c r="D948">
        <v>21232</v>
      </c>
      <c r="E948">
        <v>8</v>
      </c>
      <c r="F948">
        <f>YEAR(C948)</f>
        <v>2024</v>
      </c>
      <c r="G948">
        <f>MONTH(C948)</f>
        <v>12</v>
      </c>
      <c r="H948" t="str">
        <f>F948&amp;"-"&amp;G948</f>
        <v>2024-12</v>
      </c>
    </row>
    <row r="949">
      <c r="A949" t="s">
        <v>5</v>
      </c>
      <c r="B949" t="s">
        <v>291</v>
      </c>
      <c r="C949" t="s">
        <v>451</v>
      </c>
      <c r="D949">
        <v>82408</v>
      </c>
      <c r="E949">
        <v>7</v>
      </c>
      <c r="F949">
        <f>YEAR(C949)</f>
        <v>2024</v>
      </c>
      <c r="G949">
        <f>MONTH(C949)</f>
        <v>12</v>
      </c>
      <c r="H949" t="str">
        <f>F949&amp;"-"&amp;G949</f>
        <v>2024-12</v>
      </c>
    </row>
    <row r="950">
      <c r="A950" t="s">
        <v>47</v>
      </c>
      <c r="B950" t="s">
        <v>192</v>
      </c>
      <c r="C950" t="s">
        <v>451</v>
      </c>
      <c r="D950">
        <v>91595</v>
      </c>
      <c r="E950">
        <v>6</v>
      </c>
      <c r="F950">
        <f>YEAR(C950)</f>
        <v>2024</v>
      </c>
      <c r="G950">
        <f>MONTH(C950)</f>
        <v>12</v>
      </c>
      <c r="H950" t="str">
        <f>F950&amp;"-"&amp;G950</f>
        <v>2024-12</v>
      </c>
    </row>
    <row r="951">
      <c r="A951" t="s">
        <v>13</v>
      </c>
      <c r="B951" t="s">
        <v>149</v>
      </c>
      <c r="C951" t="s">
        <v>451</v>
      </c>
      <c r="D951">
        <v>45194</v>
      </c>
      <c r="E951">
        <v>10</v>
      </c>
      <c r="F951">
        <f>YEAR(C951)</f>
        <v>2024</v>
      </c>
      <c r="G951">
        <f>MONTH(C951)</f>
        <v>12</v>
      </c>
      <c r="H951" t="str">
        <f>F951&amp;"-"&amp;G951</f>
        <v>2024-12</v>
      </c>
    </row>
    <row r="952">
      <c r="A952" t="s">
        <v>21</v>
      </c>
      <c r="B952" t="s">
        <v>44</v>
      </c>
      <c r="C952" t="s">
        <v>452</v>
      </c>
      <c r="D952">
        <v>56467</v>
      </c>
      <c r="E952">
        <v>8</v>
      </c>
      <c r="F952" t="e">
        <f>YEAR(C952)</f>
        <v>#VALUE!</v>
      </c>
      <c r="G952" t="e">
        <f>MONTH(C952)</f>
        <v>#VALUE!</v>
      </c>
      <c r="H952" t="e">
        <f>F952&amp;"-"&amp;G952</f>
        <v>#VALUE!</v>
      </c>
    </row>
    <row r="953">
      <c r="A953" t="s">
        <v>43</v>
      </c>
      <c r="B953" t="s">
        <v>95</v>
      </c>
      <c r="C953" t="s">
        <v>452</v>
      </c>
      <c r="D953">
        <v>60240</v>
      </c>
      <c r="E953">
        <v>8</v>
      </c>
      <c r="F953" t="e">
        <f>YEAR(C953)</f>
        <v>#VALUE!</v>
      </c>
      <c r="G953" t="e">
        <f>MONTH(C953)</f>
        <v>#VALUE!</v>
      </c>
      <c r="H953" t="e">
        <f>F953&amp;"-"&amp;G953</f>
        <v>#VALUE!</v>
      </c>
    </row>
    <row r="954">
      <c r="A954" t="s">
        <v>13</v>
      </c>
      <c r="B954" t="s">
        <v>240</v>
      </c>
      <c r="C954" t="s">
        <v>452</v>
      </c>
      <c r="D954">
        <v>58463</v>
      </c>
      <c r="E954">
        <v>5</v>
      </c>
      <c r="F954" t="e">
        <f>YEAR(C954)</f>
        <v>#VALUE!</v>
      </c>
      <c r="G954" t="e">
        <f>MONTH(C954)</f>
        <v>#VALUE!</v>
      </c>
      <c r="H954" t="e">
        <f>F954&amp;"-"&amp;G954</f>
        <v>#VALUE!</v>
      </c>
    </row>
    <row r="955">
      <c r="A955" t="s">
        <v>47</v>
      </c>
      <c r="B955" t="s">
        <v>60</v>
      </c>
      <c r="C955" t="s">
        <v>453</v>
      </c>
      <c r="D955">
        <v>98151</v>
      </c>
      <c r="E955">
        <v>2</v>
      </c>
      <c r="F955" t="e">
        <f>YEAR(C955)</f>
        <v>#VALUE!</v>
      </c>
      <c r="G955" t="e">
        <f>MONTH(C955)</f>
        <v>#VALUE!</v>
      </c>
      <c r="H955" t="e">
        <f>F955&amp;"-"&amp;G955</f>
        <v>#VALUE!</v>
      </c>
    </row>
    <row r="956">
      <c r="A956" t="s">
        <v>17</v>
      </c>
      <c r="B956" t="s">
        <v>302</v>
      </c>
      <c r="C956" t="s">
        <v>453</v>
      </c>
      <c r="D956">
        <v>71677</v>
      </c>
      <c r="E956">
        <v>4</v>
      </c>
      <c r="F956" t="e">
        <f>YEAR(C956)</f>
        <v>#VALUE!</v>
      </c>
      <c r="G956" t="e">
        <f>MONTH(C956)</f>
        <v>#VALUE!</v>
      </c>
      <c r="H956" t="e">
        <f>F956&amp;"-"&amp;G956</f>
        <v>#VALUE!</v>
      </c>
    </row>
    <row r="957">
      <c r="A957" t="s">
        <v>24</v>
      </c>
      <c r="B957" t="s">
        <v>157</v>
      </c>
      <c r="C957" t="s">
        <v>454</v>
      </c>
      <c r="D957">
        <v>33768</v>
      </c>
      <c r="E957">
        <v>2</v>
      </c>
      <c r="F957" t="e">
        <f>YEAR(C957)</f>
        <v>#VALUE!</v>
      </c>
      <c r="G957" t="e">
        <f>MONTH(C957)</f>
        <v>#VALUE!</v>
      </c>
      <c r="H957" t="e">
        <f>F957&amp;"-"&amp;G957</f>
        <v>#VALUE!</v>
      </c>
    </row>
    <row r="958">
      <c r="A958" t="s">
        <v>15</v>
      </c>
      <c r="B958" t="s">
        <v>252</v>
      </c>
      <c r="C958" t="s">
        <v>454</v>
      </c>
      <c r="D958">
        <v>55381</v>
      </c>
      <c r="E958">
        <v>7</v>
      </c>
      <c r="F958" t="e">
        <f>YEAR(C958)</f>
        <v>#VALUE!</v>
      </c>
      <c r="G958" t="e">
        <f>MONTH(C958)</f>
        <v>#VALUE!</v>
      </c>
      <c r="H958" t="e">
        <f>F958&amp;"-"&amp;G958</f>
        <v>#VALUE!</v>
      </c>
    </row>
    <row r="959">
      <c r="A959" t="s">
        <v>28</v>
      </c>
      <c r="B959" t="s">
        <v>365</v>
      </c>
      <c r="C959" t="s">
        <v>454</v>
      </c>
      <c r="D959">
        <v>70364</v>
      </c>
      <c r="E959">
        <v>10</v>
      </c>
      <c r="F959" t="e">
        <f>YEAR(C959)</f>
        <v>#VALUE!</v>
      </c>
      <c r="G959" t="e">
        <f>MONTH(C959)</f>
        <v>#VALUE!</v>
      </c>
      <c r="H959" t="e">
        <f>F959&amp;"-"&amp;G959</f>
        <v>#VALUE!</v>
      </c>
    </row>
    <row r="960">
      <c r="A960" t="s">
        <v>47</v>
      </c>
      <c r="B960" t="s">
        <v>99</v>
      </c>
      <c r="C960" t="s">
        <v>454</v>
      </c>
      <c r="D960">
        <v>37641</v>
      </c>
      <c r="E960">
        <v>2</v>
      </c>
      <c r="F960" t="e">
        <f>YEAR(C960)</f>
        <v>#VALUE!</v>
      </c>
      <c r="G960" t="e">
        <f>MONTH(C960)</f>
        <v>#VALUE!</v>
      </c>
      <c r="H960" t="e">
        <f>F960&amp;"-"&amp;G960</f>
        <v>#VALUE!</v>
      </c>
    </row>
    <row r="961">
      <c r="A961" t="s">
        <v>28</v>
      </c>
      <c r="B961" t="s">
        <v>267</v>
      </c>
      <c r="C961" t="s">
        <v>455</v>
      </c>
      <c r="D961">
        <v>71524</v>
      </c>
      <c r="E961">
        <v>7</v>
      </c>
      <c r="F961" t="e">
        <f>YEAR(C961)</f>
        <v>#VALUE!</v>
      </c>
      <c r="G961" t="e">
        <f>MONTH(C961)</f>
        <v>#VALUE!</v>
      </c>
      <c r="H961" t="e">
        <f>F961&amp;"-"&amp;G961</f>
        <v>#VALUE!</v>
      </c>
    </row>
    <row r="962">
      <c r="A962" t="s">
        <v>21</v>
      </c>
      <c r="B962" t="s">
        <v>41</v>
      </c>
      <c r="C962" t="s">
        <v>455</v>
      </c>
      <c r="D962">
        <v>42201</v>
      </c>
      <c r="E962">
        <v>4</v>
      </c>
      <c r="F962" t="e">
        <f>YEAR(C962)</f>
        <v>#VALUE!</v>
      </c>
      <c r="G962" t="e">
        <f>MONTH(C962)</f>
        <v>#VALUE!</v>
      </c>
      <c r="H962" t="e">
        <f>F962&amp;"-"&amp;G962</f>
        <v>#VALUE!</v>
      </c>
    </row>
    <row r="963">
      <c r="A963" t="s">
        <v>21</v>
      </c>
      <c r="B963" t="s">
        <v>222</v>
      </c>
      <c r="C963" t="s">
        <v>455</v>
      </c>
      <c r="D963">
        <v>66103</v>
      </c>
      <c r="E963">
        <v>6</v>
      </c>
      <c r="F963" t="e">
        <f>YEAR(C963)</f>
        <v>#VALUE!</v>
      </c>
      <c r="G963" t="e">
        <f>MONTH(C963)</f>
        <v>#VALUE!</v>
      </c>
      <c r="H963" t="e">
        <f>F963&amp;"-"&amp;G963</f>
        <v>#VALUE!</v>
      </c>
    </row>
    <row r="964">
      <c r="A964" t="s">
        <v>17</v>
      </c>
      <c r="B964" t="s">
        <v>212</v>
      </c>
      <c r="C964" t="s">
        <v>455</v>
      </c>
      <c r="D964">
        <v>51026</v>
      </c>
      <c r="E964">
        <v>9</v>
      </c>
      <c r="F964" t="e">
        <f>YEAR(C964)</f>
        <v>#VALUE!</v>
      </c>
      <c r="G964" t="e">
        <f>MONTH(C964)</f>
        <v>#VALUE!</v>
      </c>
      <c r="H964" t="e">
        <f>F964&amp;"-"&amp;G964</f>
        <v>#VALUE!</v>
      </c>
    </row>
    <row r="965">
      <c r="A965" t="s">
        <v>57</v>
      </c>
      <c r="B965" t="s">
        <v>234</v>
      </c>
      <c r="C965" t="s">
        <v>456</v>
      </c>
      <c r="D965">
        <v>59376</v>
      </c>
      <c r="E965">
        <v>6</v>
      </c>
      <c r="F965" t="e">
        <f>YEAR(C965)</f>
        <v>#VALUE!</v>
      </c>
      <c r="G965" t="e">
        <f>MONTH(C965)</f>
        <v>#VALUE!</v>
      </c>
      <c r="H965" t="e">
        <f>F965&amp;"-"&amp;G965</f>
        <v>#VALUE!</v>
      </c>
    </row>
    <row r="966">
      <c r="A966" t="s">
        <v>8</v>
      </c>
      <c r="B966" t="s">
        <v>250</v>
      </c>
      <c r="C966" t="s">
        <v>456</v>
      </c>
      <c r="D966">
        <v>57126</v>
      </c>
      <c r="E966">
        <v>7</v>
      </c>
      <c r="F966" t="e">
        <f>YEAR(C966)</f>
        <v>#VALUE!</v>
      </c>
      <c r="G966" t="e">
        <f>MONTH(C966)</f>
        <v>#VALUE!</v>
      </c>
      <c r="H966" t="e">
        <f>F966&amp;"-"&amp;G966</f>
        <v>#VALUE!</v>
      </c>
    </row>
    <row r="967">
      <c r="A967" t="s">
        <v>21</v>
      </c>
      <c r="B967" t="s">
        <v>252</v>
      </c>
      <c r="C967" t="s">
        <v>456</v>
      </c>
      <c r="D967">
        <v>70342</v>
      </c>
      <c r="E967">
        <v>6</v>
      </c>
      <c r="F967" t="e">
        <f>YEAR(C967)</f>
        <v>#VALUE!</v>
      </c>
      <c r="G967" t="e">
        <f>MONTH(C967)</f>
        <v>#VALUE!</v>
      </c>
      <c r="H967" t="e">
        <f>F967&amp;"-"&amp;G967</f>
        <v>#VALUE!</v>
      </c>
    </row>
    <row r="968">
      <c r="A968" t="s">
        <v>43</v>
      </c>
      <c r="B968" t="s">
        <v>59</v>
      </c>
      <c r="C968" t="s">
        <v>456</v>
      </c>
      <c r="D968">
        <v>31098</v>
      </c>
      <c r="E968">
        <v>8</v>
      </c>
      <c r="F968" t="e">
        <f>YEAR(C968)</f>
        <v>#VALUE!</v>
      </c>
      <c r="G968" t="e">
        <f>MONTH(C968)</f>
        <v>#VALUE!</v>
      </c>
      <c r="H968" t="e">
        <f>F968&amp;"-"&amp;G968</f>
        <v>#VALUE!</v>
      </c>
    </row>
    <row r="969">
      <c r="A969" t="s">
        <v>43</v>
      </c>
      <c r="B969" t="s">
        <v>83</v>
      </c>
      <c r="C969" t="s">
        <v>456</v>
      </c>
      <c r="D969">
        <v>39620</v>
      </c>
      <c r="E969">
        <v>7</v>
      </c>
      <c r="F969" t="e">
        <f>YEAR(C969)</f>
        <v>#VALUE!</v>
      </c>
      <c r="G969" t="e">
        <f>MONTH(C969)</f>
        <v>#VALUE!</v>
      </c>
      <c r="H969" t="e">
        <f>F969&amp;"-"&amp;G969</f>
        <v>#VALUE!</v>
      </c>
    </row>
    <row r="970">
      <c r="A970" t="s">
        <v>57</v>
      </c>
      <c r="B970" t="s">
        <v>119</v>
      </c>
      <c r="C970" t="s">
        <v>456</v>
      </c>
      <c r="D970">
        <v>27694</v>
      </c>
      <c r="E970">
        <v>3</v>
      </c>
      <c r="F970" t="e">
        <f>YEAR(C970)</f>
        <v>#VALUE!</v>
      </c>
      <c r="G970" t="e">
        <f>MONTH(C970)</f>
        <v>#VALUE!</v>
      </c>
      <c r="H970" t="e">
        <f>F970&amp;"-"&amp;G970</f>
        <v>#VALUE!</v>
      </c>
    </row>
    <row r="971">
      <c r="A971" t="s">
        <v>28</v>
      </c>
      <c r="B971" t="s">
        <v>89</v>
      </c>
      <c r="C971" t="s">
        <v>456</v>
      </c>
      <c r="D971">
        <v>22782</v>
      </c>
      <c r="E971">
        <v>0</v>
      </c>
      <c r="F971" t="e">
        <f>YEAR(C971)</f>
        <v>#VALUE!</v>
      </c>
      <c r="G971" t="e">
        <f>MONTH(C971)</f>
        <v>#VALUE!</v>
      </c>
      <c r="H971" t="e">
        <f>F971&amp;"-"&amp;G971</f>
        <v>#VALUE!</v>
      </c>
    </row>
    <row r="972">
      <c r="A972" t="s">
        <v>43</v>
      </c>
      <c r="B972" t="s">
        <v>68</v>
      </c>
      <c r="C972" t="s">
        <v>456</v>
      </c>
      <c r="D972">
        <v>39468</v>
      </c>
      <c r="E972">
        <v>5</v>
      </c>
      <c r="F972" t="e">
        <f>YEAR(C972)</f>
        <v>#VALUE!</v>
      </c>
      <c r="G972" t="e">
        <f>MONTH(C972)</f>
        <v>#VALUE!</v>
      </c>
      <c r="H972" t="e">
        <f>F972&amp;"-"&amp;G972</f>
        <v>#VALUE!</v>
      </c>
    </row>
    <row r="973">
      <c r="A973" t="s">
        <v>21</v>
      </c>
      <c r="B973" t="s">
        <v>302</v>
      </c>
      <c r="C973" t="s">
        <v>457</v>
      </c>
      <c r="D973">
        <v>90665</v>
      </c>
      <c r="E973">
        <v>7</v>
      </c>
      <c r="F973" t="e">
        <f>YEAR(C973)</f>
        <v>#VALUE!</v>
      </c>
      <c r="G973" t="e">
        <f>MONTH(C973)</f>
        <v>#VALUE!</v>
      </c>
      <c r="H973" t="e">
        <f>F973&amp;"-"&amp;G973</f>
        <v>#VALUE!</v>
      </c>
    </row>
    <row r="974">
      <c r="A974" t="s">
        <v>28</v>
      </c>
      <c r="B974" t="s">
        <v>102</v>
      </c>
      <c r="C974" t="s">
        <v>458</v>
      </c>
      <c r="D974">
        <v>84491</v>
      </c>
      <c r="E974">
        <v>5</v>
      </c>
      <c r="F974" t="e">
        <f>YEAR(C974)</f>
        <v>#VALUE!</v>
      </c>
      <c r="G974" t="e">
        <f>MONTH(C974)</f>
        <v>#VALUE!</v>
      </c>
      <c r="H974" t="e">
        <f>F974&amp;"-"&amp;G974</f>
        <v>#VALUE!</v>
      </c>
    </row>
    <row r="975">
      <c r="A975" t="s">
        <v>28</v>
      </c>
      <c r="B975" t="s">
        <v>237</v>
      </c>
      <c r="C975" t="s">
        <v>458</v>
      </c>
      <c r="D975">
        <v>91415</v>
      </c>
      <c r="E975">
        <v>2</v>
      </c>
      <c r="F975" t="e">
        <f>YEAR(C975)</f>
        <v>#VALUE!</v>
      </c>
      <c r="G975" t="e">
        <f>MONTH(C975)</f>
        <v>#VALUE!</v>
      </c>
      <c r="H975" t="e">
        <f>F975&amp;"-"&amp;G975</f>
        <v>#VALUE!</v>
      </c>
    </row>
    <row r="976">
      <c r="A976" t="s">
        <v>43</v>
      </c>
      <c r="B976" t="s">
        <v>198</v>
      </c>
      <c r="C976" t="s">
        <v>458</v>
      </c>
      <c r="D976">
        <v>30984</v>
      </c>
      <c r="E976">
        <v>5</v>
      </c>
      <c r="F976" t="e">
        <f>YEAR(C976)</f>
        <v>#VALUE!</v>
      </c>
      <c r="G976" t="e">
        <f>MONTH(C976)</f>
        <v>#VALUE!</v>
      </c>
      <c r="H976" t="e">
        <f>F976&amp;"-"&amp;G976</f>
        <v>#VALUE!</v>
      </c>
    </row>
    <row r="977">
      <c r="A977" t="s">
        <v>57</v>
      </c>
      <c r="B977" t="s">
        <v>172</v>
      </c>
      <c r="C977" t="s">
        <v>458</v>
      </c>
      <c r="D977">
        <v>18403</v>
      </c>
      <c r="E977">
        <v>8</v>
      </c>
      <c r="F977" t="e">
        <f>YEAR(C977)</f>
        <v>#VALUE!</v>
      </c>
      <c r="G977" t="e">
        <f>MONTH(C977)</f>
        <v>#VALUE!</v>
      </c>
      <c r="H977" t="e">
        <f>F977&amp;"-"&amp;G977</f>
        <v>#VALUE!</v>
      </c>
    </row>
    <row r="978">
      <c r="A978" t="s">
        <v>24</v>
      </c>
      <c r="B978" t="s">
        <v>257</v>
      </c>
      <c r="C978" t="s">
        <v>459</v>
      </c>
      <c r="D978">
        <v>25767</v>
      </c>
      <c r="E978">
        <v>3</v>
      </c>
      <c r="F978" t="e">
        <f>YEAR(C978)</f>
        <v>#VALUE!</v>
      </c>
      <c r="G978" t="e">
        <f>MONTH(C978)</f>
        <v>#VALUE!</v>
      </c>
      <c r="H978" t="e">
        <f>F978&amp;"-"&amp;G978</f>
        <v>#VALUE!</v>
      </c>
    </row>
    <row r="979">
      <c r="A979" t="s">
        <v>17</v>
      </c>
      <c r="B979" t="s">
        <v>248</v>
      </c>
      <c r="C979" t="s">
        <v>459</v>
      </c>
      <c r="D979">
        <v>40827</v>
      </c>
      <c r="E979">
        <v>3</v>
      </c>
      <c r="F979" t="e">
        <f>YEAR(C979)</f>
        <v>#VALUE!</v>
      </c>
      <c r="G979" t="e">
        <f>MONTH(C979)</f>
        <v>#VALUE!</v>
      </c>
      <c r="H979" t="e">
        <f>F979&amp;"-"&amp;G979</f>
        <v>#VALUE!</v>
      </c>
    </row>
    <row r="980">
      <c r="A980" t="s">
        <v>24</v>
      </c>
      <c r="B980" t="s">
        <v>19</v>
      </c>
      <c r="C980" t="s">
        <v>460</v>
      </c>
      <c r="D980">
        <v>33629</v>
      </c>
      <c r="E980">
        <v>3</v>
      </c>
      <c r="F980" t="e">
        <f>YEAR(C980)</f>
        <v>#VALUE!</v>
      </c>
      <c r="G980" t="e">
        <f>MONTH(C980)</f>
        <v>#VALUE!</v>
      </c>
      <c r="H980" t="e">
        <f>F980&amp;"-"&amp;G980</f>
        <v>#VALUE!</v>
      </c>
    </row>
    <row r="981">
      <c r="A981" t="s">
        <v>43</v>
      </c>
      <c r="B981" t="s">
        <v>128</v>
      </c>
      <c r="C981" t="s">
        <v>460</v>
      </c>
      <c r="D981">
        <v>20242</v>
      </c>
      <c r="E981">
        <v>6</v>
      </c>
      <c r="F981" t="e">
        <f>YEAR(C981)</f>
        <v>#VALUE!</v>
      </c>
      <c r="G981" t="e">
        <f>MONTH(C981)</f>
        <v>#VALUE!</v>
      </c>
      <c r="H981" t="e">
        <f>F981&amp;"-"&amp;G981</f>
        <v>#VALUE!</v>
      </c>
    </row>
    <row r="982">
      <c r="A982" t="s">
        <v>8</v>
      </c>
      <c r="B982" t="s">
        <v>157</v>
      </c>
      <c r="C982" t="s">
        <v>460</v>
      </c>
      <c r="D982">
        <v>75821</v>
      </c>
      <c r="E982">
        <v>2</v>
      </c>
      <c r="F982" t="e">
        <f>YEAR(C982)</f>
        <v>#VALUE!</v>
      </c>
      <c r="G982" t="e">
        <f>MONTH(C982)</f>
        <v>#VALUE!</v>
      </c>
      <c r="H982" t="e">
        <f>F982&amp;"-"&amp;G982</f>
        <v>#VALUE!</v>
      </c>
    </row>
    <row r="983">
      <c r="A983" t="s">
        <v>8</v>
      </c>
      <c r="B983" t="s">
        <v>189</v>
      </c>
      <c r="C983" t="s">
        <v>460</v>
      </c>
      <c r="D983">
        <v>13957</v>
      </c>
      <c r="E983">
        <v>7</v>
      </c>
      <c r="F983" t="e">
        <f>YEAR(C983)</f>
        <v>#VALUE!</v>
      </c>
      <c r="G983" t="e">
        <f>MONTH(C983)</f>
        <v>#VALUE!</v>
      </c>
      <c r="H983" t="e">
        <f>F983&amp;"-"&amp;G983</f>
        <v>#VALUE!</v>
      </c>
    </row>
    <row r="984">
      <c r="A984" t="s">
        <v>17</v>
      </c>
      <c r="B984" t="s">
        <v>363</v>
      </c>
      <c r="C984" t="s">
        <v>460</v>
      </c>
      <c r="D984">
        <v>86614</v>
      </c>
      <c r="E984">
        <v>6</v>
      </c>
      <c r="F984" t="e">
        <f>YEAR(C984)</f>
        <v>#VALUE!</v>
      </c>
      <c r="G984" t="e">
        <f>MONTH(C984)</f>
        <v>#VALUE!</v>
      </c>
      <c r="H984" t="e">
        <f>F984&amp;"-"&amp;G984</f>
        <v>#VALUE!</v>
      </c>
    </row>
    <row r="985">
      <c r="A985" t="s">
        <v>8</v>
      </c>
      <c r="B985" t="s">
        <v>276</v>
      </c>
      <c r="C985" t="s">
        <v>460</v>
      </c>
      <c r="D985">
        <v>15468</v>
      </c>
      <c r="E985">
        <v>10</v>
      </c>
      <c r="F985" t="e">
        <f>YEAR(C985)</f>
        <v>#VALUE!</v>
      </c>
      <c r="G985" t="e">
        <f>MONTH(C985)</f>
        <v>#VALUE!</v>
      </c>
      <c r="H985" t="e">
        <f>F985&amp;"-"&amp;G985</f>
        <v>#VALUE!</v>
      </c>
    </row>
    <row r="986">
      <c r="A986" t="s">
        <v>11</v>
      </c>
      <c r="B986" t="s">
        <v>403</v>
      </c>
      <c r="C986" t="s">
        <v>460</v>
      </c>
      <c r="D986">
        <v>85344</v>
      </c>
      <c r="E986">
        <v>9</v>
      </c>
      <c r="F986" t="e">
        <f>YEAR(C986)</f>
        <v>#VALUE!</v>
      </c>
      <c r="G986" t="e">
        <f>MONTH(C986)</f>
        <v>#VALUE!</v>
      </c>
      <c r="H986" t="e">
        <f>F986&amp;"-"&amp;G986</f>
        <v>#VALUE!</v>
      </c>
    </row>
    <row r="987">
      <c r="A987" t="s">
        <v>8</v>
      </c>
      <c r="B987" t="s">
        <v>38</v>
      </c>
      <c r="C987" t="s">
        <v>460</v>
      </c>
      <c r="D987">
        <v>60663</v>
      </c>
      <c r="E987">
        <v>7</v>
      </c>
      <c r="F987" t="e">
        <f>YEAR(C987)</f>
        <v>#VALUE!</v>
      </c>
      <c r="G987" t="e">
        <f>MONTH(C987)</f>
        <v>#VALUE!</v>
      </c>
      <c r="H987" t="e">
        <f>F987&amp;"-"&amp;G987</f>
        <v>#VALUE!</v>
      </c>
    </row>
    <row r="988">
      <c r="A988" t="s">
        <v>57</v>
      </c>
      <c r="B988" t="s">
        <v>42</v>
      </c>
      <c r="C988" t="s">
        <v>461</v>
      </c>
      <c r="D988">
        <v>49390</v>
      </c>
      <c r="E988">
        <v>7</v>
      </c>
      <c r="F988" t="e">
        <f>YEAR(C988)</f>
        <v>#VALUE!</v>
      </c>
      <c r="G988" t="e">
        <f>MONTH(C988)</f>
        <v>#VALUE!</v>
      </c>
      <c r="H988" t="e">
        <f>F988&amp;"-"&amp;G988</f>
        <v>#VALUE!</v>
      </c>
    </row>
    <row r="989">
      <c r="A989" t="s">
        <v>47</v>
      </c>
      <c r="B989" t="s">
        <v>462</v>
      </c>
      <c r="C989" t="s">
        <v>461</v>
      </c>
      <c r="D989">
        <v>70414</v>
      </c>
      <c r="E989">
        <v>8</v>
      </c>
      <c r="F989" t="e">
        <f>YEAR(C989)</f>
        <v>#VALUE!</v>
      </c>
      <c r="G989" t="e">
        <f>MONTH(C989)</f>
        <v>#VALUE!</v>
      </c>
      <c r="H989" t="e">
        <f>F989&amp;"-"&amp;G989</f>
        <v>#VALUE!</v>
      </c>
    </row>
    <row r="990">
      <c r="A990" t="s">
        <v>17</v>
      </c>
      <c r="B990" t="s">
        <v>144</v>
      </c>
      <c r="C990" t="s">
        <v>461</v>
      </c>
      <c r="D990">
        <v>53145</v>
      </c>
      <c r="E990">
        <v>7</v>
      </c>
      <c r="F990" t="e">
        <f>YEAR(C990)</f>
        <v>#VALUE!</v>
      </c>
      <c r="G990" t="e">
        <f>MONTH(C990)</f>
        <v>#VALUE!</v>
      </c>
      <c r="H990" t="e">
        <f>F990&amp;"-"&amp;G990</f>
        <v>#VALUE!</v>
      </c>
    </row>
    <row r="991">
      <c r="A991" t="s">
        <v>15</v>
      </c>
      <c r="B991" t="s">
        <v>128</v>
      </c>
      <c r="C991" t="s">
        <v>461</v>
      </c>
      <c r="D991">
        <v>13623</v>
      </c>
      <c r="E991">
        <v>8</v>
      </c>
      <c r="F991" t="e">
        <f>YEAR(C991)</f>
        <v>#VALUE!</v>
      </c>
      <c r="G991" t="e">
        <f>MONTH(C991)</f>
        <v>#VALUE!</v>
      </c>
      <c r="H991" t="e">
        <f>F991&amp;"-"&amp;G991</f>
        <v>#VALUE!</v>
      </c>
    </row>
    <row r="992">
      <c r="A992" t="s">
        <v>21</v>
      </c>
      <c r="B992" t="s">
        <v>143</v>
      </c>
      <c r="C992" t="s">
        <v>463</v>
      </c>
      <c r="D992">
        <v>96785</v>
      </c>
      <c r="E992">
        <v>3</v>
      </c>
      <c r="F992" t="e">
        <f>YEAR(C992)</f>
        <v>#VALUE!</v>
      </c>
      <c r="G992" t="e">
        <f>MONTH(C992)</f>
        <v>#VALUE!</v>
      </c>
      <c r="H992" t="e">
        <f>F992&amp;"-"&amp;G992</f>
        <v>#VALUE!</v>
      </c>
    </row>
    <row r="993">
      <c r="A993" t="s">
        <v>43</v>
      </c>
      <c r="B993" t="s">
        <v>81</v>
      </c>
      <c r="C993" t="s">
        <v>463</v>
      </c>
      <c r="D993">
        <v>28413</v>
      </c>
      <c r="E993">
        <v>3</v>
      </c>
      <c r="F993" t="e">
        <f>YEAR(C993)</f>
        <v>#VALUE!</v>
      </c>
      <c r="G993" t="e">
        <f>MONTH(C993)</f>
        <v>#VALUE!</v>
      </c>
      <c r="H993" t="e">
        <f>F993&amp;"-"&amp;G993</f>
        <v>#VALUE!</v>
      </c>
    </row>
    <row r="994">
      <c r="A994" t="s">
        <v>8</v>
      </c>
      <c r="B994" t="s">
        <v>248</v>
      </c>
      <c r="C994" t="s">
        <v>464</v>
      </c>
      <c r="D994">
        <v>87625</v>
      </c>
      <c r="E994">
        <v>6</v>
      </c>
      <c r="F994" t="e">
        <f>YEAR(C994)</f>
        <v>#VALUE!</v>
      </c>
      <c r="G994" t="e">
        <f>MONTH(C994)</f>
        <v>#VALUE!</v>
      </c>
      <c r="H994" t="e">
        <f>F994&amp;"-"&amp;G994</f>
        <v>#VALUE!</v>
      </c>
    </row>
    <row r="995">
      <c r="A995" t="s">
        <v>57</v>
      </c>
      <c r="B995" t="s">
        <v>231</v>
      </c>
      <c r="C995" t="s">
        <v>464</v>
      </c>
      <c r="D995">
        <v>29133</v>
      </c>
      <c r="E995">
        <v>9</v>
      </c>
      <c r="F995" t="e">
        <f>YEAR(C995)</f>
        <v>#VALUE!</v>
      </c>
      <c r="G995" t="e">
        <f>MONTH(C995)</f>
        <v>#VALUE!</v>
      </c>
      <c r="H995" t="e">
        <f>F995&amp;"-"&amp;G995</f>
        <v>#VALUE!</v>
      </c>
    </row>
    <row r="996">
      <c r="A996" t="s">
        <v>8</v>
      </c>
      <c r="B996" t="s">
        <v>263</v>
      </c>
      <c r="C996" t="s">
        <v>464</v>
      </c>
      <c r="D996">
        <v>69956</v>
      </c>
      <c r="E996">
        <v>6</v>
      </c>
      <c r="F996" t="e">
        <f>YEAR(C996)</f>
        <v>#VALUE!</v>
      </c>
      <c r="G996" t="e">
        <f>MONTH(C996)</f>
        <v>#VALUE!</v>
      </c>
      <c r="H996" t="e">
        <f>F996&amp;"-"&amp;G996</f>
        <v>#VALUE!</v>
      </c>
    </row>
    <row r="997">
      <c r="A997" t="s">
        <v>17</v>
      </c>
      <c r="B997" t="s">
        <v>142</v>
      </c>
      <c r="C997" t="s">
        <v>465</v>
      </c>
      <c r="D997">
        <v>59941</v>
      </c>
      <c r="E997">
        <v>9</v>
      </c>
      <c r="F997" t="e">
        <f>YEAR(C997)</f>
        <v>#VALUE!</v>
      </c>
      <c r="G997" t="e">
        <f>MONTH(C997)</f>
        <v>#VALUE!</v>
      </c>
      <c r="H997" t="e">
        <f>F997&amp;"-"&amp;G997</f>
        <v>#VALUE!</v>
      </c>
    </row>
    <row r="998">
      <c r="A998" t="s">
        <v>43</v>
      </c>
      <c r="B998" t="s">
        <v>227</v>
      </c>
      <c r="C998" t="s">
        <v>465</v>
      </c>
      <c r="D998">
        <v>41559</v>
      </c>
      <c r="E998">
        <v>9</v>
      </c>
      <c r="F998" t="e">
        <f>YEAR(C998)</f>
        <v>#VALUE!</v>
      </c>
      <c r="G998" t="e">
        <f>MONTH(C998)</f>
        <v>#VALUE!</v>
      </c>
      <c r="H998" t="e">
        <f>F998&amp;"-"&amp;G998</f>
        <v>#VALUE!</v>
      </c>
    </row>
    <row r="999">
      <c r="A999" t="s">
        <v>24</v>
      </c>
      <c r="B999" t="s">
        <v>316</v>
      </c>
      <c r="C999" t="s">
        <v>465</v>
      </c>
      <c r="D999">
        <v>61487</v>
      </c>
      <c r="E999">
        <v>8</v>
      </c>
      <c r="F999" t="e">
        <f>YEAR(C999)</f>
        <v>#VALUE!</v>
      </c>
      <c r="G999" t="e">
        <f>MONTH(C999)</f>
        <v>#VALUE!</v>
      </c>
      <c r="H999" t="e">
        <f>F999&amp;"-"&amp;G999</f>
        <v>#VALUE!</v>
      </c>
    </row>
    <row r="1000">
      <c r="A1000" t="s">
        <v>24</v>
      </c>
      <c r="B1000" t="s">
        <v>257</v>
      </c>
      <c r="C1000" t="s">
        <v>465</v>
      </c>
      <c r="D1000">
        <v>31052</v>
      </c>
      <c r="E1000">
        <v>9</v>
      </c>
      <c r="F1000" t="e">
        <f>YEAR(C1000)</f>
        <v>#VALUE!</v>
      </c>
      <c r="G1000" t="e">
        <f>MONTH(C1000)</f>
        <v>#VALUE!</v>
      </c>
      <c r="H1000" t="e">
        <f>F1000&amp;"-"&amp;G1000</f>
        <v>#VALUE!</v>
      </c>
    </row>
    <row r="1001">
      <c r="A1001" t="s">
        <v>5</v>
      </c>
      <c r="B1001" t="s">
        <v>174</v>
      </c>
      <c r="C1001" t="s">
        <v>466</v>
      </c>
      <c r="D1001">
        <v>76169</v>
      </c>
      <c r="E1001">
        <v>7</v>
      </c>
      <c r="F1001">
        <f>YEAR(C1001)</f>
        <v>2024</v>
      </c>
      <c r="G1001">
        <f>MONTH(C1001)</f>
        <v>2</v>
      </c>
      <c r="H1001" t="str">
        <f>F1001&amp;"-"&amp;G1001</f>
        <v>2024-2</v>
      </c>
    </row>
  </sheetData>
  <autoFilter ref="A1:H1001">
    <filterColumn colId="0">
      <filters>
        <filter val="Кузнецов Дмитрий Львович"/>
        <filter val="Белов Алексей Константинович"/>
        <filter val="Громова Мария Ильинична"/>
        <filter val="Сидорова Елена Васильевна"/>
        <filter val="Иванова Анна Сергеевна"/>
        <filter val="Орлов Павел Денисович"/>
        <filter val="Новикова Ольга Петровна"/>
        <filter val="Петров Владимир Кириллович"/>
        <filter val="Семенова Ирина Валерьевна"/>
        <filter val="Ткаченко Андрей Олегович"/>
        <filter val="Фролов Сергей Викторович"/>
        <filter val="Яковлев Артем Игоревич"/>
      </filters>
    </filterColumn>
    <filterColumn colId="4">
      <filters>
        <filter val="0"/>
        <filter val="1"/>
        <filter val="2"/>
        <filter val="3"/>
        <filter val="4"/>
        <filter val="5"/>
        <filter val="6"/>
        <filter val="7"/>
        <filter val="8"/>
        <filter val="9"/>
        <filter val="10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A2" activeCellId="0" sqref="A2:N13"/>
    </sheetView>
  </sheetViews>
  <sheetFormatPr defaultRowHeight="15" outlineLevelRow="0" outlineLevelCol="0"/>
  <cols>
    <col min="1" max="1" width="25.44140625" customWidth="1"/>
  </cols>
  <sheetData>
    <row r="1">
      <c r="B1" s="55" t="s">
        <v>521</v>
      </c>
      <c r="C1" s="55" t="s">
        <v>522</v>
      </c>
      <c r="D1" s="55" t="s">
        <v>523</v>
      </c>
      <c r="E1" s="55" t="s">
        <v>524</v>
      </c>
      <c r="F1" s="55" t="s">
        <v>525</v>
      </c>
      <c r="G1" s="55" t="s">
        <v>526</v>
      </c>
      <c r="H1" s="55" t="s">
        <v>527</v>
      </c>
      <c r="I1" s="55" t="s">
        <v>528</v>
      </c>
      <c r="J1" s="55" t="s">
        <v>529</v>
      </c>
      <c r="K1" s="55" t="s">
        <v>530</v>
      </c>
      <c r="L1" s="55" t="s">
        <v>531</v>
      </c>
      <c r="M1" s="55" t="s">
        <v>532</v>
      </c>
      <c r="N1" s="55" t="s">
        <v>533</v>
      </c>
    </row>
    <row r="2">
      <c r="A2" s="7" t="s">
        <v>47</v>
      </c>
      <c r="B2" s="56" t="str">
        <f>IFERROR((COUNTIFS('Задача3.1'!$A:$A,$A2,'Задача3.1'!$H:$H,B$1,'Задача3.1'!$E:$E,"&gt;=9")-COUNTIFS('Задача3.1'!$A:$A,$A2,'Задача3.1'!$H:$H,B$1,'Задача3.1'!$E:$E,"&lt;=6"))/COUNTIFS('Задача3.1'!$A:$A,$A2,'Задача3.1'!$H:$H,B$1,'Задача3.1'!$E:$E,"&gt;=0"),"")</f>
        <v/>
      </c>
      <c r="C2" s="56">
        <f>IFERROR((COUNTIFS('Задача3.1'!$A:$A,$A2,'Задача3.1'!$H:$H,C$1,'Задача3.1'!$E:$E,"&gt;=9")-COUNTIFS('Задача3.1'!$A:$A,$A2,'Задача3.1'!$H:$H,C$1,'Задача3.1'!$E:$E,"&lt;=6"))/COUNTIFS('Задача3.1'!$A:$A,$A2,'Задача3.1'!$H:$H,C$1,'Задача3.1'!$E:$E,"&gt;=0"),"")</f>
        <v>1</v>
      </c>
      <c r="D2" s="56">
        <f>IFERROR((COUNTIFS('Задача3.1'!$A:$A,$A2,'Задача3.1'!$H:$H,D$1,'Задача3.1'!$E:$E,"&gt;=9")-COUNTIFS('Задача3.1'!$A:$A,$A2,'Задача3.1'!$H:$H,D$1,'Задача3.1'!$E:$E,"&lt;=6"))/COUNTIFS('Задача3.1'!$A:$A,$A2,'Задача3.1'!$H:$H,D$1,'Задача3.1'!$E:$E,"&gt;=0"),"")</f>
        <v>0</v>
      </c>
      <c r="E2" s="56">
        <f>IFERROR((COUNTIFS('Задача3.1'!$A:$A,$A2,'Задача3.1'!$H:$H,E$1,'Задача3.1'!$E:$E,"&gt;=9")-COUNTIFS('Задача3.1'!$A:$A,$A2,'Задача3.1'!$H:$H,E$1,'Задача3.1'!$E:$E,"&lt;=6"))/COUNTIFS('Задача3.1'!$A:$A,$A2,'Задача3.1'!$H:$H,E$1,'Задача3.1'!$E:$E,"&gt;=0"),"")</f>
        <v>-0.5</v>
      </c>
      <c r="F2" s="56">
        <f>IFERROR((COUNTIFS('Задача3.1'!$A:$A,$A2,'Задача3.1'!$H:$H,F$1,'Задача3.1'!$E:$E,"&gt;=9")-COUNTIFS('Задача3.1'!$A:$A,$A2,'Задача3.1'!$H:$H,F$1,'Задача3.1'!$E:$E,"&lt;=6"))/COUNTIFS('Задача3.1'!$A:$A,$A2,'Задача3.1'!$H:$H,F$1,'Задача3.1'!$E:$E,"&gt;=0"),"")</f>
        <v>-1</v>
      </c>
      <c r="G2" s="56">
        <f>IFERROR((COUNTIFS('Задача3.1'!$A:$A,$A2,'Задача3.1'!$H:$H,G$1,'Задача3.1'!$E:$E,"&gt;=9")-COUNTIFS('Задача3.1'!$A:$A,$A2,'Задача3.1'!$H:$H,G$1,'Задача3.1'!$E:$E,"&lt;=6"))/COUNTIFS('Задача3.1'!$A:$A,$A2,'Задача3.1'!$H:$H,G$1,'Задача3.1'!$E:$E,"&gt;=0"),"")</f>
        <v>0</v>
      </c>
      <c r="H2" s="56">
        <f>IFERROR((COUNTIFS('Задача3.1'!$A:$A,$A2,'Задача3.1'!$H:$H,H$1,'Задача3.1'!$E:$E,"&gt;=9")-COUNTIFS('Задача3.1'!$A:$A,$A2,'Задача3.1'!$H:$H,H$1,'Задача3.1'!$E:$E,"&lt;=6"))/COUNTIFS('Задача3.1'!$A:$A,$A2,'Задача3.1'!$H:$H,H$1,'Задача3.1'!$E:$E,"&gt;=0"),"")</f>
        <v>-0.5</v>
      </c>
      <c r="I2" s="56">
        <f>IFERROR((COUNTIFS('Задача3.1'!$A:$A,$A2,'Задача3.1'!$H:$H,I$1,'Задача3.1'!$E:$E,"&gt;=9")-COUNTIFS('Задача3.1'!$A:$A,$A2,'Задача3.1'!$H:$H,I$1,'Задача3.1'!$E:$E,"&lt;=6"))/COUNTIFS('Задача3.1'!$A:$A,$A2,'Задача3.1'!$H:$H,I$1,'Задача3.1'!$E:$E,"&gt;=0"),"")</f>
        <v>0</v>
      </c>
      <c r="J2" s="56">
        <f>IFERROR((COUNTIFS('Задача3.1'!$A:$A,$A2,'Задача3.1'!$H:$H,J$1,'Задача3.1'!$E:$E,"&gt;=9")-COUNTIFS('Задача3.1'!$A:$A,$A2,'Задача3.1'!$H:$H,J$1,'Задача3.1'!$E:$E,"&lt;=6"))/COUNTIFS('Задача3.1'!$A:$A,$A2,'Задача3.1'!$H:$H,J$1,'Задача3.1'!$E:$E,"&gt;=0"),"")</f>
        <v>-1</v>
      </c>
      <c r="K2" s="56">
        <f>IFERROR((COUNTIFS('Задача3.1'!$A:$A,$A2,'Задача3.1'!$H:$H,K$1,'Задача3.1'!$E:$E,"&gt;=9")-COUNTIFS('Задача3.1'!$A:$A,$A2,'Задача3.1'!$H:$H,K$1,'Задача3.1'!$E:$E,"&lt;=6"))/COUNTIFS('Задача3.1'!$A:$A,$A2,'Задача3.1'!$H:$H,K$1,'Задача3.1'!$E:$E,"&gt;=0"),"")</f>
        <v>0</v>
      </c>
      <c r="L2" s="56">
        <f>IFERROR((COUNTIFS('Задача3.1'!$A:$A,$A2,'Задача3.1'!$H:$H,L$1,'Задача3.1'!$E:$E,"&gt;=9")-COUNTIFS('Задача3.1'!$A:$A,$A2,'Задача3.1'!$H:$H,L$1,'Задача3.1'!$E:$E,"&lt;=6"))/COUNTIFS('Задача3.1'!$A:$A,$A2,'Задача3.1'!$H:$H,L$1,'Задача3.1'!$E:$E,"&gt;=0"),"")</f>
        <v>-1</v>
      </c>
      <c r="M2" s="56">
        <f>IFERROR((COUNTIFS('Задача3.1'!$A:$A,$A2,'Задача3.1'!$H:$H,M$1,'Задача3.1'!$E:$E,"&gt;=9")-COUNTIFS('Задача3.1'!$A:$A,$A2,'Задача3.1'!$H:$H,M$1,'Задача3.1'!$E:$E,"&lt;=6"))/COUNTIFS('Задача3.1'!$A:$A,$A2,'Задача3.1'!$H:$H,M$1,'Задача3.1'!$E:$E,"&gt;=0"),"")</f>
        <v>0.25</v>
      </c>
      <c r="N2" s="56">
        <f>IFERROR((COUNTIFS('Задача3.1'!$A:$A,$A2,'Задача3.1'!$H:$H,N$1,'Задача3.1'!$E:$E,"&gt;=9")-COUNTIFS('Задача3.1'!$A:$A,$A2,'Задача3.1'!$H:$H,N$1,'Задача3.1'!$E:$E,"&lt;=6"))/COUNTIFS('Задача3.1'!$A:$A,$A2,'Задача3.1'!$H:$H,N$1,'Задача3.1'!$E:$E,"&gt;=0"),"")</f>
        <v>-1</v>
      </c>
    </row>
    <row r="3">
      <c r="A3" s="7" t="s">
        <v>13</v>
      </c>
      <c r="B3" s="56">
        <f>IFERROR((COUNTIFS('Задача3.1'!$A:$A,$A3,'Задача3.1'!$H:$H,B$1,'Задача3.1'!$E:$E,"&gt;=9")-COUNTIFS('Задача3.1'!$A:$A,$A3,'Задача3.1'!$H:$H,B$1,'Задача3.1'!$E:$E,"&lt;=6"))/COUNTIFS('Задача3.1'!$A:$A,$A3,'Задача3.1'!$H:$H,B$1,'Задача3.1'!$E:$E,"&gt;=0"),"")</f>
        <v>-1</v>
      </c>
      <c r="C3" s="56">
        <f>IFERROR((COUNTIFS('Задача3.1'!$A:$A,$A3,'Задача3.1'!$H:$H,C$1,'Задача3.1'!$E:$E,"&gt;=9")-COUNTIFS('Задача3.1'!$A:$A,$A3,'Задача3.1'!$H:$H,C$1,'Задача3.1'!$E:$E,"&lt;=6"))/COUNTIFS('Задача3.1'!$A:$A,$A3,'Задача3.1'!$H:$H,C$1,'Задача3.1'!$E:$E,"&gt;=0"),"")</f>
        <v>0</v>
      </c>
      <c r="D3" s="56">
        <f>IFERROR((COUNTIFS('Задача3.1'!$A:$A,$A3,'Задача3.1'!$H:$H,D$1,'Задача3.1'!$E:$E,"&gt;=9")-COUNTIFS('Задача3.1'!$A:$A,$A3,'Задача3.1'!$H:$H,D$1,'Задача3.1'!$E:$E,"&lt;=6"))/COUNTIFS('Задача3.1'!$A:$A,$A3,'Задача3.1'!$H:$H,D$1,'Задача3.1'!$E:$E,"&gt;=0"),"")</f>
        <v>-1</v>
      </c>
      <c r="E3" s="56" t="str">
        <f>IFERROR((COUNTIFS('Задача3.1'!$A:$A,$A3,'Задача3.1'!$H:$H,E$1,'Задача3.1'!$E:$E,"&gt;=9")-COUNTIFS('Задача3.1'!$A:$A,$A3,'Задача3.1'!$H:$H,E$1,'Задача3.1'!$E:$E,"&lt;=6"))/COUNTIFS('Задача3.1'!$A:$A,$A3,'Задача3.1'!$H:$H,E$1,'Задача3.1'!$E:$E,"&gt;=0"),"")</f>
        <v/>
      </c>
      <c r="F3" s="56">
        <f>IFERROR((COUNTIFS('Задача3.1'!$A:$A,$A3,'Задача3.1'!$H:$H,F$1,'Задача3.1'!$E:$E,"&gt;=9")-COUNTIFS('Задача3.1'!$A:$A,$A3,'Задача3.1'!$H:$H,F$1,'Задача3.1'!$E:$E,"&lt;=6"))/COUNTIFS('Задача3.1'!$A:$A,$A3,'Задача3.1'!$H:$H,F$1,'Задача3.1'!$E:$E,"&gt;=0"),"")</f>
        <v>0.3333333333333333</v>
      </c>
      <c r="G3" s="56">
        <f>IFERROR((COUNTIFS('Задача3.1'!$A:$A,$A3,'Задача3.1'!$H:$H,G$1,'Задача3.1'!$E:$E,"&gt;=9")-COUNTIFS('Задача3.1'!$A:$A,$A3,'Задача3.1'!$H:$H,G$1,'Задача3.1'!$E:$E,"&lt;=6"))/COUNTIFS('Задача3.1'!$A:$A,$A3,'Задача3.1'!$H:$H,G$1,'Задача3.1'!$E:$E,"&gt;=0"),"")</f>
        <v>-0.75</v>
      </c>
      <c r="H3" s="56">
        <f>IFERROR((COUNTIFS('Задача3.1'!$A:$A,$A3,'Задача3.1'!$H:$H,H$1,'Задача3.1'!$E:$E,"&gt;=9")-COUNTIFS('Задача3.1'!$A:$A,$A3,'Задача3.1'!$H:$H,H$1,'Задача3.1'!$E:$E,"&lt;=6"))/COUNTIFS('Задача3.1'!$A:$A,$A3,'Задача3.1'!$H:$H,H$1,'Задача3.1'!$E:$E,"&gt;=0"),"")</f>
        <v>-1</v>
      </c>
      <c r="I3" s="56">
        <f>IFERROR((COUNTIFS('Задача3.1'!$A:$A,$A3,'Задача3.1'!$H:$H,I$1,'Задача3.1'!$E:$E,"&gt;=9")-COUNTIFS('Задача3.1'!$A:$A,$A3,'Задача3.1'!$H:$H,I$1,'Задача3.1'!$E:$E,"&lt;=6"))/COUNTIFS('Задача3.1'!$A:$A,$A3,'Задача3.1'!$H:$H,I$1,'Задача3.1'!$E:$E,"&gt;=0"),"")</f>
        <v>0</v>
      </c>
      <c r="J3" s="56">
        <f>IFERROR((COUNTIFS('Задача3.1'!$A:$A,$A3,'Задача3.1'!$H:$H,J$1,'Задача3.1'!$E:$E,"&gt;=9")-COUNTIFS('Задача3.1'!$A:$A,$A3,'Задача3.1'!$H:$H,J$1,'Задача3.1'!$E:$E,"&lt;=6"))/COUNTIFS('Задача3.1'!$A:$A,$A3,'Задача3.1'!$H:$H,J$1,'Задача3.1'!$E:$E,"&gt;=0"),"")</f>
        <v>0</v>
      </c>
      <c r="K3" s="56" t="str">
        <f>IFERROR((COUNTIFS('Задача3.1'!$A:$A,$A3,'Задача3.1'!$H:$H,K$1,'Задача3.1'!$E:$E,"&gt;=9")-COUNTIFS('Задача3.1'!$A:$A,$A3,'Задача3.1'!$H:$H,K$1,'Задача3.1'!$E:$E,"&lt;=6"))/COUNTIFS('Задача3.1'!$A:$A,$A3,'Задача3.1'!$H:$H,K$1,'Задача3.1'!$E:$E,"&gt;=0"),"")</f>
        <v/>
      </c>
      <c r="L3" s="56">
        <f>IFERROR((COUNTIFS('Задача3.1'!$A:$A,$A3,'Задача3.1'!$H:$H,L$1,'Задача3.1'!$E:$E,"&gt;=9")-COUNTIFS('Задача3.1'!$A:$A,$A3,'Задача3.1'!$H:$H,L$1,'Задача3.1'!$E:$E,"&lt;=6"))/COUNTIFS('Задача3.1'!$A:$A,$A3,'Задача3.1'!$H:$H,L$1,'Задача3.1'!$E:$E,"&gt;=0"),"")</f>
        <v>0</v>
      </c>
      <c r="M3" s="56">
        <f>IFERROR((COUNTIFS('Задача3.1'!$A:$A,$A3,'Задача3.1'!$H:$H,M$1,'Задача3.1'!$E:$E,"&gt;=9")-COUNTIFS('Задача3.1'!$A:$A,$A3,'Задача3.1'!$H:$H,M$1,'Задача3.1'!$E:$E,"&lt;=6"))/COUNTIFS('Задача3.1'!$A:$A,$A3,'Задача3.1'!$H:$H,M$1,'Задача3.1'!$E:$E,"&gt;=0"),"")</f>
        <v>0.3333333333333333</v>
      </c>
      <c r="N3" s="56" t="str">
        <f>IFERROR((COUNTIFS('Задача3.1'!$A:$A,$A3,'Задача3.1'!$H:$H,N$1,'Задача3.1'!$E:$E,"&gt;=9")-COUNTIFS('Задача3.1'!$A:$A,$A3,'Задача3.1'!$H:$H,N$1,'Задача3.1'!$E:$E,"&lt;=6"))/COUNTIFS('Задача3.1'!$A:$A,$A3,'Задача3.1'!$H:$H,N$1,'Задача3.1'!$E:$E,"&gt;=0"),"")</f>
        <v/>
      </c>
    </row>
    <row r="4">
      <c r="A4" s="7" t="s">
        <v>11</v>
      </c>
      <c r="B4" s="56">
        <f>IFERROR((COUNTIFS('Задача3.1'!$A:$A,$A4,'Задача3.1'!$H:$H,B$1,'Задача3.1'!$E:$E,"&gt;=9")-COUNTIFS('Задача3.1'!$A:$A,$A4,'Задача3.1'!$H:$H,B$1,'Задача3.1'!$E:$E,"&lt;=6"))/COUNTIFS('Задача3.1'!$A:$A,$A4,'Задача3.1'!$H:$H,B$1,'Задача3.1'!$E:$E,"&gt;=0"),"")</f>
        <v>-0.5</v>
      </c>
      <c r="C4" s="56">
        <f>IFERROR((COUNTIFS('Задача3.1'!$A:$A,$A4,'Задача3.1'!$H:$H,C$1,'Задача3.1'!$E:$E,"&gt;=9")-COUNTIFS('Задача3.1'!$A:$A,$A4,'Задача3.1'!$H:$H,C$1,'Задача3.1'!$E:$E,"&lt;=6"))/COUNTIFS('Задача3.1'!$A:$A,$A4,'Задача3.1'!$H:$H,C$1,'Задача3.1'!$E:$E,"&gt;=0"),"")</f>
        <v>-1</v>
      </c>
      <c r="D4" s="56" t="str">
        <f>IFERROR((COUNTIFS('Задача3.1'!$A:$A,$A4,'Задача3.1'!$H:$H,D$1,'Задача3.1'!$E:$E,"&gt;=9")-COUNTIFS('Задача3.1'!$A:$A,$A4,'Задача3.1'!$H:$H,D$1,'Задача3.1'!$E:$E,"&lt;=6"))/COUNTIFS('Задача3.1'!$A:$A,$A4,'Задача3.1'!$H:$H,D$1,'Задача3.1'!$E:$E,"&gt;=0"),"")</f>
        <v/>
      </c>
      <c r="E4" s="56" t="str">
        <f>IFERROR((COUNTIFS('Задача3.1'!$A:$A,$A4,'Задача3.1'!$H:$H,E$1,'Задача3.1'!$E:$E,"&gt;=9")-COUNTIFS('Задача3.1'!$A:$A,$A4,'Задача3.1'!$H:$H,E$1,'Задача3.1'!$E:$E,"&lt;=6"))/COUNTIFS('Задача3.1'!$A:$A,$A4,'Задача3.1'!$H:$H,E$1,'Задача3.1'!$E:$E,"&gt;=0"),"")</f>
        <v/>
      </c>
      <c r="F4" s="56">
        <f>IFERROR((COUNTIFS('Задача3.1'!$A:$A,$A4,'Задача3.1'!$H:$H,F$1,'Задача3.1'!$E:$E,"&gt;=9")-COUNTIFS('Задача3.1'!$A:$A,$A4,'Задача3.1'!$H:$H,F$1,'Задача3.1'!$E:$E,"&lt;=6"))/COUNTIFS('Задача3.1'!$A:$A,$A4,'Задача3.1'!$H:$H,F$1,'Задача3.1'!$E:$E,"&gt;=0"),"")</f>
        <v>-1</v>
      </c>
      <c r="G4" s="56">
        <f>IFERROR((COUNTIFS('Задача3.1'!$A:$A,$A4,'Задача3.1'!$H:$H,G$1,'Задача3.1'!$E:$E,"&gt;=9")-COUNTIFS('Задача3.1'!$A:$A,$A4,'Задача3.1'!$H:$H,G$1,'Задача3.1'!$E:$E,"&lt;=6"))/COUNTIFS('Задача3.1'!$A:$A,$A4,'Задача3.1'!$H:$H,G$1,'Задача3.1'!$E:$E,"&gt;=0"),"")</f>
        <v>-1</v>
      </c>
      <c r="H4" s="56">
        <f>IFERROR((COUNTIFS('Задача3.1'!$A:$A,$A4,'Задача3.1'!$H:$H,H$1,'Задача3.1'!$E:$E,"&gt;=9")-COUNTIFS('Задача3.1'!$A:$A,$A4,'Задача3.1'!$H:$H,H$1,'Задача3.1'!$E:$E,"&lt;=6"))/COUNTIFS('Задача3.1'!$A:$A,$A4,'Задача3.1'!$H:$H,H$1,'Задача3.1'!$E:$E,"&gt;=0"),"")</f>
        <v>-1</v>
      </c>
      <c r="I4" s="56" t="str">
        <f>IFERROR((COUNTIFS('Задача3.1'!$A:$A,$A4,'Задача3.1'!$H:$H,I$1,'Задача3.1'!$E:$E,"&gt;=9")-COUNTIFS('Задача3.1'!$A:$A,$A4,'Задача3.1'!$H:$H,I$1,'Задача3.1'!$E:$E,"&lt;=6"))/COUNTIFS('Задача3.1'!$A:$A,$A4,'Задача3.1'!$H:$H,I$1,'Задача3.1'!$E:$E,"&gt;=0"),"")</f>
        <v/>
      </c>
      <c r="J4" s="56">
        <f>IFERROR((COUNTIFS('Задача3.1'!$A:$A,$A4,'Задача3.1'!$H:$H,J$1,'Задача3.1'!$E:$E,"&gt;=9")-COUNTIFS('Задача3.1'!$A:$A,$A4,'Задача3.1'!$H:$H,J$1,'Задача3.1'!$E:$E,"&lt;=6"))/COUNTIFS('Задача3.1'!$A:$A,$A4,'Задача3.1'!$H:$H,J$1,'Задача3.1'!$E:$E,"&gt;=0"),"")</f>
        <v>0</v>
      </c>
      <c r="K4" s="56">
        <f>IFERROR((COUNTIFS('Задача3.1'!$A:$A,$A4,'Задача3.1'!$H:$H,K$1,'Задача3.1'!$E:$E,"&gt;=9")-COUNTIFS('Задача3.1'!$A:$A,$A4,'Задача3.1'!$H:$H,K$1,'Задача3.1'!$E:$E,"&lt;=6"))/COUNTIFS('Задача3.1'!$A:$A,$A4,'Задача3.1'!$H:$H,K$1,'Задача3.1'!$E:$E,"&gt;=0"),"")</f>
        <v>0</v>
      </c>
      <c r="L4" s="56" t="str">
        <f>IFERROR((COUNTIFS('Задача3.1'!$A:$A,$A4,'Задача3.1'!$H:$H,L$1,'Задача3.1'!$E:$E,"&gt;=9")-COUNTIFS('Задача3.1'!$A:$A,$A4,'Задача3.1'!$H:$H,L$1,'Задача3.1'!$E:$E,"&lt;=6"))/COUNTIFS('Задача3.1'!$A:$A,$A4,'Задача3.1'!$H:$H,L$1,'Задача3.1'!$E:$E,"&gt;=0"),"")</f>
        <v/>
      </c>
      <c r="M4" s="56">
        <f>IFERROR((COUNTIFS('Задача3.1'!$A:$A,$A4,'Задача3.1'!$H:$H,M$1,'Задача3.1'!$E:$E,"&gt;=9")-COUNTIFS('Задача3.1'!$A:$A,$A4,'Задача3.1'!$H:$H,M$1,'Задача3.1'!$E:$E,"&lt;=6"))/COUNTIFS('Задача3.1'!$A:$A,$A4,'Задача3.1'!$H:$H,M$1,'Задача3.1'!$E:$E,"&gt;=0"),"")</f>
        <v>-1</v>
      </c>
      <c r="N4" s="56" t="str">
        <f>IFERROR((COUNTIFS('Задача3.1'!$A:$A,$A4,'Задача3.1'!$H:$H,N$1,'Задача3.1'!$E:$E,"&gt;=9")-COUNTIFS('Задача3.1'!$A:$A,$A4,'Задача3.1'!$H:$H,N$1,'Задача3.1'!$E:$E,"&lt;=6"))/COUNTIFS('Задача3.1'!$A:$A,$A4,'Задача3.1'!$H:$H,N$1,'Задача3.1'!$E:$E,"&gt;=0"),"")</f>
        <v/>
      </c>
    </row>
    <row r="5">
      <c r="A5" s="7" t="s">
        <v>8</v>
      </c>
      <c r="B5" s="56">
        <f>IFERROR((COUNTIFS('Задача3.1'!$A:$A,$A5,'Задача3.1'!$H:$H,B$1,'Задача3.1'!$E:$E,"&gt;=9")-COUNTIFS('Задача3.1'!$A:$A,$A5,'Задача3.1'!$H:$H,B$1,'Задача3.1'!$E:$E,"&lt;=6"))/COUNTIFS('Задача3.1'!$A:$A,$A5,'Задача3.1'!$H:$H,B$1,'Задача3.1'!$E:$E,"&gt;=0"),"")</f>
        <v>-1</v>
      </c>
      <c r="C5" s="56" t="str">
        <f>IFERROR((COUNTIFS('Задача3.1'!$A:$A,$A5,'Задача3.1'!$H:$H,C$1,'Задача3.1'!$E:$E,"&gt;=9")-COUNTIFS('Задача3.1'!$A:$A,$A5,'Задача3.1'!$H:$H,C$1,'Задача3.1'!$E:$E,"&lt;=6"))/COUNTIFS('Задача3.1'!$A:$A,$A5,'Задача3.1'!$H:$H,C$1,'Задача3.1'!$E:$E,"&gt;=0"),"")</f>
        <v/>
      </c>
      <c r="D5" s="56">
        <f>IFERROR((COUNTIFS('Задача3.1'!$A:$A,$A5,'Задача3.1'!$H:$H,D$1,'Задача3.1'!$E:$E,"&gt;=9")-COUNTIFS('Задача3.1'!$A:$A,$A5,'Задача3.1'!$H:$H,D$1,'Задача3.1'!$E:$E,"&lt;=6"))/COUNTIFS('Задача3.1'!$A:$A,$A5,'Задача3.1'!$H:$H,D$1,'Задача3.1'!$E:$E,"&gt;=0"),"")</f>
        <v>-1</v>
      </c>
      <c r="E5" s="56">
        <f>IFERROR((COUNTIFS('Задача3.1'!$A:$A,$A5,'Задача3.1'!$H:$H,E$1,'Задача3.1'!$E:$E,"&gt;=9")-COUNTIFS('Задача3.1'!$A:$A,$A5,'Задача3.1'!$H:$H,E$1,'Задача3.1'!$E:$E,"&lt;=6"))/COUNTIFS('Задача3.1'!$A:$A,$A5,'Задача3.1'!$H:$H,E$1,'Задача3.1'!$E:$E,"&gt;=0"),"")</f>
        <v>0</v>
      </c>
      <c r="F5" s="56">
        <f>IFERROR((COUNTIFS('Задача3.1'!$A:$A,$A5,'Задача3.1'!$H:$H,F$1,'Задача3.1'!$E:$E,"&gt;=9")-COUNTIFS('Задача3.1'!$A:$A,$A5,'Задача3.1'!$H:$H,F$1,'Задача3.1'!$E:$E,"&lt;=6"))/COUNTIFS('Задача3.1'!$A:$A,$A5,'Задача3.1'!$H:$H,F$1,'Задача3.1'!$E:$E,"&gt;=0"),"")</f>
        <v>0</v>
      </c>
      <c r="G5" s="56">
        <f>IFERROR((COUNTIFS('Задача3.1'!$A:$A,$A5,'Задача3.1'!$H:$H,G$1,'Задача3.1'!$E:$E,"&gt;=9")-COUNTIFS('Задача3.1'!$A:$A,$A5,'Задача3.1'!$H:$H,G$1,'Задача3.1'!$E:$E,"&lt;=6"))/COUNTIFS('Задача3.1'!$A:$A,$A5,'Задача3.1'!$H:$H,G$1,'Задача3.1'!$E:$E,"&gt;=0"),"")</f>
        <v>1</v>
      </c>
      <c r="H5" s="56">
        <f>IFERROR((COUNTIFS('Задача3.1'!$A:$A,$A5,'Задача3.1'!$H:$H,H$1,'Задача3.1'!$E:$E,"&gt;=9")-COUNTIFS('Задача3.1'!$A:$A,$A5,'Задача3.1'!$H:$H,H$1,'Задача3.1'!$E:$E,"&lt;=6"))/COUNTIFS('Задача3.1'!$A:$A,$A5,'Задача3.1'!$H:$H,H$1,'Задача3.1'!$E:$E,"&gt;=0"),"")</f>
        <v>-0.5</v>
      </c>
      <c r="I5" s="56" t="str">
        <f>IFERROR((COUNTIFS('Задача3.1'!$A:$A,$A5,'Задача3.1'!$H:$H,I$1,'Задача3.1'!$E:$E,"&gt;=9")-COUNTIFS('Задача3.1'!$A:$A,$A5,'Задача3.1'!$H:$H,I$1,'Задача3.1'!$E:$E,"&lt;=6"))/COUNTIFS('Задача3.1'!$A:$A,$A5,'Задача3.1'!$H:$H,I$1,'Задача3.1'!$E:$E,"&gt;=0"),"")</f>
        <v/>
      </c>
      <c r="J5" s="56">
        <f>IFERROR((COUNTIFS('Задача3.1'!$A:$A,$A5,'Задача3.1'!$H:$H,J$1,'Задача3.1'!$E:$E,"&gt;=9")-COUNTIFS('Задача3.1'!$A:$A,$A5,'Задача3.1'!$H:$H,J$1,'Задача3.1'!$E:$E,"&lt;=6"))/COUNTIFS('Задача3.1'!$A:$A,$A5,'Задача3.1'!$H:$H,J$1,'Задача3.1'!$E:$E,"&gt;=0"),"")</f>
        <v>0</v>
      </c>
      <c r="K5" s="56">
        <f>IFERROR((COUNTIFS('Задача3.1'!$A:$A,$A5,'Задача3.1'!$H:$H,K$1,'Задача3.1'!$E:$E,"&gt;=9")-COUNTIFS('Задача3.1'!$A:$A,$A5,'Задача3.1'!$H:$H,K$1,'Задача3.1'!$E:$E,"&lt;=6"))/COUNTIFS('Задача3.1'!$A:$A,$A5,'Задача3.1'!$H:$H,K$1,'Задача3.1'!$E:$E,"&gt;=0"),"")</f>
        <v>-1</v>
      </c>
      <c r="L5" s="56">
        <f>IFERROR((COUNTIFS('Задача3.1'!$A:$A,$A5,'Задача3.1'!$H:$H,L$1,'Задача3.1'!$E:$E,"&gt;=9")-COUNTIFS('Задача3.1'!$A:$A,$A5,'Задача3.1'!$H:$H,L$1,'Задача3.1'!$E:$E,"&lt;=6"))/COUNTIFS('Задача3.1'!$A:$A,$A5,'Задача3.1'!$H:$H,L$1,'Задача3.1'!$E:$E,"&gt;=0"),"")</f>
        <v>0</v>
      </c>
      <c r="M5" s="56">
        <f>IFERROR((COUNTIFS('Задача3.1'!$A:$A,$A5,'Задача3.1'!$H:$H,M$1,'Задача3.1'!$E:$E,"&gt;=9")-COUNTIFS('Задача3.1'!$A:$A,$A5,'Задача3.1'!$H:$H,M$1,'Задача3.1'!$E:$E,"&lt;=6"))/COUNTIFS('Задача3.1'!$A:$A,$A5,'Задача3.1'!$H:$H,M$1,'Задача3.1'!$E:$E,"&gt;=0"),"")</f>
        <v>-1</v>
      </c>
      <c r="N5" s="56">
        <f>IFERROR((COUNTIFS('Задача3.1'!$A:$A,$A5,'Задача3.1'!$H:$H,N$1,'Задача3.1'!$E:$E,"&gt;=9")-COUNTIFS('Задача3.1'!$A:$A,$A5,'Задача3.1'!$H:$H,N$1,'Задача3.1'!$E:$E,"&lt;=6"))/COUNTIFS('Задача3.1'!$A:$A,$A5,'Задача3.1'!$H:$H,N$1,'Задача3.1'!$E:$E,"&gt;=0"),"")</f>
        <v>0</v>
      </c>
    </row>
    <row r="6">
      <c r="A6" s="7" t="s">
        <v>17</v>
      </c>
      <c r="B6" s="56">
        <f>IFERROR((COUNTIFS('Задача3.1'!$A:$A,$A6,'Задача3.1'!$H:$H,B$1,'Задача3.1'!$E:$E,"&gt;=9")-COUNTIFS('Задача3.1'!$A:$A,$A6,'Задача3.1'!$H:$H,B$1,'Задача3.1'!$E:$E,"&lt;=6"))/COUNTIFS('Задача3.1'!$A:$A,$A6,'Задача3.1'!$H:$H,B$1,'Задача3.1'!$E:$E,"&gt;=0"),"")</f>
        <v>1</v>
      </c>
      <c r="C6" s="56" t="str">
        <f>IFERROR((COUNTIFS('Задача3.1'!$A:$A,$A6,'Задача3.1'!$H:$H,C$1,'Задача3.1'!$E:$E,"&gt;=9")-COUNTIFS('Задача3.1'!$A:$A,$A6,'Задача3.1'!$H:$H,C$1,'Задача3.1'!$E:$E,"&lt;=6"))/COUNTIFS('Задача3.1'!$A:$A,$A6,'Задача3.1'!$H:$H,C$1,'Задача3.1'!$E:$E,"&gt;=0"),"")</f>
        <v/>
      </c>
      <c r="D6" s="56" t="str">
        <f>IFERROR((COUNTIFS('Задача3.1'!$A:$A,$A6,'Задача3.1'!$H:$H,D$1,'Задача3.1'!$E:$E,"&gt;=9")-COUNTIFS('Задача3.1'!$A:$A,$A6,'Задача3.1'!$H:$H,D$1,'Задача3.1'!$E:$E,"&lt;=6"))/COUNTIFS('Задача3.1'!$A:$A,$A6,'Задача3.1'!$H:$H,D$1,'Задача3.1'!$E:$E,"&gt;=0"),"")</f>
        <v/>
      </c>
      <c r="E6" s="56" t="str">
        <f>IFERROR((COUNTIFS('Задача3.1'!$A:$A,$A6,'Задача3.1'!$H:$H,E$1,'Задача3.1'!$E:$E,"&gt;=9")-COUNTIFS('Задача3.1'!$A:$A,$A6,'Задача3.1'!$H:$H,E$1,'Задача3.1'!$E:$E,"&lt;=6"))/COUNTIFS('Задача3.1'!$A:$A,$A6,'Задача3.1'!$H:$H,E$1,'Задача3.1'!$E:$E,"&gt;=0"),"")</f>
        <v/>
      </c>
      <c r="F6" s="56">
        <f>IFERROR((COUNTIFS('Задача3.1'!$A:$A,$A6,'Задача3.1'!$H:$H,F$1,'Задача3.1'!$E:$E,"&gt;=9")-COUNTIFS('Задача3.1'!$A:$A,$A6,'Задача3.1'!$H:$H,F$1,'Задача3.1'!$E:$E,"&lt;=6"))/COUNTIFS('Задача3.1'!$A:$A,$A6,'Задача3.1'!$H:$H,F$1,'Задача3.1'!$E:$E,"&gt;=0"),"")</f>
        <v>0</v>
      </c>
      <c r="G6" s="56">
        <f>IFERROR((COUNTIFS('Задача3.1'!$A:$A,$A6,'Задача3.1'!$H:$H,G$1,'Задача3.1'!$E:$E,"&gt;=9")-COUNTIFS('Задача3.1'!$A:$A,$A6,'Задача3.1'!$H:$H,G$1,'Задача3.1'!$E:$E,"&lt;=6"))/COUNTIFS('Задача3.1'!$A:$A,$A6,'Задача3.1'!$H:$H,G$1,'Задача3.1'!$E:$E,"&gt;=0"),"")</f>
        <v>-0.5</v>
      </c>
      <c r="H6" s="56">
        <f>IFERROR((COUNTIFS('Задача3.1'!$A:$A,$A6,'Задача3.1'!$H:$H,H$1,'Задача3.1'!$E:$E,"&gt;=9")-COUNTIFS('Задача3.1'!$A:$A,$A6,'Задача3.1'!$H:$H,H$1,'Задача3.1'!$E:$E,"&lt;=6"))/COUNTIFS('Задача3.1'!$A:$A,$A6,'Задача3.1'!$H:$H,H$1,'Задача3.1'!$E:$E,"&gt;=0"),"")</f>
        <v>-1</v>
      </c>
      <c r="I6" s="56">
        <f>IFERROR((COUNTIFS('Задача3.1'!$A:$A,$A6,'Задача3.1'!$H:$H,I$1,'Задача3.1'!$E:$E,"&gt;=9")-COUNTIFS('Задача3.1'!$A:$A,$A6,'Задача3.1'!$H:$H,I$1,'Задача3.1'!$E:$E,"&lt;=6"))/COUNTIFS('Задача3.1'!$A:$A,$A6,'Задача3.1'!$H:$H,I$1,'Задача3.1'!$E:$E,"&gt;=0"),"")</f>
        <v>-0.5</v>
      </c>
      <c r="J6" s="56">
        <f>IFERROR((COUNTIFS('Задача3.1'!$A:$A,$A6,'Задача3.1'!$H:$H,J$1,'Задача3.1'!$E:$E,"&gt;=9")-COUNTIFS('Задача3.1'!$A:$A,$A6,'Задача3.1'!$H:$H,J$1,'Задача3.1'!$E:$E,"&lt;=6"))/COUNTIFS('Задача3.1'!$A:$A,$A6,'Задача3.1'!$H:$H,J$1,'Задача3.1'!$E:$E,"&gt;=0"),"")</f>
        <v>-0.6666666666666666</v>
      </c>
      <c r="K6" s="56">
        <f>IFERROR((COUNTIFS('Задача3.1'!$A:$A,$A6,'Задача3.1'!$H:$H,K$1,'Задача3.1'!$E:$E,"&gt;=9")-COUNTIFS('Задача3.1'!$A:$A,$A6,'Задача3.1'!$H:$H,K$1,'Задача3.1'!$E:$E,"&lt;=6"))/COUNTIFS('Задача3.1'!$A:$A,$A6,'Задача3.1'!$H:$H,K$1,'Задача3.1'!$E:$E,"&gt;=0"),"")</f>
        <v>0</v>
      </c>
      <c r="L6" s="56">
        <f>IFERROR((COUNTIFS('Задача3.1'!$A:$A,$A6,'Задача3.1'!$H:$H,L$1,'Задача3.1'!$E:$E,"&gt;=9")-COUNTIFS('Задача3.1'!$A:$A,$A6,'Задача3.1'!$H:$H,L$1,'Задача3.1'!$E:$E,"&lt;=6"))/COUNTIFS('Задача3.1'!$A:$A,$A6,'Задача3.1'!$H:$H,L$1,'Задача3.1'!$E:$E,"&gt;=0"),"")</f>
        <v>-1</v>
      </c>
      <c r="M6" s="56">
        <f>IFERROR((COUNTIFS('Задача3.1'!$A:$A,$A6,'Задача3.1'!$H:$H,M$1,'Задача3.1'!$E:$E,"&gt;=9")-COUNTIFS('Задача3.1'!$A:$A,$A6,'Задача3.1'!$H:$H,M$1,'Задача3.1'!$E:$E,"&lt;=6"))/COUNTIFS('Задача3.1'!$A:$A,$A6,'Задача3.1'!$H:$H,M$1,'Задача3.1'!$E:$E,"&gt;=0"),"")</f>
        <v>0</v>
      </c>
      <c r="N6" s="56">
        <f>IFERROR((COUNTIFS('Задача3.1'!$A:$A,$A6,'Задача3.1'!$H:$H,N$1,'Задача3.1'!$E:$E,"&gt;=9")-COUNTIFS('Задача3.1'!$A:$A,$A6,'Задача3.1'!$H:$H,N$1,'Задача3.1'!$E:$E,"&lt;=6"))/COUNTIFS('Задача3.1'!$A:$A,$A6,'Задача3.1'!$H:$H,N$1,'Задача3.1'!$E:$E,"&gt;=0"),"")</f>
        <v>0</v>
      </c>
    </row>
    <row r="7">
      <c r="A7" s="7" t="s">
        <v>43</v>
      </c>
      <c r="B7" s="56">
        <f>IFERROR((COUNTIFS('Задача3.1'!$A:$A,$A7,'Задача3.1'!$H:$H,B$1,'Задача3.1'!$E:$E,"&gt;=9")-COUNTIFS('Задача3.1'!$A:$A,$A7,'Задача3.1'!$H:$H,B$1,'Задача3.1'!$E:$E,"&lt;=6"))/COUNTIFS('Задача3.1'!$A:$A,$A7,'Задача3.1'!$H:$H,B$1,'Задача3.1'!$E:$E,"&gt;=0"),"")</f>
        <v>-1</v>
      </c>
      <c r="C7" s="56" t="str">
        <f>IFERROR((COUNTIFS('Задача3.1'!$A:$A,$A7,'Задача3.1'!$H:$H,C$1,'Задача3.1'!$E:$E,"&gt;=9")-COUNTIFS('Задача3.1'!$A:$A,$A7,'Задача3.1'!$H:$H,C$1,'Задача3.1'!$E:$E,"&lt;=6"))/COUNTIFS('Задача3.1'!$A:$A,$A7,'Задача3.1'!$H:$H,C$1,'Задача3.1'!$E:$E,"&gt;=0"),"")</f>
        <v/>
      </c>
      <c r="D7" s="56">
        <f>IFERROR((COUNTIFS('Задача3.1'!$A:$A,$A7,'Задача3.1'!$H:$H,D$1,'Задача3.1'!$E:$E,"&gt;=9")-COUNTIFS('Задача3.1'!$A:$A,$A7,'Задача3.1'!$H:$H,D$1,'Задача3.1'!$E:$E,"&lt;=6"))/COUNTIFS('Задача3.1'!$A:$A,$A7,'Задача3.1'!$H:$H,D$1,'Задача3.1'!$E:$E,"&gt;=0"),"")</f>
        <v>-1</v>
      </c>
      <c r="E7" s="56">
        <f>IFERROR((COUNTIFS('Задача3.1'!$A:$A,$A7,'Задача3.1'!$H:$H,E$1,'Задача3.1'!$E:$E,"&gt;=9")-COUNTIFS('Задача3.1'!$A:$A,$A7,'Задача3.1'!$H:$H,E$1,'Задача3.1'!$E:$E,"&lt;=6"))/COUNTIFS('Задача3.1'!$A:$A,$A7,'Задача3.1'!$H:$H,E$1,'Задача3.1'!$E:$E,"&gt;=0"),"")</f>
        <v>-1</v>
      </c>
      <c r="F7" s="56">
        <f>IFERROR((COUNTIFS('Задача3.1'!$A:$A,$A7,'Задача3.1'!$H:$H,F$1,'Задача3.1'!$E:$E,"&gt;=9")-COUNTIFS('Задача3.1'!$A:$A,$A7,'Задача3.1'!$H:$H,F$1,'Задача3.1'!$E:$E,"&lt;=6"))/COUNTIFS('Задача3.1'!$A:$A,$A7,'Задача3.1'!$H:$H,F$1,'Задача3.1'!$E:$E,"&gt;=0"),"")</f>
        <v>0</v>
      </c>
      <c r="G7" s="56" t="str">
        <f>IFERROR((COUNTIFS('Задача3.1'!$A:$A,$A7,'Задача3.1'!$H:$H,G$1,'Задача3.1'!$E:$E,"&gt;=9")-COUNTIFS('Задача3.1'!$A:$A,$A7,'Задача3.1'!$H:$H,G$1,'Задача3.1'!$E:$E,"&lt;=6"))/COUNTIFS('Задача3.1'!$A:$A,$A7,'Задача3.1'!$H:$H,G$1,'Задача3.1'!$E:$E,"&gt;=0"),"")</f>
        <v/>
      </c>
      <c r="H7" s="56">
        <f>IFERROR((COUNTIFS('Задача3.1'!$A:$A,$A7,'Задача3.1'!$H:$H,H$1,'Задача3.1'!$E:$E,"&gt;=9")-COUNTIFS('Задача3.1'!$A:$A,$A7,'Задача3.1'!$H:$H,H$1,'Задача3.1'!$E:$E,"&lt;=6"))/COUNTIFS('Задача3.1'!$A:$A,$A7,'Задача3.1'!$H:$H,H$1,'Задача3.1'!$E:$E,"&gt;=0"),"")</f>
        <v>-0.6666666666666666</v>
      </c>
      <c r="I7" s="56">
        <f>IFERROR((COUNTIFS('Задача3.1'!$A:$A,$A7,'Задача3.1'!$H:$H,I$1,'Задача3.1'!$E:$E,"&gt;=9")-COUNTIFS('Задача3.1'!$A:$A,$A7,'Задача3.1'!$H:$H,I$1,'Задача3.1'!$E:$E,"&lt;=6"))/COUNTIFS('Задача3.1'!$A:$A,$A7,'Задача3.1'!$H:$H,I$1,'Задача3.1'!$E:$E,"&gt;=0"),"")</f>
        <v>-0.3333333333333333</v>
      </c>
      <c r="J7" s="56">
        <f>IFERROR((COUNTIFS('Задача3.1'!$A:$A,$A7,'Задача3.1'!$H:$H,J$1,'Задача3.1'!$E:$E,"&gt;=9")-COUNTIFS('Задача3.1'!$A:$A,$A7,'Задача3.1'!$H:$H,J$1,'Задача3.1'!$E:$E,"&lt;=6"))/COUNTIFS('Задача3.1'!$A:$A,$A7,'Задача3.1'!$H:$H,J$1,'Задача3.1'!$E:$E,"&gt;=0"),"")</f>
        <v>0.25</v>
      </c>
      <c r="K7" s="56">
        <f>IFERROR((COUNTIFS('Задача3.1'!$A:$A,$A7,'Задача3.1'!$H:$H,K$1,'Задача3.1'!$E:$E,"&gt;=9")-COUNTIFS('Задача3.1'!$A:$A,$A7,'Задача3.1'!$H:$H,K$1,'Задача3.1'!$E:$E,"&lt;=6"))/COUNTIFS('Задача3.1'!$A:$A,$A7,'Задача3.1'!$H:$H,K$1,'Задача3.1'!$E:$E,"&gt;=0"),"")</f>
        <v>-1</v>
      </c>
      <c r="L7" s="56">
        <f>IFERROR((COUNTIFS('Задача3.1'!$A:$A,$A7,'Задача3.1'!$H:$H,L$1,'Задача3.1'!$E:$E,"&gt;=9")-COUNTIFS('Задача3.1'!$A:$A,$A7,'Задача3.1'!$H:$H,L$1,'Задача3.1'!$E:$E,"&lt;=6"))/COUNTIFS('Задача3.1'!$A:$A,$A7,'Задача3.1'!$H:$H,L$1,'Задача3.1'!$E:$E,"&gt;=0"),"")</f>
        <v>1</v>
      </c>
      <c r="M7" s="56">
        <f>IFERROR((COUNTIFS('Задача3.1'!$A:$A,$A7,'Задача3.1'!$H:$H,M$1,'Задача3.1'!$E:$E,"&gt;=9")-COUNTIFS('Задача3.1'!$A:$A,$A7,'Задача3.1'!$H:$H,M$1,'Задача3.1'!$E:$E,"&lt;=6"))/COUNTIFS('Задача3.1'!$A:$A,$A7,'Задача3.1'!$H:$H,M$1,'Задача3.1'!$E:$E,"&gt;=0"),"")</f>
        <v>-0.5</v>
      </c>
      <c r="N7" s="56">
        <f>IFERROR((COUNTIFS('Задача3.1'!$A:$A,$A7,'Задача3.1'!$H:$H,N$1,'Задача3.1'!$E:$E,"&gt;=9")-COUNTIFS('Задача3.1'!$A:$A,$A7,'Задача3.1'!$H:$H,N$1,'Задача3.1'!$E:$E,"&lt;=6"))/COUNTIFS('Задача3.1'!$A:$A,$A7,'Задача3.1'!$H:$H,N$1,'Задача3.1'!$E:$E,"&gt;=0"),"")</f>
        <v>1</v>
      </c>
    </row>
    <row r="8">
      <c r="A8" s="7" t="s">
        <v>28</v>
      </c>
      <c r="B8" s="56" t="str">
        <f>IFERROR((COUNTIFS('Задача3.1'!$A:$A,$A8,'Задача3.1'!$H:$H,B$1,'Задача3.1'!$E:$E,"&gt;=9")-COUNTIFS('Задача3.1'!$A:$A,$A8,'Задача3.1'!$H:$H,B$1,'Задача3.1'!$E:$E,"&lt;=6"))/COUNTIFS('Задача3.1'!$A:$A,$A8,'Задача3.1'!$H:$H,B$1,'Задача3.1'!$E:$E,"&gt;=0"),"")</f>
        <v/>
      </c>
      <c r="C8" s="56" t="str">
        <f>IFERROR((COUNTIFS('Задача3.1'!$A:$A,$A8,'Задача3.1'!$H:$H,C$1,'Задача3.1'!$E:$E,"&gt;=9")-COUNTIFS('Задача3.1'!$A:$A,$A8,'Задача3.1'!$H:$H,C$1,'Задача3.1'!$E:$E,"&lt;=6"))/COUNTIFS('Задача3.1'!$A:$A,$A8,'Задача3.1'!$H:$H,C$1,'Задача3.1'!$E:$E,"&gt;=0"),"")</f>
        <v/>
      </c>
      <c r="D8" s="56">
        <f>IFERROR((COUNTIFS('Задача3.1'!$A:$A,$A8,'Задача3.1'!$H:$H,D$1,'Задача3.1'!$E:$E,"&gt;=9")-COUNTIFS('Задача3.1'!$A:$A,$A8,'Задача3.1'!$H:$H,D$1,'Задача3.1'!$E:$E,"&lt;=6"))/COUNTIFS('Задача3.1'!$A:$A,$A8,'Задача3.1'!$H:$H,D$1,'Задача3.1'!$E:$E,"&gt;=0"),"")</f>
        <v>-1</v>
      </c>
      <c r="E8" s="56" t="str">
        <f>IFERROR((COUNTIFS('Задача3.1'!$A:$A,$A8,'Задача3.1'!$H:$H,E$1,'Задача3.1'!$E:$E,"&gt;=9")-COUNTIFS('Задача3.1'!$A:$A,$A8,'Задача3.1'!$H:$H,E$1,'Задача3.1'!$E:$E,"&lt;=6"))/COUNTIFS('Задача3.1'!$A:$A,$A8,'Задача3.1'!$H:$H,E$1,'Задача3.1'!$E:$E,"&gt;=0"),"")</f>
        <v/>
      </c>
      <c r="F8" s="56">
        <f>IFERROR((COUNTIFS('Задача3.1'!$A:$A,$A8,'Задача3.1'!$H:$H,F$1,'Задача3.1'!$E:$E,"&gt;=9")-COUNTIFS('Задача3.1'!$A:$A,$A8,'Задача3.1'!$H:$H,F$1,'Задача3.1'!$E:$E,"&lt;=6"))/COUNTIFS('Задача3.1'!$A:$A,$A8,'Задача3.1'!$H:$H,F$1,'Задача3.1'!$E:$E,"&gt;=0"),"")</f>
        <v>-1</v>
      </c>
      <c r="G8" s="56" t="str">
        <f>IFERROR((COUNTIFS('Задача3.1'!$A:$A,$A8,'Задача3.1'!$H:$H,G$1,'Задача3.1'!$E:$E,"&gt;=9")-COUNTIFS('Задача3.1'!$A:$A,$A8,'Задача3.1'!$H:$H,G$1,'Задача3.1'!$E:$E,"&lt;=6"))/COUNTIFS('Задача3.1'!$A:$A,$A8,'Задача3.1'!$H:$H,G$1,'Задача3.1'!$E:$E,"&gt;=0"),"")</f>
        <v/>
      </c>
      <c r="H8" s="56">
        <f>IFERROR((COUNTIFS('Задача3.1'!$A:$A,$A8,'Задача3.1'!$H:$H,H$1,'Задача3.1'!$E:$E,"&gt;=9")-COUNTIFS('Задача3.1'!$A:$A,$A8,'Задача3.1'!$H:$H,H$1,'Задача3.1'!$E:$E,"&lt;=6"))/COUNTIFS('Задача3.1'!$A:$A,$A8,'Задача3.1'!$H:$H,H$1,'Задача3.1'!$E:$E,"&gt;=0"),"")</f>
        <v>-1</v>
      </c>
      <c r="I8" s="56" t="str">
        <f>IFERROR((COUNTIFS('Задача3.1'!$A:$A,$A8,'Задача3.1'!$H:$H,I$1,'Задача3.1'!$E:$E,"&gt;=9")-COUNTIFS('Задача3.1'!$A:$A,$A8,'Задача3.1'!$H:$H,I$1,'Задача3.1'!$E:$E,"&lt;=6"))/COUNTIFS('Задача3.1'!$A:$A,$A8,'Задача3.1'!$H:$H,I$1,'Задача3.1'!$E:$E,"&gt;=0"),"")</f>
        <v/>
      </c>
      <c r="J8" s="56">
        <f>IFERROR((COUNTIFS('Задача3.1'!$A:$A,$A8,'Задача3.1'!$H:$H,J$1,'Задача3.1'!$E:$E,"&gt;=9")-COUNTIFS('Задача3.1'!$A:$A,$A8,'Задача3.1'!$H:$H,J$1,'Задача3.1'!$E:$E,"&lt;=6"))/COUNTIFS('Задача3.1'!$A:$A,$A8,'Задача3.1'!$H:$H,J$1,'Задача3.1'!$E:$E,"&gt;=0"),"")</f>
        <v>-1</v>
      </c>
      <c r="K8" s="56">
        <f>IFERROR((COUNTIFS('Задача3.1'!$A:$A,$A8,'Задача3.1'!$H:$H,K$1,'Задача3.1'!$E:$E,"&gt;=9")-COUNTIFS('Задача3.1'!$A:$A,$A8,'Задача3.1'!$H:$H,K$1,'Задача3.1'!$E:$E,"&lt;=6"))/COUNTIFS('Задача3.1'!$A:$A,$A8,'Задача3.1'!$H:$H,K$1,'Задача3.1'!$E:$E,"&gt;=0"),"")</f>
        <v>-1</v>
      </c>
      <c r="L8" s="56" t="str">
        <f>IFERROR((COUNTIFS('Задача3.1'!$A:$A,$A8,'Задача3.1'!$H:$H,L$1,'Задача3.1'!$E:$E,"&gt;=9")-COUNTIFS('Задача3.1'!$A:$A,$A8,'Задача3.1'!$H:$H,L$1,'Задача3.1'!$E:$E,"&lt;=6"))/COUNTIFS('Задача3.1'!$A:$A,$A8,'Задача3.1'!$H:$H,L$1,'Задача3.1'!$E:$E,"&gt;=0"),"")</f>
        <v/>
      </c>
      <c r="M8" s="56">
        <f>IFERROR((COUNTIFS('Задача3.1'!$A:$A,$A8,'Задача3.1'!$H:$H,M$1,'Задача3.1'!$E:$E,"&gt;=9")-COUNTIFS('Задача3.1'!$A:$A,$A8,'Задача3.1'!$H:$H,M$1,'Задача3.1'!$E:$E,"&lt;=6"))/COUNTIFS('Задача3.1'!$A:$A,$A8,'Задача3.1'!$H:$H,M$1,'Задача3.1'!$E:$E,"&gt;=0"),"")</f>
        <v>-0.25</v>
      </c>
      <c r="N8" s="56">
        <f>IFERROR((COUNTIFS('Задача3.1'!$A:$A,$A8,'Задача3.1'!$H:$H,N$1,'Задача3.1'!$E:$E,"&gt;=9")-COUNTIFS('Задача3.1'!$A:$A,$A8,'Задача3.1'!$H:$H,N$1,'Задача3.1'!$E:$E,"&lt;=6"))/COUNTIFS('Задача3.1'!$A:$A,$A8,'Задача3.1'!$H:$H,N$1,'Задача3.1'!$E:$E,"&gt;=0"),"")</f>
        <v>0</v>
      </c>
    </row>
    <row r="9">
      <c r="A9" s="7" t="s">
        <v>57</v>
      </c>
      <c r="B9" s="56">
        <f>IFERROR((COUNTIFS('Задача3.1'!$A:$A,$A9,'Задача3.1'!$H:$H,B$1,'Задача3.1'!$E:$E,"&gt;=9")-COUNTIFS('Задача3.1'!$A:$A,$A9,'Задача3.1'!$H:$H,B$1,'Задача3.1'!$E:$E,"&lt;=6"))/COUNTIFS('Задача3.1'!$A:$A,$A9,'Задача3.1'!$H:$H,B$1,'Задача3.1'!$E:$E,"&gt;=0"),"")</f>
        <v>-1</v>
      </c>
      <c r="C9" s="56">
        <f>IFERROR((COUNTIFS('Задача3.1'!$A:$A,$A9,'Задача3.1'!$H:$H,C$1,'Задача3.1'!$E:$E,"&gt;=9")-COUNTIFS('Задача3.1'!$A:$A,$A9,'Задача3.1'!$H:$H,C$1,'Задача3.1'!$E:$E,"&lt;=6"))/COUNTIFS('Задача3.1'!$A:$A,$A9,'Задача3.1'!$H:$H,C$1,'Задача3.1'!$E:$E,"&gt;=0"),"")</f>
        <v>0</v>
      </c>
      <c r="D9" s="56">
        <f>IFERROR((COUNTIFS('Задача3.1'!$A:$A,$A9,'Задача3.1'!$H:$H,D$1,'Задача3.1'!$E:$E,"&gt;=9")-COUNTIFS('Задача3.1'!$A:$A,$A9,'Задача3.1'!$H:$H,D$1,'Задача3.1'!$E:$E,"&lt;=6"))/COUNTIFS('Задача3.1'!$A:$A,$A9,'Задача3.1'!$H:$H,D$1,'Задача3.1'!$E:$E,"&gt;=0"),"")</f>
        <v>-1</v>
      </c>
      <c r="E9" s="56">
        <f>IFERROR((COUNTIFS('Задача3.1'!$A:$A,$A9,'Задача3.1'!$H:$H,E$1,'Задача3.1'!$E:$E,"&gt;=9")-COUNTIFS('Задача3.1'!$A:$A,$A9,'Задача3.1'!$H:$H,E$1,'Задача3.1'!$E:$E,"&lt;=6"))/COUNTIFS('Задача3.1'!$A:$A,$A9,'Задача3.1'!$H:$H,E$1,'Задача3.1'!$E:$E,"&gt;=0"),"")</f>
        <v>1</v>
      </c>
      <c r="F9" s="56">
        <f>IFERROR((COUNTIFS('Задача3.1'!$A:$A,$A9,'Задача3.1'!$H:$H,F$1,'Задача3.1'!$E:$E,"&gt;=9")-COUNTIFS('Задача3.1'!$A:$A,$A9,'Задача3.1'!$H:$H,F$1,'Задача3.1'!$E:$E,"&lt;=6"))/COUNTIFS('Задача3.1'!$A:$A,$A9,'Задача3.1'!$H:$H,F$1,'Задача3.1'!$E:$E,"&gt;=0"),"")</f>
        <v>-0.6666666666666666</v>
      </c>
      <c r="G9" s="56" t="str">
        <f>IFERROR((COUNTIFS('Задача3.1'!$A:$A,$A9,'Задача3.1'!$H:$H,G$1,'Задача3.1'!$E:$E,"&gt;=9")-COUNTIFS('Задача3.1'!$A:$A,$A9,'Задача3.1'!$H:$H,G$1,'Задача3.1'!$E:$E,"&lt;=6"))/COUNTIFS('Задача3.1'!$A:$A,$A9,'Задача3.1'!$H:$H,G$1,'Задача3.1'!$E:$E,"&gt;=0"),"")</f>
        <v/>
      </c>
      <c r="H9" s="56">
        <f>IFERROR((COUNTIFS('Задача3.1'!$A:$A,$A9,'Задача3.1'!$H:$H,H$1,'Задача3.1'!$E:$E,"&gt;=9")-COUNTIFS('Задача3.1'!$A:$A,$A9,'Задача3.1'!$H:$H,H$1,'Задача3.1'!$E:$E,"&lt;=6"))/COUNTIFS('Задача3.1'!$A:$A,$A9,'Задача3.1'!$H:$H,H$1,'Задача3.1'!$E:$E,"&gt;=0"),"")</f>
        <v>-0.5</v>
      </c>
      <c r="I9" s="56">
        <f>IFERROR((COUNTIFS('Задача3.1'!$A:$A,$A9,'Задача3.1'!$H:$H,I$1,'Задача3.1'!$E:$E,"&gt;=9")-COUNTIFS('Задача3.1'!$A:$A,$A9,'Задача3.1'!$H:$H,I$1,'Задача3.1'!$E:$E,"&lt;=6"))/COUNTIFS('Задача3.1'!$A:$A,$A9,'Задача3.1'!$H:$H,I$1,'Задача3.1'!$E:$E,"&gt;=0"),"")</f>
        <v>-0.3333333333333333</v>
      </c>
      <c r="J9" s="56">
        <f>IFERROR((COUNTIFS('Задача3.1'!$A:$A,$A9,'Задача3.1'!$H:$H,J$1,'Задача3.1'!$E:$E,"&gt;=9")-COUNTIFS('Задача3.1'!$A:$A,$A9,'Задача3.1'!$H:$H,J$1,'Задача3.1'!$E:$E,"&lt;=6"))/COUNTIFS('Задача3.1'!$A:$A,$A9,'Задача3.1'!$H:$H,J$1,'Задача3.1'!$E:$E,"&gt;=0"),"")</f>
        <v>-1</v>
      </c>
      <c r="K9" s="56">
        <f>IFERROR((COUNTIFS('Задача3.1'!$A:$A,$A9,'Задача3.1'!$H:$H,K$1,'Задача3.1'!$E:$E,"&gt;=9")-COUNTIFS('Задача3.1'!$A:$A,$A9,'Задача3.1'!$H:$H,K$1,'Задача3.1'!$E:$E,"&lt;=6"))/COUNTIFS('Задача3.1'!$A:$A,$A9,'Задача3.1'!$H:$H,K$1,'Задача3.1'!$E:$E,"&gt;=0"),"")</f>
        <v>-0.25</v>
      </c>
      <c r="L9" s="56" t="str">
        <f>IFERROR((COUNTIFS('Задача3.1'!$A:$A,$A9,'Задача3.1'!$H:$H,L$1,'Задача3.1'!$E:$E,"&gt;=9")-COUNTIFS('Задача3.1'!$A:$A,$A9,'Задача3.1'!$H:$H,L$1,'Задача3.1'!$E:$E,"&lt;=6"))/COUNTIFS('Задача3.1'!$A:$A,$A9,'Задача3.1'!$H:$H,L$1,'Задача3.1'!$E:$E,"&gt;=0"),"")</f>
        <v/>
      </c>
      <c r="M9" s="56">
        <f>IFERROR((COUNTIFS('Задача3.1'!$A:$A,$A9,'Задача3.1'!$H:$H,M$1,'Задача3.1'!$E:$E,"&gt;=9")-COUNTIFS('Задача3.1'!$A:$A,$A9,'Задача3.1'!$H:$H,M$1,'Задача3.1'!$E:$E,"&lt;=6"))/COUNTIFS('Задача3.1'!$A:$A,$A9,'Задача3.1'!$H:$H,M$1,'Задача3.1'!$E:$E,"&gt;=0"),"")</f>
        <v>-1</v>
      </c>
      <c r="N9" s="56" t="str">
        <f>IFERROR((COUNTIFS('Задача3.1'!$A:$A,$A9,'Задача3.1'!$H:$H,N$1,'Задача3.1'!$E:$E,"&gt;=9")-COUNTIFS('Задача3.1'!$A:$A,$A9,'Задача3.1'!$H:$H,N$1,'Задача3.1'!$E:$E,"&lt;=6"))/COUNTIFS('Задача3.1'!$A:$A,$A9,'Задача3.1'!$H:$H,N$1,'Задача3.1'!$E:$E,"&gt;=0"),"")</f>
        <v/>
      </c>
    </row>
    <row r="10">
      <c r="A10" s="7" t="s">
        <v>15</v>
      </c>
      <c r="B10" s="56">
        <f>IFERROR((COUNTIFS('Задача3.1'!$A:$A,$A10,'Задача3.1'!$H:$H,B$1,'Задача3.1'!$E:$E,"&gt;=9")-COUNTIFS('Задача3.1'!$A:$A,$A10,'Задача3.1'!$H:$H,B$1,'Задача3.1'!$E:$E,"&lt;=6"))/COUNTIFS('Задача3.1'!$A:$A,$A10,'Задача3.1'!$H:$H,B$1,'Задача3.1'!$E:$E,"&gt;=0"),"")</f>
        <v>1</v>
      </c>
      <c r="C10" s="56">
        <f>IFERROR((COUNTIFS('Задача3.1'!$A:$A,$A10,'Задача3.1'!$H:$H,C$1,'Задача3.1'!$E:$E,"&gt;=9")-COUNTIFS('Задача3.1'!$A:$A,$A10,'Задача3.1'!$H:$H,C$1,'Задача3.1'!$E:$E,"&lt;=6"))/COUNTIFS('Задача3.1'!$A:$A,$A10,'Задача3.1'!$H:$H,C$1,'Задача3.1'!$E:$E,"&gt;=0"),"")</f>
        <v>0</v>
      </c>
      <c r="D10" s="56">
        <f>IFERROR((COUNTIFS('Задача3.1'!$A:$A,$A10,'Задача3.1'!$H:$H,D$1,'Задача3.1'!$E:$E,"&gt;=9")-COUNTIFS('Задача3.1'!$A:$A,$A10,'Задача3.1'!$H:$H,D$1,'Задача3.1'!$E:$E,"&lt;=6"))/COUNTIFS('Задача3.1'!$A:$A,$A10,'Задача3.1'!$H:$H,D$1,'Задача3.1'!$E:$E,"&gt;=0"),"")</f>
        <v>-0.3333333333333333</v>
      </c>
      <c r="E10" s="56">
        <f>IFERROR((COUNTIFS('Задача3.1'!$A:$A,$A10,'Задача3.1'!$H:$H,E$1,'Задача3.1'!$E:$E,"&gt;=9")-COUNTIFS('Задача3.1'!$A:$A,$A10,'Задача3.1'!$H:$H,E$1,'Задача3.1'!$E:$E,"&lt;=6"))/COUNTIFS('Задача3.1'!$A:$A,$A10,'Задача3.1'!$H:$H,E$1,'Задача3.1'!$E:$E,"&gt;=0"),"")</f>
        <v>0</v>
      </c>
      <c r="F10" s="56">
        <f>IFERROR((COUNTIFS('Задача3.1'!$A:$A,$A10,'Задача3.1'!$H:$H,F$1,'Задача3.1'!$E:$E,"&gt;=9")-COUNTIFS('Задача3.1'!$A:$A,$A10,'Задача3.1'!$H:$H,F$1,'Задача3.1'!$E:$E,"&lt;=6"))/COUNTIFS('Задача3.1'!$A:$A,$A10,'Задача3.1'!$H:$H,F$1,'Задача3.1'!$E:$E,"&gt;=0"),"")</f>
        <v>-0.5</v>
      </c>
      <c r="G10" s="56" t="str">
        <f>IFERROR((COUNTIFS('Задача3.1'!$A:$A,$A10,'Задача3.1'!$H:$H,G$1,'Задача3.1'!$E:$E,"&gt;=9")-COUNTIFS('Задача3.1'!$A:$A,$A10,'Задача3.1'!$H:$H,G$1,'Задача3.1'!$E:$E,"&lt;=6"))/COUNTIFS('Задача3.1'!$A:$A,$A10,'Задача3.1'!$H:$H,G$1,'Задача3.1'!$E:$E,"&gt;=0"),"")</f>
        <v/>
      </c>
      <c r="H10" s="56">
        <f>IFERROR((COUNTIFS('Задача3.1'!$A:$A,$A10,'Задача3.1'!$H:$H,H$1,'Задача3.1'!$E:$E,"&gt;=9")-COUNTIFS('Задача3.1'!$A:$A,$A10,'Задача3.1'!$H:$H,H$1,'Задача3.1'!$E:$E,"&lt;=6"))/COUNTIFS('Задача3.1'!$A:$A,$A10,'Задача3.1'!$H:$H,H$1,'Задача3.1'!$E:$E,"&gt;=0"),"")</f>
        <v>0</v>
      </c>
      <c r="I10" s="56">
        <f>IFERROR((COUNTIFS('Задача3.1'!$A:$A,$A10,'Задача3.1'!$H:$H,I$1,'Задача3.1'!$E:$E,"&gt;=9")-COUNTIFS('Задача3.1'!$A:$A,$A10,'Задача3.1'!$H:$H,I$1,'Задача3.1'!$E:$E,"&lt;=6"))/COUNTIFS('Задача3.1'!$A:$A,$A10,'Задача3.1'!$H:$H,I$1,'Задача3.1'!$E:$E,"&gt;=0"),"")</f>
        <v>-1</v>
      </c>
      <c r="J10" s="56">
        <f>IFERROR((COUNTIFS('Задача3.1'!$A:$A,$A10,'Задача3.1'!$H:$H,J$1,'Задача3.1'!$E:$E,"&gt;=9")-COUNTIFS('Задача3.1'!$A:$A,$A10,'Задача3.1'!$H:$H,J$1,'Задача3.1'!$E:$E,"&lt;=6"))/COUNTIFS('Задача3.1'!$A:$A,$A10,'Задача3.1'!$H:$H,J$1,'Задача3.1'!$E:$E,"&gt;=0"),"")</f>
        <v>-0.5</v>
      </c>
      <c r="K10" s="56" t="str">
        <f>IFERROR((COUNTIFS('Задача3.1'!$A:$A,$A10,'Задача3.1'!$H:$H,K$1,'Задача3.1'!$E:$E,"&gt;=9")-COUNTIFS('Задача3.1'!$A:$A,$A10,'Задача3.1'!$H:$H,K$1,'Задача3.1'!$E:$E,"&lt;=6"))/COUNTIFS('Задача3.1'!$A:$A,$A10,'Задача3.1'!$H:$H,K$1,'Задача3.1'!$E:$E,"&gt;=0"),"")</f>
        <v/>
      </c>
      <c r="L10" s="56">
        <f>IFERROR((COUNTIFS('Задача3.1'!$A:$A,$A10,'Задача3.1'!$H:$H,L$1,'Задача3.1'!$E:$E,"&gt;=9")-COUNTIFS('Задача3.1'!$A:$A,$A10,'Задача3.1'!$H:$H,L$1,'Задача3.1'!$E:$E,"&lt;=6"))/COUNTIFS('Задача3.1'!$A:$A,$A10,'Задача3.1'!$H:$H,L$1,'Задача3.1'!$E:$E,"&gt;=0"),"")</f>
        <v>-0.3333333333333333</v>
      </c>
      <c r="M10" s="56">
        <f>IFERROR((COUNTIFS('Задача3.1'!$A:$A,$A10,'Задача3.1'!$H:$H,M$1,'Задача3.1'!$E:$E,"&gt;=9")-COUNTIFS('Задача3.1'!$A:$A,$A10,'Задача3.1'!$H:$H,M$1,'Задача3.1'!$E:$E,"&lt;=6"))/COUNTIFS('Задача3.1'!$A:$A,$A10,'Задача3.1'!$H:$H,M$1,'Задача3.1'!$E:$E,"&gt;=0"),"")</f>
        <v>-0.5</v>
      </c>
      <c r="N10" s="56">
        <f>IFERROR((COUNTIFS('Задача3.1'!$A:$A,$A10,'Задача3.1'!$H:$H,N$1,'Задача3.1'!$E:$E,"&gt;=9")-COUNTIFS('Задача3.1'!$A:$A,$A10,'Задача3.1'!$H:$H,N$1,'Задача3.1'!$E:$E,"&lt;=6"))/COUNTIFS('Задача3.1'!$A:$A,$A10,'Задача3.1'!$H:$H,N$1,'Задача3.1'!$E:$E,"&gt;=0"),"")</f>
        <v>0</v>
      </c>
    </row>
    <row r="11">
      <c r="A11" s="7" t="s">
        <v>24</v>
      </c>
      <c r="B11" s="56">
        <f>IFERROR((COUNTIFS('Задача3.1'!$A:$A,$A11,'Задача3.1'!$H:$H,B$1,'Задача3.1'!$E:$E,"&gt;=9")-COUNTIFS('Задача3.1'!$A:$A,$A11,'Задача3.1'!$H:$H,B$1,'Задача3.1'!$E:$E,"&lt;=6"))/COUNTIFS('Задача3.1'!$A:$A,$A11,'Задача3.1'!$H:$H,B$1,'Задача3.1'!$E:$E,"&gt;=0"),"")</f>
        <v>0</v>
      </c>
      <c r="C11" s="56">
        <f>IFERROR((COUNTIFS('Задача3.1'!$A:$A,$A11,'Задача3.1'!$H:$H,C$1,'Задача3.1'!$E:$E,"&gt;=9")-COUNTIFS('Задача3.1'!$A:$A,$A11,'Задача3.1'!$H:$H,C$1,'Задача3.1'!$E:$E,"&lt;=6"))/COUNTIFS('Задача3.1'!$A:$A,$A11,'Задача3.1'!$H:$H,C$1,'Задача3.1'!$E:$E,"&gt;=0"),"")</f>
        <v>-1</v>
      </c>
      <c r="D11" s="56" t="str">
        <f>IFERROR((COUNTIFS('Задача3.1'!$A:$A,$A11,'Задача3.1'!$H:$H,D$1,'Задача3.1'!$E:$E,"&gt;=9")-COUNTIFS('Задача3.1'!$A:$A,$A11,'Задача3.1'!$H:$H,D$1,'Задача3.1'!$E:$E,"&lt;=6"))/COUNTIFS('Задача3.1'!$A:$A,$A11,'Задача3.1'!$H:$H,D$1,'Задача3.1'!$E:$E,"&gt;=0"),"")</f>
        <v/>
      </c>
      <c r="E11" s="56" t="str">
        <f>IFERROR((COUNTIFS('Задача3.1'!$A:$A,$A11,'Задача3.1'!$H:$H,E$1,'Задача3.1'!$E:$E,"&gt;=9")-COUNTIFS('Задача3.1'!$A:$A,$A11,'Задача3.1'!$H:$H,E$1,'Задача3.1'!$E:$E,"&lt;=6"))/COUNTIFS('Задача3.1'!$A:$A,$A11,'Задача3.1'!$H:$H,E$1,'Задача3.1'!$E:$E,"&gt;=0"),"")</f>
        <v/>
      </c>
      <c r="F11" s="56">
        <f>IFERROR((COUNTIFS('Задача3.1'!$A:$A,$A11,'Задача3.1'!$H:$H,F$1,'Задача3.1'!$E:$E,"&gt;=9")-COUNTIFS('Задача3.1'!$A:$A,$A11,'Задача3.1'!$H:$H,F$1,'Задача3.1'!$E:$E,"&lt;=6"))/COUNTIFS('Задача3.1'!$A:$A,$A11,'Задача3.1'!$H:$H,F$1,'Задача3.1'!$E:$E,"&gt;=0"),"")</f>
        <v>-0.5</v>
      </c>
      <c r="G11" s="56" t="str">
        <f>IFERROR((COUNTIFS('Задача3.1'!$A:$A,$A11,'Задача3.1'!$H:$H,G$1,'Задача3.1'!$E:$E,"&gt;=9")-COUNTIFS('Задача3.1'!$A:$A,$A11,'Задача3.1'!$H:$H,G$1,'Задача3.1'!$E:$E,"&lt;=6"))/COUNTIFS('Задача3.1'!$A:$A,$A11,'Задача3.1'!$H:$H,G$1,'Задача3.1'!$E:$E,"&gt;=0"),"")</f>
        <v/>
      </c>
      <c r="H11" s="56">
        <f>IFERROR((COUNTIFS('Задача3.1'!$A:$A,$A11,'Задача3.1'!$H:$H,H$1,'Задача3.1'!$E:$E,"&gt;=9")-COUNTIFS('Задача3.1'!$A:$A,$A11,'Задача3.1'!$H:$H,H$1,'Задача3.1'!$E:$E,"&lt;=6"))/COUNTIFS('Задача3.1'!$A:$A,$A11,'Задача3.1'!$H:$H,H$1,'Задача3.1'!$E:$E,"&gt;=0"),"")</f>
        <v>0</v>
      </c>
      <c r="I11" s="56">
        <f>IFERROR((COUNTIFS('Задача3.1'!$A:$A,$A11,'Задача3.1'!$H:$H,I$1,'Задача3.1'!$E:$E,"&gt;=9")-COUNTIFS('Задача3.1'!$A:$A,$A11,'Задача3.1'!$H:$H,I$1,'Задача3.1'!$E:$E,"&lt;=6"))/COUNTIFS('Задача3.1'!$A:$A,$A11,'Задача3.1'!$H:$H,I$1,'Задача3.1'!$E:$E,"&gt;=0"),"")</f>
        <v>0</v>
      </c>
      <c r="J11" s="56">
        <f>IFERROR((COUNTIFS('Задача3.1'!$A:$A,$A11,'Задача3.1'!$H:$H,J$1,'Задача3.1'!$E:$E,"&gt;=9")-COUNTIFS('Задача3.1'!$A:$A,$A11,'Задача3.1'!$H:$H,J$1,'Задача3.1'!$E:$E,"&lt;=6"))/COUNTIFS('Задача3.1'!$A:$A,$A11,'Задача3.1'!$H:$H,J$1,'Задача3.1'!$E:$E,"&gt;=0"),"")</f>
        <v>0</v>
      </c>
      <c r="K11" s="56">
        <f>IFERROR((COUNTIFS('Задача3.1'!$A:$A,$A11,'Задача3.1'!$H:$H,K$1,'Задача3.1'!$E:$E,"&gt;=9")-COUNTIFS('Задача3.1'!$A:$A,$A11,'Задача3.1'!$H:$H,K$1,'Задача3.1'!$E:$E,"&lt;=6"))/COUNTIFS('Задача3.1'!$A:$A,$A11,'Задача3.1'!$H:$H,K$1,'Задача3.1'!$E:$E,"&gt;=0"),"")</f>
        <v>0</v>
      </c>
      <c r="L11" s="56">
        <f>IFERROR((COUNTIFS('Задача3.1'!$A:$A,$A11,'Задача3.1'!$H:$H,L$1,'Задача3.1'!$E:$E,"&gt;=9")-COUNTIFS('Задача3.1'!$A:$A,$A11,'Задача3.1'!$H:$H,L$1,'Задача3.1'!$E:$E,"&lt;=6"))/COUNTIFS('Задача3.1'!$A:$A,$A11,'Задача3.1'!$H:$H,L$1,'Задача3.1'!$E:$E,"&gt;=0"),"")</f>
        <v>0</v>
      </c>
      <c r="M11" s="56">
        <f>IFERROR((COUNTIFS('Задача3.1'!$A:$A,$A11,'Задача3.1'!$H:$H,M$1,'Задача3.1'!$E:$E,"&gt;=9")-COUNTIFS('Задача3.1'!$A:$A,$A11,'Задача3.1'!$H:$H,M$1,'Задача3.1'!$E:$E,"&lt;=6"))/COUNTIFS('Задача3.1'!$A:$A,$A11,'Задача3.1'!$H:$H,M$1,'Задача3.1'!$E:$E,"&gt;=0"),"")</f>
        <v>-0.6666666666666666</v>
      </c>
      <c r="N11" s="56">
        <f>IFERROR((COUNTIFS('Задача3.1'!$A:$A,$A11,'Задача3.1'!$H:$H,N$1,'Задача3.1'!$E:$E,"&gt;=9")-COUNTIFS('Задача3.1'!$A:$A,$A11,'Задача3.1'!$H:$H,N$1,'Задача3.1'!$E:$E,"&lt;=6"))/COUNTIFS('Задача3.1'!$A:$A,$A11,'Задача3.1'!$H:$H,N$1,'Задача3.1'!$E:$E,"&gt;=0"),"")</f>
        <v>-1</v>
      </c>
    </row>
    <row r="12">
      <c r="A12" s="7" t="s">
        <v>5</v>
      </c>
      <c r="B12" s="56">
        <f>IFERROR((COUNTIFS('Задача3.1'!$A:$A,$A12,'Задача3.1'!$H:$H,B$1,'Задача3.1'!$E:$E,"&gt;=9")-COUNTIFS('Задача3.1'!$A:$A,$A12,'Задача3.1'!$H:$H,B$1,'Задача3.1'!$E:$E,"&lt;=6"))/COUNTIFS('Задача3.1'!$A:$A,$A12,'Задача3.1'!$H:$H,B$1,'Задача3.1'!$E:$E,"&gt;=0"),"")</f>
        <v>0</v>
      </c>
      <c r="C12" s="56">
        <f>IFERROR((COUNTIFS('Задача3.1'!$A:$A,$A12,'Задача3.1'!$H:$H,C$1,'Задача3.1'!$E:$E,"&gt;=9")-COUNTIFS('Задача3.1'!$A:$A,$A12,'Задача3.1'!$H:$H,C$1,'Задача3.1'!$E:$E,"&lt;=6"))/COUNTIFS('Задача3.1'!$A:$A,$A12,'Задача3.1'!$H:$H,C$1,'Задача3.1'!$E:$E,"&gt;=0"),"")</f>
        <v>0</v>
      </c>
      <c r="D12" s="56">
        <f>IFERROR((COUNTIFS('Задача3.1'!$A:$A,$A12,'Задача3.1'!$H:$H,D$1,'Задача3.1'!$E:$E,"&gt;=9")-COUNTIFS('Задача3.1'!$A:$A,$A12,'Задача3.1'!$H:$H,D$1,'Задача3.1'!$E:$E,"&lt;=6"))/COUNTIFS('Задача3.1'!$A:$A,$A12,'Задача3.1'!$H:$H,D$1,'Задача3.1'!$E:$E,"&gt;=0"),"")</f>
        <v>-0.3333333333333333</v>
      </c>
      <c r="E12" s="56" t="str">
        <f>IFERROR((COUNTIFS('Задача3.1'!$A:$A,$A12,'Задача3.1'!$H:$H,E$1,'Задача3.1'!$E:$E,"&gt;=9")-COUNTIFS('Задача3.1'!$A:$A,$A12,'Задача3.1'!$H:$H,E$1,'Задача3.1'!$E:$E,"&lt;=6"))/COUNTIFS('Задача3.1'!$A:$A,$A12,'Задача3.1'!$H:$H,E$1,'Задача3.1'!$E:$E,"&gt;=0"),"")</f>
        <v/>
      </c>
      <c r="F12" s="56">
        <f>IFERROR((COUNTIFS('Задача3.1'!$A:$A,$A12,'Задача3.1'!$H:$H,F$1,'Задача3.1'!$E:$E,"&gt;=9")-COUNTIFS('Задача3.1'!$A:$A,$A12,'Задача3.1'!$H:$H,F$1,'Задача3.1'!$E:$E,"&lt;=6"))/COUNTIFS('Задача3.1'!$A:$A,$A12,'Задача3.1'!$H:$H,F$1,'Задача3.1'!$E:$E,"&gt;=0"),"")</f>
        <v>-1</v>
      </c>
      <c r="G12" s="56">
        <f>IFERROR((COUNTIFS('Задача3.1'!$A:$A,$A12,'Задача3.1'!$H:$H,G$1,'Задача3.1'!$E:$E,"&gt;=9")-COUNTIFS('Задача3.1'!$A:$A,$A12,'Задача3.1'!$H:$H,G$1,'Задача3.1'!$E:$E,"&lt;=6"))/COUNTIFS('Задача3.1'!$A:$A,$A12,'Задача3.1'!$H:$H,G$1,'Задача3.1'!$E:$E,"&gt;=0"),"")</f>
        <v>-0.3333333333333333</v>
      </c>
      <c r="H12" s="56">
        <f>IFERROR((COUNTIFS('Задача3.1'!$A:$A,$A12,'Задача3.1'!$H:$H,H$1,'Задача3.1'!$E:$E,"&gt;=9")-COUNTIFS('Задача3.1'!$A:$A,$A12,'Задача3.1'!$H:$H,H$1,'Задача3.1'!$E:$E,"&lt;=6"))/COUNTIFS('Задача3.1'!$A:$A,$A12,'Задача3.1'!$H:$H,H$1,'Задача3.1'!$E:$E,"&gt;=0"),"")</f>
        <v>-0.5</v>
      </c>
      <c r="I12" s="56" t="str">
        <f>IFERROR((COUNTIFS('Задача3.1'!$A:$A,$A12,'Задача3.1'!$H:$H,I$1,'Задача3.1'!$E:$E,"&gt;=9")-COUNTIFS('Задача3.1'!$A:$A,$A12,'Задача3.1'!$H:$H,I$1,'Задача3.1'!$E:$E,"&lt;=6"))/COUNTIFS('Задача3.1'!$A:$A,$A12,'Задача3.1'!$H:$H,I$1,'Задача3.1'!$E:$E,"&gt;=0"),"")</f>
        <v/>
      </c>
      <c r="J12" s="56">
        <f>IFERROR((COUNTIFS('Задача3.1'!$A:$A,$A12,'Задача3.1'!$H:$H,J$1,'Задача3.1'!$E:$E,"&gt;=9")-COUNTIFS('Задача3.1'!$A:$A,$A12,'Задача3.1'!$H:$H,J$1,'Задача3.1'!$E:$E,"&lt;=6"))/COUNTIFS('Задача3.1'!$A:$A,$A12,'Задача3.1'!$H:$H,J$1,'Задача3.1'!$E:$E,"&gt;=0"),"")</f>
        <v>-0.6666666666666666</v>
      </c>
      <c r="K12" s="56">
        <f>IFERROR((COUNTIFS('Задача3.1'!$A:$A,$A12,'Задача3.1'!$H:$H,K$1,'Задача3.1'!$E:$E,"&gt;=9")-COUNTIFS('Задача3.1'!$A:$A,$A12,'Задача3.1'!$H:$H,K$1,'Задача3.1'!$E:$E,"&lt;=6"))/COUNTIFS('Задача3.1'!$A:$A,$A12,'Задача3.1'!$H:$H,K$1,'Задача3.1'!$E:$E,"&gt;=0"),"")</f>
        <v>-0.5</v>
      </c>
      <c r="L12" s="56">
        <f>IFERROR((COUNTIFS('Задача3.1'!$A:$A,$A12,'Задача3.1'!$H:$H,L$1,'Задача3.1'!$E:$E,"&gt;=9")-COUNTIFS('Задача3.1'!$A:$A,$A12,'Задача3.1'!$H:$H,L$1,'Задача3.1'!$E:$E,"&lt;=6"))/COUNTIFS('Задача3.1'!$A:$A,$A12,'Задача3.1'!$H:$H,L$1,'Задача3.1'!$E:$E,"&gt;=0"),"")</f>
        <v>-1</v>
      </c>
      <c r="M12" s="56">
        <f>IFERROR((COUNTIFS('Задача3.1'!$A:$A,$A12,'Задача3.1'!$H:$H,M$1,'Задача3.1'!$E:$E,"&gt;=9")-COUNTIFS('Задача3.1'!$A:$A,$A12,'Задача3.1'!$H:$H,M$1,'Задача3.1'!$E:$E,"&lt;=6"))/COUNTIFS('Задача3.1'!$A:$A,$A12,'Задача3.1'!$H:$H,M$1,'Задача3.1'!$E:$E,"&gt;=0"),"")</f>
        <v>0</v>
      </c>
      <c r="N12" s="56">
        <f>IFERROR((COUNTIFS('Задача3.1'!$A:$A,$A12,'Задача3.1'!$H:$H,N$1,'Задача3.1'!$E:$E,"&gt;=9")-COUNTIFS('Задача3.1'!$A:$A,$A12,'Задача3.1'!$H:$H,N$1,'Задача3.1'!$E:$E,"&lt;=6"))/COUNTIFS('Задача3.1'!$A:$A,$A12,'Задача3.1'!$H:$H,N$1,'Задача3.1'!$E:$E,"&gt;=0"),"")</f>
        <v>-1</v>
      </c>
    </row>
    <row r="13">
      <c r="A13" s="7" t="s">
        <v>21</v>
      </c>
      <c r="B13" s="56" t="str">
        <f>IFERROR((COUNTIFS('Задача3.1'!$A:$A,$A13,'Задача3.1'!$H:$H,B$1,'Задача3.1'!$E:$E,"&gt;=9")-COUNTIFS('Задача3.1'!$A:$A,$A13,'Задача3.1'!$H:$H,B$1,'Задача3.1'!$E:$E,"&lt;=6"))/COUNTIFS('Задача3.1'!$A:$A,$A13,'Задача3.1'!$H:$H,B$1,'Задача3.1'!$E:$E,"&gt;=0"),"")</f>
        <v/>
      </c>
      <c r="C13" s="56" t="str">
        <f>IFERROR((COUNTIFS('Задача3.1'!$A:$A,$A13,'Задача3.1'!$H:$H,C$1,'Задача3.1'!$E:$E,"&gt;=9")-COUNTIFS('Задача3.1'!$A:$A,$A13,'Задача3.1'!$H:$H,C$1,'Задача3.1'!$E:$E,"&lt;=6"))/COUNTIFS('Задача3.1'!$A:$A,$A13,'Задача3.1'!$H:$H,C$1,'Задача3.1'!$E:$E,"&gt;=0"),"")</f>
        <v/>
      </c>
      <c r="D13" s="56">
        <f>IFERROR((COUNTIFS('Задача3.1'!$A:$A,$A13,'Задача3.1'!$H:$H,D$1,'Задача3.1'!$E:$E,"&gt;=9")-COUNTIFS('Задача3.1'!$A:$A,$A13,'Задача3.1'!$H:$H,D$1,'Задача3.1'!$E:$E,"&lt;=6"))/COUNTIFS('Задача3.1'!$A:$A,$A13,'Задача3.1'!$H:$H,D$1,'Задача3.1'!$E:$E,"&gt;=0"),"")</f>
        <v>-0.5</v>
      </c>
      <c r="E13" s="56" t="str">
        <f>IFERROR((COUNTIFS('Задача3.1'!$A:$A,$A13,'Задача3.1'!$H:$H,E$1,'Задача3.1'!$E:$E,"&gt;=9")-COUNTIFS('Задача3.1'!$A:$A,$A13,'Задача3.1'!$H:$H,E$1,'Задача3.1'!$E:$E,"&lt;=6"))/COUNTIFS('Задача3.1'!$A:$A,$A13,'Задача3.1'!$H:$H,E$1,'Задача3.1'!$E:$E,"&gt;=0"),"")</f>
        <v/>
      </c>
      <c r="F13" s="56">
        <f>IFERROR((COUNTIFS('Задача3.1'!$A:$A,$A13,'Задача3.1'!$H:$H,F$1,'Задача3.1'!$E:$E,"&gt;=9")-COUNTIFS('Задача3.1'!$A:$A,$A13,'Задача3.1'!$H:$H,F$1,'Задача3.1'!$E:$E,"&lt;=6"))/COUNTIFS('Задача3.1'!$A:$A,$A13,'Задача3.1'!$H:$H,F$1,'Задача3.1'!$E:$E,"&gt;=0"),"")</f>
        <v>-0.5</v>
      </c>
      <c r="G13" s="56">
        <f>IFERROR((COUNTIFS('Задача3.1'!$A:$A,$A13,'Задача3.1'!$H:$H,G$1,'Задача3.1'!$E:$E,"&gt;=9")-COUNTIFS('Задача3.1'!$A:$A,$A13,'Задача3.1'!$H:$H,G$1,'Задача3.1'!$E:$E,"&lt;=6"))/COUNTIFS('Задача3.1'!$A:$A,$A13,'Задача3.1'!$H:$H,G$1,'Задача3.1'!$E:$E,"&gt;=0"),"")</f>
        <v>0.5</v>
      </c>
      <c r="H13" s="56">
        <f>IFERROR((COUNTIFS('Задача3.1'!$A:$A,$A13,'Задача3.1'!$H:$H,H$1,'Задача3.1'!$E:$E,"&gt;=9")-COUNTIFS('Задача3.1'!$A:$A,$A13,'Задача3.1'!$H:$H,H$1,'Задача3.1'!$E:$E,"&lt;=6"))/COUNTIFS('Задача3.1'!$A:$A,$A13,'Задача3.1'!$H:$H,H$1,'Задача3.1'!$E:$E,"&gt;=0"),"")</f>
        <v>-0.5</v>
      </c>
      <c r="I13" s="56" t="str">
        <f>IFERROR((COUNTIFS('Задача3.1'!$A:$A,$A13,'Задача3.1'!$H:$H,I$1,'Задача3.1'!$E:$E,"&gt;=9")-COUNTIFS('Задача3.1'!$A:$A,$A13,'Задача3.1'!$H:$H,I$1,'Задача3.1'!$E:$E,"&lt;=6"))/COUNTIFS('Задача3.1'!$A:$A,$A13,'Задача3.1'!$H:$H,I$1,'Задача3.1'!$E:$E,"&gt;=0"),"")</f>
        <v/>
      </c>
      <c r="J13" s="56">
        <f>IFERROR((COUNTIFS('Задача3.1'!$A:$A,$A13,'Задача3.1'!$H:$H,J$1,'Задача3.1'!$E:$E,"&gt;=9")-COUNTIFS('Задача3.1'!$A:$A,$A13,'Задача3.1'!$H:$H,J$1,'Задача3.1'!$E:$E,"&lt;=6"))/COUNTIFS('Задача3.1'!$A:$A,$A13,'Задача3.1'!$H:$H,J$1,'Задача3.1'!$E:$E,"&gt;=0"),"")</f>
        <v>-0.6666666666666666</v>
      </c>
      <c r="K13" s="56" t="str">
        <f>IFERROR((COUNTIFS('Задача3.1'!$A:$A,$A13,'Задача3.1'!$H:$H,K$1,'Задача3.1'!$E:$E,"&gt;=9")-COUNTIFS('Задача3.1'!$A:$A,$A13,'Задача3.1'!$H:$H,K$1,'Задача3.1'!$E:$E,"&lt;=6"))/COUNTIFS('Задача3.1'!$A:$A,$A13,'Задача3.1'!$H:$H,K$1,'Задача3.1'!$E:$E,"&gt;=0"),"")</f>
        <v/>
      </c>
      <c r="L13" s="56">
        <f>IFERROR((COUNTIFS('Задача3.1'!$A:$A,$A13,'Задача3.1'!$H:$H,L$1,'Задача3.1'!$E:$E,"&gt;=9")-COUNTIFS('Задача3.1'!$A:$A,$A13,'Задача3.1'!$H:$H,L$1,'Задача3.1'!$E:$E,"&lt;=6"))/COUNTIFS('Задача3.1'!$A:$A,$A13,'Задача3.1'!$H:$H,L$1,'Задача3.1'!$E:$E,"&gt;=0"),"")</f>
        <v>-1</v>
      </c>
      <c r="M13" s="56">
        <f>IFERROR((COUNTIFS('Задача3.1'!$A:$A,$A13,'Задача3.1'!$H:$H,M$1,'Задача3.1'!$E:$E,"&gt;=9")-COUNTIFS('Задача3.1'!$A:$A,$A13,'Задача3.1'!$H:$H,M$1,'Задача3.1'!$E:$E,"&lt;=6"))/COUNTIFS('Задача3.1'!$A:$A,$A13,'Задача3.1'!$H:$H,M$1,'Задача3.1'!$E:$E,"&gt;=0"),"")</f>
        <v>0.5</v>
      </c>
      <c r="N13" s="56">
        <f>IFERROR((COUNTIFS('Задача3.1'!$A:$A,$A13,'Задача3.1'!$H:$H,N$1,'Задача3.1'!$E:$E,"&gt;=9")-COUNTIFS('Задача3.1'!$A:$A,$A13,'Задача3.1'!$H:$H,N$1,'Задача3.1'!$E:$E,"&lt;=6"))/COUNTIFS('Задача3.1'!$A:$A,$A13,'Задача3.1'!$H:$H,N$1,'Задача3.1'!$E:$E,"&gt;=0"),"")</f>
        <v>-1</v>
      </c>
    </row>
  </sheetData>
  <conditionalFormatting sqref="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">
    <cfRule type="colorScale" priority="7">
      <colorScale>
        <cfvo type="min"/>
        <cfvo type="max"/>
        <color rgb="FFFCFCFF"/>
        <color rgb="FFF8696B"/>
      </colorScale>
    </cfRule>
  </conditionalFormatting>
  <conditionalFormatting sqref="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:N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N13">
    <cfRule type="colorScale" priority="4">
      <colorScale>
        <cfvo type="min"/>
        <cfvo type="max"/>
        <color rgb="FFFCFCFF"/>
        <color rgb="FFF8696B"/>
      </colorScale>
    </cfRule>
  </conditionalFormatting>
  <conditionalFormatting sqref="B2:N1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:N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N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2" activeCellId="0" sqref="A2:N13"/>
    </sheetView>
  </sheetViews>
  <sheetFormatPr defaultRowHeight="15" outlineLevelRow="0" outlineLevelCol="0"/>
  <cols>
    <col min="1" max="1" width="28" customWidth="1"/>
    <col min="2" max="2" width="10.6640625" customWidth="1" bestFit="1"/>
    <col min="3" max="3" width="9.5546875" customWidth="1" bestFit="1"/>
    <col min="4" max="4" width="9.5546875" customWidth="1" bestFit="1"/>
    <col min="5" max="5" width="9.5546875" customWidth="1" bestFit="1"/>
    <col min="6" max="6" width="9.5546875" customWidth="1" bestFit="1"/>
    <col min="7" max="7" width="9.5546875" customWidth="1" bestFit="1"/>
    <col min="8" max="8" width="9.5546875" customWidth="1" bestFit="1"/>
    <col min="9" max="9" width="9.5546875" customWidth="1" bestFit="1"/>
    <col min="10" max="10" width="9.5546875" customWidth="1" bestFit="1"/>
    <col min="11" max="11" width="9.5546875" customWidth="1" bestFit="1"/>
    <col min="12" max="12" width="9.5546875" customWidth="1" bestFit="1"/>
    <col min="13" max="13" width="9.5546875" customWidth="1" bestFit="1"/>
    <col min="14" max="14" width="9.5546875" customWidth="1" bestFit="1"/>
  </cols>
  <sheetData>
    <row r="1">
      <c r="B1" s="55" t="s">
        <v>521</v>
      </c>
      <c r="C1" s="55" t="s">
        <v>522</v>
      </c>
      <c r="D1" s="55" t="s">
        <v>523</v>
      </c>
      <c r="E1" s="55" t="s">
        <v>524</v>
      </c>
      <c r="F1" s="55" t="s">
        <v>525</v>
      </c>
      <c r="G1" s="55" t="s">
        <v>526</v>
      </c>
      <c r="H1" s="55" t="s">
        <v>527</v>
      </c>
      <c r="I1" s="55" t="s">
        <v>528</v>
      </c>
      <c r="J1" s="55" t="s">
        <v>529</v>
      </c>
      <c r="K1" s="55" t="s">
        <v>530</v>
      </c>
      <c r="L1" s="55" t="s">
        <v>531</v>
      </c>
      <c r="M1" s="55" t="s">
        <v>532</v>
      </c>
      <c r="N1" s="55" t="s">
        <v>533</v>
      </c>
    </row>
    <row r="2">
      <c r="A2" s="7" t="s">
        <v>47</v>
      </c>
      <c r="B2" s="60" t="str">
        <f>IFERROR(AVERAGEIFS('Задача3.1'!$D:$D,'Задача3.1'!$A:$A,$A2,'Задача3.1'!$H:$H,B$1),"")</f>
        <v/>
      </c>
      <c r="C2" s="60">
        <f>IFERROR(AVERAGEIFS('Задача3.1'!$D:$D,'Задача3.1'!$A:$A,$A2,'Задача3.1'!$H:$H,C$1),"")</f>
        <v>67538</v>
      </c>
      <c r="D2" s="60">
        <f>IFERROR(AVERAGEIFS('Задача3.1'!$D:$D,'Задача3.1'!$A:$A,$A2,'Задача3.1'!$H:$H,D$1),"")</f>
        <v>56204</v>
      </c>
      <c r="E2" s="60">
        <f>IFERROR(AVERAGEIFS('Задача3.1'!$D:$D,'Задача3.1'!$A:$A,$A2,'Задача3.1'!$H:$H,E$1),"")</f>
        <v>60998</v>
      </c>
      <c r="F2" s="60">
        <f>IFERROR(AVERAGEIFS('Задача3.1'!$D:$D,'Задача3.1'!$A:$A,$A2,'Задача3.1'!$H:$H,F$1),"")</f>
        <v>48057.666666666664</v>
      </c>
      <c r="G2" s="60">
        <f>IFERROR(AVERAGEIFS('Задача3.1'!$D:$D,'Задача3.1'!$A:$A,$A2,'Задача3.1'!$H:$H,G$1),"")</f>
        <v>32044</v>
      </c>
      <c r="H2" s="60">
        <f>IFERROR(AVERAGEIFS('Задача3.1'!$D:$D,'Задача3.1'!$A:$A,$A2,'Задача3.1'!$H:$H,H$1),"")</f>
        <v>74872.5</v>
      </c>
      <c r="I2" s="60">
        <f>IFERROR(AVERAGEIFS('Задача3.1'!$D:$D,'Задача3.1'!$A:$A,$A2,'Задача3.1'!$H:$H,I$1),"")</f>
        <v>54277.333333333336</v>
      </c>
      <c r="J2" s="60">
        <f>IFERROR(AVERAGEIFS('Задача3.1'!$D:$D,'Задача3.1'!$A:$A,$A2,'Задача3.1'!$H:$H,J$1),"")</f>
        <v>98433</v>
      </c>
      <c r="K2" s="60">
        <f>IFERROR(AVERAGEIFS('Задача3.1'!$D:$D,'Задача3.1'!$A:$A,$A2,'Задача3.1'!$H:$H,K$1),"")</f>
        <v>72568</v>
      </c>
      <c r="L2" s="60">
        <f>IFERROR(AVERAGEIFS('Задача3.1'!$D:$D,'Задача3.1'!$A:$A,$A2,'Задача3.1'!$H:$H,L$1),"")</f>
        <v>28677</v>
      </c>
      <c r="M2" s="60">
        <f>IFERROR(AVERAGEIFS('Задача3.1'!$D:$D,'Задача3.1'!$A:$A,$A2,'Задача3.1'!$H:$H,M$1),"")</f>
        <v>72232</v>
      </c>
      <c r="N2" s="60">
        <f>IFERROR(AVERAGEIFS('Задача3.1'!$D:$D,'Задача3.1'!$A:$A,$A2,'Задача3.1'!$H:$H,N$1),"")</f>
        <v>69827</v>
      </c>
    </row>
    <row r="3">
      <c r="A3" s="7" t="s">
        <v>13</v>
      </c>
      <c r="B3" s="60">
        <f>IFERROR(AVERAGEIFS('Задача3.1'!$D:$D,'Задача3.1'!$A:$A,$A3,'Задача3.1'!$H:$H,B$1),"")</f>
        <v>39127</v>
      </c>
      <c r="C3" s="60">
        <f>IFERROR(AVERAGEIFS('Задача3.1'!$D:$D,'Задача3.1'!$A:$A,$A3,'Задача3.1'!$H:$H,C$1),"")</f>
        <v>51486</v>
      </c>
      <c r="D3" s="60">
        <f>IFERROR(AVERAGEIFS('Задача3.1'!$D:$D,'Задача3.1'!$A:$A,$A3,'Задача3.1'!$H:$H,D$1),"")</f>
        <v>46289</v>
      </c>
      <c r="E3" s="60" t="str">
        <f>IFERROR(AVERAGEIFS('Задача3.1'!$D:$D,'Задача3.1'!$A:$A,$A3,'Задача3.1'!$H:$H,E$1),"")</f>
        <v/>
      </c>
      <c r="F3" s="60">
        <f>IFERROR(AVERAGEIFS('Задача3.1'!$D:$D,'Задача3.1'!$A:$A,$A3,'Задача3.1'!$H:$H,F$1),"")</f>
        <v>20481.666666666668</v>
      </c>
      <c r="G3" s="60">
        <f>IFERROR(AVERAGEIFS('Задача3.1'!$D:$D,'Задача3.1'!$A:$A,$A3,'Задача3.1'!$H:$H,G$1),"")</f>
        <v>54247.75</v>
      </c>
      <c r="H3" s="60">
        <f>IFERROR(AVERAGEIFS('Задача3.1'!$D:$D,'Задача3.1'!$A:$A,$A3,'Задача3.1'!$H:$H,H$1),"")</f>
        <v>83040</v>
      </c>
      <c r="I3" s="60">
        <f>IFERROR(AVERAGEIFS('Задача3.1'!$D:$D,'Задача3.1'!$A:$A,$A3,'Задача3.1'!$H:$H,I$1),"")</f>
        <v>51348.333333333336</v>
      </c>
      <c r="J3" s="60">
        <f>IFERROR(AVERAGEIFS('Задача3.1'!$D:$D,'Задача3.1'!$A:$A,$A3,'Задача3.1'!$H:$H,J$1),"")</f>
        <v>56559.333333333336</v>
      </c>
      <c r="K3" s="60" t="str">
        <f>IFERROR(AVERAGEIFS('Задача3.1'!$D:$D,'Задача3.1'!$A:$A,$A3,'Задача3.1'!$H:$H,K$1),"")</f>
        <v/>
      </c>
      <c r="L3" s="60">
        <f>IFERROR(AVERAGEIFS('Задача3.1'!$D:$D,'Задача3.1'!$A:$A,$A3,'Задача3.1'!$H:$H,L$1),"")</f>
        <v>75091.5</v>
      </c>
      <c r="M3" s="60">
        <f>IFERROR(AVERAGEIFS('Задача3.1'!$D:$D,'Задача3.1'!$A:$A,$A3,'Задача3.1'!$H:$H,M$1),"")</f>
        <v>88954.33333333333</v>
      </c>
      <c r="N3" s="60" t="str">
        <f>IFERROR(AVERAGEIFS('Задача3.1'!$D:$D,'Задача3.1'!$A:$A,$A3,'Задача3.1'!$H:$H,N$1),"")</f>
        <v/>
      </c>
    </row>
    <row r="4">
      <c r="A4" s="7" t="s">
        <v>11</v>
      </c>
      <c r="B4" s="60">
        <f>IFERROR(AVERAGEIFS('Задача3.1'!$D:$D,'Задача3.1'!$A:$A,$A4,'Задача3.1'!$H:$H,B$1),"")</f>
        <v>60139.5</v>
      </c>
      <c r="C4" s="60">
        <f>IFERROR(AVERAGEIFS('Задача3.1'!$D:$D,'Задача3.1'!$A:$A,$A4,'Задача3.1'!$H:$H,C$1),"")</f>
        <v>64227</v>
      </c>
      <c r="D4" s="60" t="str">
        <f>IFERROR(AVERAGEIFS('Задача3.1'!$D:$D,'Задача3.1'!$A:$A,$A4,'Задача3.1'!$H:$H,D$1),"")</f>
        <v/>
      </c>
      <c r="E4" s="60" t="str">
        <f>IFERROR(AVERAGEIFS('Задача3.1'!$D:$D,'Задача3.1'!$A:$A,$A4,'Задача3.1'!$H:$H,E$1),"")</f>
        <v/>
      </c>
      <c r="F4" s="60">
        <f>IFERROR(AVERAGEIFS('Задача3.1'!$D:$D,'Задача3.1'!$A:$A,$A4,'Задача3.1'!$H:$H,F$1),"")</f>
        <v>71932</v>
      </c>
      <c r="G4" s="60">
        <f>IFERROR(AVERAGEIFS('Задача3.1'!$D:$D,'Задача3.1'!$A:$A,$A4,'Задача3.1'!$H:$H,G$1),"")</f>
        <v>47408</v>
      </c>
      <c r="H4" s="60">
        <f>IFERROR(AVERAGEIFS('Задача3.1'!$D:$D,'Задача3.1'!$A:$A,$A4,'Задача3.1'!$H:$H,H$1),"")</f>
        <v>38474</v>
      </c>
      <c r="I4" s="60" t="str">
        <f>IFERROR(AVERAGEIFS('Задача3.1'!$D:$D,'Задача3.1'!$A:$A,$A4,'Задача3.1'!$H:$H,I$1),"")</f>
        <v/>
      </c>
      <c r="J4" s="60">
        <f>IFERROR(AVERAGEIFS('Задача3.1'!$D:$D,'Задача3.1'!$A:$A,$A4,'Задача3.1'!$H:$H,J$1),"")</f>
        <v>51766</v>
      </c>
      <c r="K4" s="60">
        <f>IFERROR(AVERAGEIFS('Задача3.1'!$D:$D,'Задача3.1'!$A:$A,$A4,'Задача3.1'!$H:$H,K$1),"")</f>
        <v>52619</v>
      </c>
      <c r="L4" s="60" t="str">
        <f>IFERROR(AVERAGEIFS('Задача3.1'!$D:$D,'Задача3.1'!$A:$A,$A4,'Задача3.1'!$H:$H,L$1),"")</f>
        <v/>
      </c>
      <c r="M4" s="60">
        <f>IFERROR(AVERAGEIFS('Задача3.1'!$D:$D,'Задача3.1'!$A:$A,$A4,'Задача3.1'!$H:$H,M$1),"")</f>
        <v>51926</v>
      </c>
      <c r="N4" s="60" t="str">
        <f>IFERROR(AVERAGEIFS('Задача3.1'!$D:$D,'Задача3.1'!$A:$A,$A4,'Задача3.1'!$H:$H,N$1),"")</f>
        <v/>
      </c>
    </row>
    <row r="5">
      <c r="A5" s="7" t="s">
        <v>8</v>
      </c>
      <c r="B5" s="60">
        <f>IFERROR(AVERAGEIFS('Задача3.1'!$D:$D,'Задача3.1'!$A:$A,$A5,'Задача3.1'!$H:$H,B$1),"")</f>
        <v>31147</v>
      </c>
      <c r="C5" s="60" t="str">
        <f>IFERROR(AVERAGEIFS('Задача3.1'!$D:$D,'Задача3.1'!$A:$A,$A5,'Задача3.1'!$H:$H,C$1),"")</f>
        <v/>
      </c>
      <c r="D5" s="60">
        <f>IFERROR(AVERAGEIFS('Задача3.1'!$D:$D,'Задача3.1'!$A:$A,$A5,'Задача3.1'!$H:$H,D$1),"")</f>
        <v>29347.75</v>
      </c>
      <c r="E5" s="60">
        <f>IFERROR(AVERAGEIFS('Задача3.1'!$D:$D,'Задача3.1'!$A:$A,$A5,'Задача3.1'!$H:$H,E$1),"")</f>
        <v>80864</v>
      </c>
      <c r="F5" s="60">
        <f>IFERROR(AVERAGEIFS('Задача3.1'!$D:$D,'Задача3.1'!$A:$A,$A5,'Задача3.1'!$H:$H,F$1),"")</f>
        <v>84215</v>
      </c>
      <c r="G5" s="60">
        <f>IFERROR(AVERAGEIFS('Задача3.1'!$D:$D,'Задача3.1'!$A:$A,$A5,'Задача3.1'!$H:$H,G$1),"")</f>
        <v>97490</v>
      </c>
      <c r="H5" s="60">
        <f>IFERROR(AVERAGEIFS('Задача3.1'!$D:$D,'Задача3.1'!$A:$A,$A5,'Задача3.1'!$H:$H,H$1),"")</f>
        <v>55609.5</v>
      </c>
      <c r="I5" s="60" t="str">
        <f>IFERROR(AVERAGEIFS('Задача3.1'!$D:$D,'Задача3.1'!$A:$A,$A5,'Задача3.1'!$H:$H,I$1),"")</f>
        <v/>
      </c>
      <c r="J5" s="60">
        <f>IFERROR(AVERAGEIFS('Задача3.1'!$D:$D,'Задача3.1'!$A:$A,$A5,'Задача3.1'!$H:$H,J$1),"")</f>
        <v>56166</v>
      </c>
      <c r="K5" s="60">
        <f>IFERROR(AVERAGEIFS('Задача3.1'!$D:$D,'Задача3.1'!$A:$A,$A5,'Задача3.1'!$H:$H,K$1),"")</f>
        <v>17772</v>
      </c>
      <c r="L5" s="60">
        <f>IFERROR(AVERAGEIFS('Задача3.1'!$D:$D,'Задача3.1'!$A:$A,$A5,'Задача3.1'!$H:$H,L$1),"")</f>
        <v>90825</v>
      </c>
      <c r="M5" s="60">
        <f>IFERROR(AVERAGEIFS('Задача3.1'!$D:$D,'Задача3.1'!$A:$A,$A5,'Задача3.1'!$H:$H,M$1),"")</f>
        <v>57851.25</v>
      </c>
      <c r="N5" s="60">
        <f>IFERROR(AVERAGEIFS('Задача3.1'!$D:$D,'Задача3.1'!$A:$A,$A5,'Задача3.1'!$H:$H,N$1),"")</f>
        <v>15039</v>
      </c>
    </row>
    <row r="6">
      <c r="A6" s="7" t="s">
        <v>17</v>
      </c>
      <c r="B6" s="60">
        <f>IFERROR(AVERAGEIFS('Задача3.1'!$D:$D,'Задача3.1'!$A:$A,$A6,'Задача3.1'!$H:$H,B$1),"")</f>
        <v>83205</v>
      </c>
      <c r="C6" s="60" t="str">
        <f>IFERROR(AVERAGEIFS('Задача3.1'!$D:$D,'Задача3.1'!$A:$A,$A6,'Задача3.1'!$H:$H,C$1),"")</f>
        <v/>
      </c>
      <c r="D6" s="60" t="str">
        <f>IFERROR(AVERAGEIFS('Задача3.1'!$D:$D,'Задача3.1'!$A:$A,$A6,'Задача3.1'!$H:$H,D$1),"")</f>
        <v/>
      </c>
      <c r="E6" s="60" t="str">
        <f>IFERROR(AVERAGEIFS('Задача3.1'!$D:$D,'Задача3.1'!$A:$A,$A6,'Задача3.1'!$H:$H,E$1),"")</f>
        <v/>
      </c>
      <c r="F6" s="60">
        <f>IFERROR(AVERAGEIFS('Задача3.1'!$D:$D,'Задача3.1'!$A:$A,$A6,'Задача3.1'!$H:$H,F$1),"")</f>
        <v>88545</v>
      </c>
      <c r="G6" s="60">
        <f>IFERROR(AVERAGEIFS('Задача3.1'!$D:$D,'Задача3.1'!$A:$A,$A6,'Задача3.1'!$H:$H,G$1),"")</f>
        <v>23660</v>
      </c>
      <c r="H6" s="60">
        <f>IFERROR(AVERAGEIFS('Задача3.1'!$D:$D,'Задача3.1'!$A:$A,$A6,'Задача3.1'!$H:$H,H$1),"")</f>
        <v>93472</v>
      </c>
      <c r="I6" s="60">
        <f>IFERROR(AVERAGEIFS('Задача3.1'!$D:$D,'Задача3.1'!$A:$A,$A6,'Задача3.1'!$H:$H,I$1),"")</f>
        <v>41326.5</v>
      </c>
      <c r="J6" s="60">
        <f>IFERROR(AVERAGEIFS('Задача3.1'!$D:$D,'Задача3.1'!$A:$A,$A6,'Задача3.1'!$H:$H,J$1),"")</f>
        <v>65594.33333333333</v>
      </c>
      <c r="K6" s="60">
        <f>IFERROR(AVERAGEIFS('Задача3.1'!$D:$D,'Задача3.1'!$A:$A,$A6,'Задача3.1'!$H:$H,K$1),"")</f>
        <v>48918</v>
      </c>
      <c r="L6" s="60">
        <f>IFERROR(AVERAGEIFS('Задача3.1'!$D:$D,'Задача3.1'!$A:$A,$A6,'Задача3.1'!$H:$H,L$1),"")</f>
        <v>18990.5</v>
      </c>
      <c r="M6" s="60">
        <f>IFERROR(AVERAGEIFS('Задача3.1'!$D:$D,'Задача3.1'!$A:$A,$A6,'Задача3.1'!$H:$H,M$1),"")</f>
        <v>60118</v>
      </c>
      <c r="N6" s="60">
        <f>IFERROR(AVERAGEIFS('Задача3.1'!$D:$D,'Задача3.1'!$A:$A,$A6,'Задача3.1'!$H:$H,N$1),"")</f>
        <v>35638.333333333336</v>
      </c>
    </row>
    <row r="7">
      <c r="A7" s="7" t="s">
        <v>43</v>
      </c>
      <c r="B7" s="60">
        <f>IFERROR(AVERAGEIFS('Задача3.1'!$D:$D,'Задача3.1'!$A:$A,$A7,'Задача3.1'!$H:$H,B$1),"")</f>
        <v>65898</v>
      </c>
      <c r="C7" s="60" t="str">
        <f>IFERROR(AVERAGEIFS('Задача3.1'!$D:$D,'Задача3.1'!$A:$A,$A7,'Задача3.1'!$H:$H,C$1),"")</f>
        <v/>
      </c>
      <c r="D7" s="60">
        <f>IFERROR(AVERAGEIFS('Задача3.1'!$D:$D,'Задача3.1'!$A:$A,$A7,'Задача3.1'!$H:$H,D$1),"")</f>
        <v>82279</v>
      </c>
      <c r="E7" s="60">
        <f>IFERROR(AVERAGEIFS('Задача3.1'!$D:$D,'Задача3.1'!$A:$A,$A7,'Задача3.1'!$H:$H,E$1),"")</f>
        <v>94418</v>
      </c>
      <c r="F7" s="60">
        <f>IFERROR(AVERAGEIFS('Задача3.1'!$D:$D,'Задача3.1'!$A:$A,$A7,'Задача3.1'!$H:$H,F$1),"")</f>
        <v>54385</v>
      </c>
      <c r="G7" s="60" t="str">
        <f>IFERROR(AVERAGEIFS('Задача3.1'!$D:$D,'Задача3.1'!$A:$A,$A7,'Задача3.1'!$H:$H,G$1),"")</f>
        <v/>
      </c>
      <c r="H7" s="60">
        <f>IFERROR(AVERAGEIFS('Задача3.1'!$D:$D,'Задача3.1'!$A:$A,$A7,'Задача3.1'!$H:$H,H$1),"")</f>
        <v>85512</v>
      </c>
      <c r="I7" s="60">
        <f>IFERROR(AVERAGEIFS('Задача3.1'!$D:$D,'Задача3.1'!$A:$A,$A7,'Задача3.1'!$H:$H,I$1),"")</f>
        <v>67992</v>
      </c>
      <c r="J7" s="60">
        <f>IFERROR(AVERAGEIFS('Задача3.1'!$D:$D,'Задача3.1'!$A:$A,$A7,'Задача3.1'!$H:$H,J$1),"")</f>
        <v>41944.25</v>
      </c>
      <c r="K7" s="60">
        <f>IFERROR(AVERAGEIFS('Задача3.1'!$D:$D,'Задача3.1'!$A:$A,$A7,'Задача3.1'!$H:$H,K$1),"")</f>
        <v>85215</v>
      </c>
      <c r="L7" s="60">
        <f>IFERROR(AVERAGEIFS('Задача3.1'!$D:$D,'Задача3.1'!$A:$A,$A7,'Задача3.1'!$H:$H,L$1),"")</f>
        <v>84635</v>
      </c>
      <c r="M7" s="60">
        <f>IFERROR(AVERAGEIFS('Задача3.1'!$D:$D,'Задача3.1'!$A:$A,$A7,'Задача3.1'!$H:$H,M$1),"")</f>
        <v>54351.5</v>
      </c>
      <c r="N7" s="60">
        <f>IFERROR(AVERAGEIFS('Задача3.1'!$D:$D,'Задача3.1'!$A:$A,$A7,'Задача3.1'!$H:$H,N$1),"")</f>
        <v>35373</v>
      </c>
    </row>
    <row r="8">
      <c r="A8" s="7" t="s">
        <v>28</v>
      </c>
      <c r="B8" s="60" t="str">
        <f>IFERROR(AVERAGEIFS('Задача3.1'!$D:$D,'Задача3.1'!$A:$A,$A8,'Задача3.1'!$H:$H,B$1),"")</f>
        <v/>
      </c>
      <c r="C8" s="60" t="str">
        <f>IFERROR(AVERAGEIFS('Задача3.1'!$D:$D,'Задача3.1'!$A:$A,$A8,'Задача3.1'!$H:$H,C$1),"")</f>
        <v/>
      </c>
      <c r="D8" s="60">
        <f>IFERROR(AVERAGEIFS('Задача3.1'!$D:$D,'Задача3.1'!$A:$A,$A8,'Задача3.1'!$H:$H,D$1),"")</f>
        <v>49194.5</v>
      </c>
      <c r="E8" s="60" t="str">
        <f>IFERROR(AVERAGEIFS('Задача3.1'!$D:$D,'Задача3.1'!$A:$A,$A8,'Задача3.1'!$H:$H,E$1),"")</f>
        <v/>
      </c>
      <c r="F8" s="60">
        <f>IFERROR(AVERAGEIFS('Задача3.1'!$D:$D,'Задача3.1'!$A:$A,$A8,'Задача3.1'!$H:$H,F$1),"")</f>
        <v>23577</v>
      </c>
      <c r="G8" s="60" t="str">
        <f>IFERROR(AVERAGEIFS('Задача3.1'!$D:$D,'Задача3.1'!$A:$A,$A8,'Задача3.1'!$H:$H,G$1),"")</f>
        <v/>
      </c>
      <c r="H8" s="60">
        <f>IFERROR(AVERAGEIFS('Задача3.1'!$D:$D,'Задача3.1'!$A:$A,$A8,'Задача3.1'!$H:$H,H$1),"")</f>
        <v>74492</v>
      </c>
      <c r="I8" s="60" t="str">
        <f>IFERROR(AVERAGEIFS('Задача3.1'!$D:$D,'Задача3.1'!$A:$A,$A8,'Задача3.1'!$H:$H,I$1),"")</f>
        <v/>
      </c>
      <c r="J8" s="60">
        <f>IFERROR(AVERAGEIFS('Задача3.1'!$D:$D,'Задача3.1'!$A:$A,$A8,'Задача3.1'!$H:$H,J$1),"")</f>
        <v>21356</v>
      </c>
      <c r="K8" s="60">
        <f>IFERROR(AVERAGEIFS('Задача3.1'!$D:$D,'Задача3.1'!$A:$A,$A8,'Задача3.1'!$H:$H,K$1),"")</f>
        <v>47507.666666666664</v>
      </c>
      <c r="L8" s="60" t="str">
        <f>IFERROR(AVERAGEIFS('Задача3.1'!$D:$D,'Задача3.1'!$A:$A,$A8,'Задача3.1'!$H:$H,L$1),"")</f>
        <v/>
      </c>
      <c r="M8" s="60">
        <f>IFERROR(AVERAGEIFS('Задача3.1'!$D:$D,'Задача3.1'!$A:$A,$A8,'Задача3.1'!$H:$H,M$1),"")</f>
        <v>58102.25</v>
      </c>
      <c r="N8" s="60">
        <f>IFERROR(AVERAGEIFS('Задача3.1'!$D:$D,'Задача3.1'!$A:$A,$A8,'Задача3.1'!$H:$H,N$1),"")</f>
        <v>49779</v>
      </c>
    </row>
    <row r="9">
      <c r="A9" s="7" t="s">
        <v>57</v>
      </c>
      <c r="B9" s="60">
        <f>IFERROR(AVERAGEIFS('Задача3.1'!$D:$D,'Задача3.1'!$A:$A,$A9,'Задача3.1'!$H:$H,B$1),"")</f>
        <v>13893</v>
      </c>
      <c r="C9" s="60">
        <f>IFERROR(AVERAGEIFS('Задача3.1'!$D:$D,'Задача3.1'!$A:$A,$A9,'Задача3.1'!$H:$H,C$1),"")</f>
        <v>24770</v>
      </c>
      <c r="D9" s="60">
        <f>IFERROR(AVERAGEIFS('Задача3.1'!$D:$D,'Задача3.1'!$A:$A,$A9,'Задача3.1'!$H:$H,D$1),"")</f>
        <v>84441</v>
      </c>
      <c r="E9" s="60">
        <f>IFERROR(AVERAGEIFS('Задача3.1'!$D:$D,'Задача3.1'!$A:$A,$A9,'Задача3.1'!$H:$H,E$1),"")</f>
        <v>65207</v>
      </c>
      <c r="F9" s="60">
        <f>IFERROR(AVERAGEIFS('Задача3.1'!$D:$D,'Задача3.1'!$A:$A,$A9,'Задача3.1'!$H:$H,F$1),"")</f>
        <v>56009</v>
      </c>
      <c r="G9" s="60" t="str">
        <f>IFERROR(AVERAGEIFS('Задача3.1'!$D:$D,'Задача3.1'!$A:$A,$A9,'Задача3.1'!$H:$H,G$1),"")</f>
        <v/>
      </c>
      <c r="H9" s="60">
        <f>IFERROR(AVERAGEIFS('Задача3.1'!$D:$D,'Задача3.1'!$A:$A,$A9,'Задача3.1'!$H:$H,H$1),"")</f>
        <v>68516</v>
      </c>
      <c r="I9" s="60">
        <f>IFERROR(AVERAGEIFS('Задача3.1'!$D:$D,'Задача3.1'!$A:$A,$A9,'Задача3.1'!$H:$H,I$1),"")</f>
        <v>50116.333333333336</v>
      </c>
      <c r="J9" s="60">
        <f>IFERROR(AVERAGEIFS('Задача3.1'!$D:$D,'Задача3.1'!$A:$A,$A9,'Задача3.1'!$H:$H,J$1),"")</f>
        <v>76295</v>
      </c>
      <c r="K9" s="60">
        <f>IFERROR(AVERAGEIFS('Задача3.1'!$D:$D,'Задача3.1'!$A:$A,$A9,'Задача3.1'!$H:$H,K$1),"")</f>
        <v>59342</v>
      </c>
      <c r="L9" s="60" t="str">
        <f>IFERROR(AVERAGEIFS('Задача3.1'!$D:$D,'Задача3.1'!$A:$A,$A9,'Задача3.1'!$H:$H,L$1),"")</f>
        <v/>
      </c>
      <c r="M9" s="60">
        <f>IFERROR(AVERAGEIFS('Задача3.1'!$D:$D,'Задача3.1'!$A:$A,$A9,'Задача3.1'!$H:$H,M$1),"")</f>
        <v>21682</v>
      </c>
      <c r="N9" s="60" t="str">
        <f>IFERROR(AVERAGEIFS('Задача3.1'!$D:$D,'Задача3.1'!$A:$A,$A9,'Задача3.1'!$H:$H,N$1),"")</f>
        <v/>
      </c>
    </row>
    <row r="10">
      <c r="A10" s="7" t="s">
        <v>15</v>
      </c>
      <c r="B10" s="60">
        <f>IFERROR(AVERAGEIFS('Задача3.1'!$D:$D,'Задача3.1'!$A:$A,$A10,'Задача3.1'!$H:$H,B$1),"")</f>
        <v>13478</v>
      </c>
      <c r="C10" s="60">
        <f>IFERROR(AVERAGEIFS('Задача3.1'!$D:$D,'Задача3.1'!$A:$A,$A10,'Задача3.1'!$H:$H,C$1),"")</f>
        <v>91163</v>
      </c>
      <c r="D10" s="60">
        <f>IFERROR(AVERAGEIFS('Задача3.1'!$D:$D,'Задача3.1'!$A:$A,$A10,'Задача3.1'!$H:$H,D$1),"")</f>
        <v>48801.333333333336</v>
      </c>
      <c r="E10" s="60">
        <f>IFERROR(AVERAGEIFS('Задача3.1'!$D:$D,'Задача3.1'!$A:$A,$A10,'Задача3.1'!$H:$H,E$1),"")</f>
        <v>46875</v>
      </c>
      <c r="F10" s="60">
        <f>IFERROR(AVERAGEIFS('Задача3.1'!$D:$D,'Задача3.1'!$A:$A,$A10,'Задача3.1'!$H:$H,F$1),"")</f>
        <v>17872</v>
      </c>
      <c r="G10" s="60" t="str">
        <f>IFERROR(AVERAGEIFS('Задача3.1'!$D:$D,'Задача3.1'!$A:$A,$A10,'Задача3.1'!$H:$H,G$1),"")</f>
        <v/>
      </c>
      <c r="H10" s="60">
        <f>IFERROR(AVERAGEIFS('Задача3.1'!$D:$D,'Задача3.1'!$A:$A,$A10,'Задача3.1'!$H:$H,H$1),"")</f>
        <v>66579</v>
      </c>
      <c r="I10" s="60">
        <f>IFERROR(AVERAGEIFS('Задача3.1'!$D:$D,'Задача3.1'!$A:$A,$A10,'Задача3.1'!$H:$H,I$1),"")</f>
        <v>57781.5</v>
      </c>
      <c r="J10" s="60">
        <f>IFERROR(AVERAGEIFS('Задача3.1'!$D:$D,'Задача3.1'!$A:$A,$A10,'Задача3.1'!$H:$H,J$1),"")</f>
        <v>27749.5</v>
      </c>
      <c r="K10" s="60" t="str">
        <f>IFERROR(AVERAGEIFS('Задача3.1'!$D:$D,'Задача3.1'!$A:$A,$A10,'Задача3.1'!$H:$H,K$1),"")</f>
        <v/>
      </c>
      <c r="L10" s="60">
        <f>IFERROR(AVERAGEIFS('Задача3.1'!$D:$D,'Задача3.1'!$A:$A,$A10,'Задача3.1'!$H:$H,L$1),"")</f>
        <v>60212.666666666664</v>
      </c>
      <c r="M10" s="60">
        <f>IFERROR(AVERAGEIFS('Задача3.1'!$D:$D,'Задача3.1'!$A:$A,$A10,'Задача3.1'!$H:$H,M$1),"")</f>
        <v>40133</v>
      </c>
      <c r="N10" s="60">
        <f>IFERROR(AVERAGEIFS('Задача3.1'!$D:$D,'Задача3.1'!$A:$A,$A10,'Задача3.1'!$H:$H,N$1),"")</f>
        <v>92555</v>
      </c>
    </row>
    <row r="11">
      <c r="A11" s="7" t="s">
        <v>24</v>
      </c>
      <c r="B11" s="60">
        <f>IFERROR(AVERAGEIFS('Задача3.1'!$D:$D,'Задача3.1'!$A:$A,$A11,'Задача3.1'!$H:$H,B$1),"")</f>
        <v>44123</v>
      </c>
      <c r="C11" s="60">
        <f>IFERROR(AVERAGEIFS('Задача3.1'!$D:$D,'Задача3.1'!$A:$A,$A11,'Задача3.1'!$H:$H,C$1),"")</f>
        <v>42791</v>
      </c>
      <c r="D11" s="60" t="str">
        <f>IFERROR(AVERAGEIFS('Задача3.1'!$D:$D,'Задача3.1'!$A:$A,$A11,'Задача3.1'!$H:$H,D$1),"")</f>
        <v/>
      </c>
      <c r="E11" s="60" t="str">
        <f>IFERROR(AVERAGEIFS('Задача3.1'!$D:$D,'Задача3.1'!$A:$A,$A11,'Задача3.1'!$H:$H,E$1),"")</f>
        <v/>
      </c>
      <c r="F11" s="60">
        <f>IFERROR(AVERAGEIFS('Задача3.1'!$D:$D,'Задача3.1'!$A:$A,$A11,'Задача3.1'!$H:$H,F$1),"")</f>
        <v>74467.25</v>
      </c>
      <c r="G11" s="60" t="str">
        <f>IFERROR(AVERAGEIFS('Задача3.1'!$D:$D,'Задача3.1'!$A:$A,$A11,'Задача3.1'!$H:$H,G$1),"")</f>
        <v/>
      </c>
      <c r="H11" s="60">
        <f>IFERROR(AVERAGEIFS('Задача3.1'!$D:$D,'Задача3.1'!$A:$A,$A11,'Задача3.1'!$H:$H,H$1),"")</f>
        <v>24464</v>
      </c>
      <c r="I11" s="60">
        <f>IFERROR(AVERAGEIFS('Задача3.1'!$D:$D,'Задача3.1'!$A:$A,$A11,'Задача3.1'!$H:$H,I$1),"")</f>
        <v>33702</v>
      </c>
      <c r="J11" s="60">
        <f>IFERROR(AVERAGEIFS('Задача3.1'!$D:$D,'Задача3.1'!$A:$A,$A11,'Задача3.1'!$H:$H,J$1),"")</f>
        <v>33651.5</v>
      </c>
      <c r="K11" s="60">
        <f>IFERROR(AVERAGEIFS('Задача3.1'!$D:$D,'Задача3.1'!$A:$A,$A11,'Задача3.1'!$H:$H,K$1),"")</f>
        <v>40027.5</v>
      </c>
      <c r="L11" s="60">
        <f>IFERROR(AVERAGEIFS('Задача3.1'!$D:$D,'Задача3.1'!$A:$A,$A11,'Задача3.1'!$H:$H,L$1),"")</f>
        <v>72455.5</v>
      </c>
      <c r="M11" s="60">
        <f>IFERROR(AVERAGEIFS('Задача3.1'!$D:$D,'Задача3.1'!$A:$A,$A11,'Задача3.1'!$H:$H,M$1),"")</f>
        <v>58095.333333333336</v>
      </c>
      <c r="N11" s="60">
        <f>IFERROR(AVERAGEIFS('Задача3.1'!$D:$D,'Задача3.1'!$A:$A,$A11,'Задача3.1'!$H:$H,N$1),"")</f>
        <v>35749</v>
      </c>
    </row>
    <row r="12">
      <c r="A12" s="7" t="s">
        <v>5</v>
      </c>
      <c r="B12" s="60">
        <f>IFERROR(AVERAGEIFS('Задача3.1'!$D:$D,'Задача3.1'!$A:$A,$A12,'Задача3.1'!$H:$H,B$1),"")</f>
        <v>13042</v>
      </c>
      <c r="C12" s="60">
        <f>IFERROR(AVERAGEIFS('Задача3.1'!$D:$D,'Задача3.1'!$A:$A,$A12,'Задача3.1'!$H:$H,C$1),"")</f>
        <v>37565</v>
      </c>
      <c r="D12" s="60">
        <f>IFERROR(AVERAGEIFS('Задача3.1'!$D:$D,'Задача3.1'!$A:$A,$A12,'Задача3.1'!$H:$H,D$1),"")</f>
        <v>50645</v>
      </c>
      <c r="E12" s="60" t="str">
        <f>IFERROR(AVERAGEIFS('Задача3.1'!$D:$D,'Задача3.1'!$A:$A,$A12,'Задача3.1'!$H:$H,E$1),"")</f>
        <v/>
      </c>
      <c r="F12" s="60">
        <f>IFERROR(AVERAGEIFS('Задача3.1'!$D:$D,'Задача3.1'!$A:$A,$A12,'Задача3.1'!$H:$H,F$1),"")</f>
        <v>52123</v>
      </c>
      <c r="G12" s="60">
        <f>IFERROR(AVERAGEIFS('Задача3.1'!$D:$D,'Задача3.1'!$A:$A,$A12,'Задача3.1'!$H:$H,G$1),"")</f>
        <v>57541</v>
      </c>
      <c r="H12" s="60">
        <f>IFERROR(AVERAGEIFS('Задача3.1'!$D:$D,'Задача3.1'!$A:$A,$A12,'Задача3.1'!$H:$H,H$1),"")</f>
        <v>44322</v>
      </c>
      <c r="I12" s="60" t="str">
        <f>IFERROR(AVERAGEIFS('Задача3.1'!$D:$D,'Задача3.1'!$A:$A,$A12,'Задача3.1'!$H:$H,I$1),"")</f>
        <v/>
      </c>
      <c r="J12" s="60">
        <f>IFERROR(AVERAGEIFS('Задача3.1'!$D:$D,'Задача3.1'!$A:$A,$A12,'Задача3.1'!$H:$H,J$1),"")</f>
        <v>64781</v>
      </c>
      <c r="K12" s="60">
        <f>IFERROR(AVERAGEIFS('Задача3.1'!$D:$D,'Задача3.1'!$A:$A,$A12,'Задача3.1'!$H:$H,K$1),"")</f>
        <v>45449.5</v>
      </c>
      <c r="L12" s="60">
        <f>IFERROR(AVERAGEIFS('Задача3.1'!$D:$D,'Задача3.1'!$A:$A,$A12,'Задача3.1'!$H:$H,L$1),"")</f>
        <v>29970</v>
      </c>
      <c r="M12" s="60">
        <f>IFERROR(AVERAGEIFS('Задача3.1'!$D:$D,'Задача3.1'!$A:$A,$A12,'Задача3.1'!$H:$H,M$1),"")</f>
        <v>67166.33333333333</v>
      </c>
      <c r="N12" s="60">
        <f>IFERROR(AVERAGEIFS('Задача3.1'!$D:$D,'Задача3.1'!$A:$A,$A12,'Задача3.1'!$H:$H,N$1),"")</f>
        <v>82622.25</v>
      </c>
    </row>
    <row r="13">
      <c r="A13" s="7" t="s">
        <v>21</v>
      </c>
      <c r="B13" s="60" t="str">
        <f>IFERROR(AVERAGEIFS('Задача3.1'!$D:$D,'Задача3.1'!$A:$A,$A13,'Задача3.1'!$H:$H,B$1),"")</f>
        <v/>
      </c>
      <c r="C13" s="60" t="str">
        <f>IFERROR(AVERAGEIFS('Задача3.1'!$D:$D,'Задача3.1'!$A:$A,$A13,'Задача3.1'!$H:$H,C$1),"")</f>
        <v/>
      </c>
      <c r="D13" s="60">
        <f>IFERROR(AVERAGEIFS('Задача3.1'!$D:$D,'Задача3.1'!$A:$A,$A13,'Задача3.1'!$H:$H,D$1),"")</f>
        <v>43572.5</v>
      </c>
      <c r="E13" s="60" t="str">
        <f>IFERROR(AVERAGEIFS('Задача3.1'!$D:$D,'Задача3.1'!$A:$A,$A13,'Задача3.1'!$H:$H,E$1),"")</f>
        <v/>
      </c>
      <c r="F13" s="60">
        <f>IFERROR(AVERAGEIFS('Задача3.1'!$D:$D,'Задача3.1'!$A:$A,$A13,'Задача3.1'!$H:$H,F$1),"")</f>
        <v>52776.5</v>
      </c>
      <c r="G13" s="60">
        <f>IFERROR(AVERAGEIFS('Задача3.1'!$D:$D,'Задача3.1'!$A:$A,$A13,'Задача3.1'!$H:$H,G$1),"")</f>
        <v>35881</v>
      </c>
      <c r="H13" s="60">
        <f>IFERROR(AVERAGEIFS('Задача3.1'!$D:$D,'Задача3.1'!$A:$A,$A13,'Задача3.1'!$H:$H,H$1),"")</f>
        <v>87487</v>
      </c>
      <c r="I13" s="60" t="str">
        <f>IFERROR(AVERAGEIFS('Задача3.1'!$D:$D,'Задача3.1'!$A:$A,$A13,'Задача3.1'!$H:$H,I$1),"")</f>
        <v/>
      </c>
      <c r="J13" s="60">
        <f>IFERROR(AVERAGEIFS('Задача3.1'!$D:$D,'Задача3.1'!$A:$A,$A13,'Задача3.1'!$H:$H,J$1),"")</f>
        <v>71360.33333333333</v>
      </c>
      <c r="K13" s="60" t="str">
        <f>IFERROR(AVERAGEIFS('Задача3.1'!$D:$D,'Задача3.1'!$A:$A,$A13,'Задача3.1'!$H:$H,K$1),"")</f>
        <v/>
      </c>
      <c r="L13" s="60">
        <f>IFERROR(AVERAGEIFS('Задача3.1'!$D:$D,'Задача3.1'!$A:$A,$A13,'Задача3.1'!$H:$H,L$1),"")</f>
        <v>14407</v>
      </c>
      <c r="M13" s="60">
        <f>IFERROR(AVERAGEIFS('Задача3.1'!$D:$D,'Задача3.1'!$A:$A,$A13,'Задача3.1'!$H:$H,M$1),"")</f>
        <v>71232.75</v>
      </c>
      <c r="N13" s="60">
        <f>IFERROR(AVERAGEIFS('Задача3.1'!$D:$D,'Задача3.1'!$A:$A,$A13,'Задача3.1'!$H:$H,N$1),"")</f>
        <v>78011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Марина</cp:lastModifiedBy>
  <dcterms:created xsi:type="dcterms:W3CDTF">2025-11-13T20:18:24Z</dcterms:created>
  <dcterms:modified xsi:type="dcterms:W3CDTF">2026-10-05T19:08:00Z</dcterms:modified>
</cp:coreProperties>
</file>